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Overview!$A$1:$Z$12610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<sst xmlns="http://schemas.openxmlformats.org/spreadsheetml/2006/main" count="4913" uniqueCount="2465">
  <si>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</si>
  <si>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</si>
  <si>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</si>
  <si>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</si>
  <si>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</si>
  <si>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</si>
  <si>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</si>
  <si>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</si>
  <si>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</si>
  <si>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</si>
  <si>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</si>
  <si>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</si>
  <si>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</si>
  <si>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</si>
  <si>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</si>
  <si>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</si>
  <si>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(08-2024 - 07-2026)</t>
  </si>
  <si>
    <t>SV Forecasting trend (08-2026 - 08-2027)</t>
  </si>
  <si>
    <t>Category</t>
  </si>
  <si>
    <t>plumber near me</t>
  </si>
  <si>
    <t>plumbers cape town</t>
  </si>
  <si>
    <t>za</t>
  </si>
  <si>
    <t>where can i find a plumber near me</t>
  </si>
  <si>
    <t>plumbing company cape town</t>
  </si>
  <si>
    <t>AI Overview,Thumbnail,People also ask,Knowledge panel</t>
  </si>
  <si>
    <t>emergency plumber cape town</t>
  </si>
  <si>
    <t>drain surgeon cape town</t>
  </si>
  <si>
    <t>Commercial,Transactional,Non-branded,Local</t>
  </si>
  <si>
    <t>2, 3, 2, 2, 1, 2, 0, 1, 1, 0, 4, 2, 1, 0, 1, 0, 1, 1, 2, 1, 1, 0, 1, 2</t>
  </si>
  <si>
    <t>English</t>
  </si>
  <si>
    <t>2415, 1774, 2123, 1707, 2031, 2438, 2159, 3134, 2585, 2704, 2233, 2584, 2610, 1936, 2065, 1747, 2139, 2067, 2003, 2156, 2099, 2028, 2152, 2311</t>
  </si>
  <si>
    <t>absolute plumbing cape town</t>
  </si>
  <si>
    <t>2218, 2078, 2157, 2114, 2158, 2211, 2067, 2213, 2155, 2125, 2220, 2378</t>
  </si>
  <si>
    <t>how to find a reliable plumber near me</t>
  </si>
  <si>
    <t>Plumbing; Business</t>
  </si>
  <si>
    <t>24 hour plumber near me</t>
  </si>
  <si>
    <t>schmidhauser plumbing</t>
  </si>
  <si>
    <t>bosman plumbers</t>
  </si>
  <si>
    <t>0, 0, 0, 0, 0, 0, 0, 0, 0, 0, 0, 0, 0, 0, 0, 0, 0, 0, 1, 0, 3, 0, 0, 2</t>
  </si>
  <si>
    <t>24 hour plumbers near me</t>
  </si>
  <si>
    <t>Local pack,People also ask</t>
  </si>
  <si>
    <t>what is the best plumber near me</t>
  </si>
  <si>
    <t>electrician cape town</t>
  </si>
  <si>
    <t>aircon repair cape town</t>
  </si>
  <si>
    <t>54, 61, 67, 59, 79, 86, 78, 108, 97, 111, 102, 123, 100, 111, 134, 109, 181, 157, 141, 169, 137, 113, 92, 115</t>
  </si>
  <si>
    <t>1, 0, 0, 2, 0, 0, 0, 0, 0, 0, 1, 0, 0, 2, 0, 0, 0, 0, 0, 0, 0, 0, 0, 1</t>
  </si>
  <si>
    <t>Plumbing</t>
  </si>
  <si>
    <t>emergency plumber near me</t>
  </si>
  <si>
    <t>where to find a plumber near me</t>
  </si>
  <si>
    <t>Combined - base phrase + modifier</t>
  </si>
  <si>
    <t>People also ask,Knowledge panel</t>
  </si>
  <si>
    <t>1, 0, 0, 0, 0, 1, 0, 0, 0, 0, 3, 1, 2, 0, 1, 0, 0, 3, 0, 2, 1, 0, 4, 3</t>
  </si>
  <si>
    <t>absolute plumbing cape town reviews</t>
  </si>
  <si>
    <t>how to find plumber near me</t>
  </si>
  <si>
    <t>72, 92, 94, 96, 153, 171, 126, 230, 185, 215, 191, 191, 103, 121, 165, 125, 166, 220, 112, 172, 151, 153, 117, 118</t>
  </si>
  <si>
    <t>23, 69, 144, 182, 179, 208, 145, 11, 22, 2, 167, 387, 85, 57, 106, 102, 167, 15, 2, 0, 0, 0, 18, 95</t>
  </si>
  <si>
    <t>0, 0, 0, 0, 0, 0, 5, 0, 0, 0, 0, 0, 0, 0, 0, 0, 0, 2, 1, 0, 0, 0, 0, 1</t>
  </si>
  <si>
    <t>plumber near me prices</t>
  </si>
  <si>
    <t>how to find a plumber near me</t>
  </si>
  <si>
    <t>plumbers near me prices</t>
  </si>
  <si>
    <t>plumber service near me</t>
  </si>
  <si>
    <t>0, 0, 0, 1, 0, 0, 0, 0, 0, 0, 0, 0, 0, 0, 0, 0, 1, 0, 1, 0, 0, 0, 0, 1</t>
  </si>
  <si>
    <t>AI Overview,Thumbnail,People also ask</t>
  </si>
  <si>
    <t>who is the best plumber near me</t>
  </si>
  <si>
    <t>Informational,Commercial,Transactional,Non-branded,Local</t>
  </si>
  <si>
    <t>Informational,Commercial,Non-branded,Local</t>
  </si>
  <si>
    <t>26, 40, 30, 45, 33, 33, 42, 68, 45, 72, 50, 68, 75, 62, 84, 115, 107, 113, 94, 107, 96, 82, 81, 87</t>
  </si>
  <si>
    <t>24, 15, 20, 18, 23, 15, 34, 26, 21, 16, 11, 20, 13, 15, 16, 8, 11, 21, 16, 23, 17, 9, 26, 18</t>
  </si>
  <si>
    <t>0, 0, 0, 0, 0, 0, 0, 0, 0, 1, 0, 2, 1, 0, 0, 0, 0, 0, 0, 0, 0, 0, 0, 1</t>
  </si>
  <si>
    <t>best plumber near me</t>
  </si>
  <si>
    <t>plumber near me reviews</t>
  </si>
  <si>
    <t>plumbers johannesburg</t>
  </si>
  <si>
    <t>0, 0, 1, 0, 2, 2, 1, 0, 1, 0, 2, 1, 0, 0, 0, 0, 0, 0, 1, 0, 1, 0, 0, 1</t>
  </si>
  <si>
    <t>15, 24, 25, 17, 31, 31, 21, 44, 45, 47, 31, 140, 78, 71, 73, 58, 71, 68, 72, 101, 63, 54, 50, 57</t>
  </si>
  <si>
    <t>plumber near me 24 hour</t>
  </si>
  <si>
    <t>plumber shop near me</t>
  </si>
  <si>
    <t>plumblink</t>
  </si>
  <si>
    <t>1, 0, 0, 0, 0, 1, 1, 1, 1, 1, 2, 1, 1, 0, 0, 0, 0, 0, 0, 0, 0, 0, 0, 1</t>
  </si>
  <si>
    <t>plumber near me same day</t>
  </si>
  <si>
    <t>42, 45, 47, 65, 69, 55, 47, 36, 66, 53, 57, 51, 49, 52, 41, 33, 41, 57, 157, 141, 47, 44, 62, 28</t>
  </si>
  <si>
    <t>1, 0, 0, 1, 3, 1, 0, 0, 2, 0, 0, 0, 0, 0, 1, 0, 0, 0, 0, 0, 0, 0, 0, 1</t>
  </si>
  <si>
    <t>Combined - modifier + base phrase</t>
  </si>
  <si>
    <t>plumber near me open now</t>
  </si>
  <si>
    <t>plumber near me cost</t>
  </si>
  <si>
    <t>plumbers near me</t>
  </si>
  <si>
    <t>31, 41, 46, 48, 33, 64, 82, 54, 57, 61, 120, 116, 89, 58, 61, 78, 47, 77, 86, 51, 46, 68, 67, 61</t>
  </si>
  <si>
    <t>1, 0, 0, 0, 0, 0, 0, 0, 0, 0, 5, 4, 2, 0, 0, 0, 0, 0, 0, 0, 0, 0, 0, 1</t>
  </si>
  <si>
    <t>24 hour emergency plumber near me</t>
  </si>
  <si>
    <t>plumber near me affordable</t>
  </si>
  <si>
    <t>plumbers near me small jobs</t>
  </si>
  <si>
    <t>4, 5, 8, 8, 12, 5, 6, 9, 10, 4, 6, 1, 2, 4, 1, 0, 4, 3, 3, 5, 1, 762, 3, 247</t>
  </si>
  <si>
    <t>modifier</t>
  </si>
  <si>
    <t>industrial plumber near me</t>
  </si>
  <si>
    <t>0, 0, 0, 0, 0, 3, 3, 1, 0, 0, 0, 0, 0, 1, 0, 7, 0, 4, 0, 1, 1, 1, 3, 3</t>
  </si>
  <si>
    <t>2, 0, 1, 1, 2, 2, 2, 0, 1, 1, 0, 1, 63, 67, 65, 59, 46, 66, 54, 82, 82, 48, 35, 43</t>
  </si>
  <si>
    <t>commercial plumber near me</t>
  </si>
  <si>
    <t>base phrase + modifier</t>
  </si>
  <si>
    <t>11, 13, 12, 15, 17, 21, 26, 28, 26, 32, 26, 68, 66, 60, 61, 64, 62, 58, 84, 86, 44, 46, 43, 45</t>
  </si>
  <si>
    <t>cheap plumber near me</t>
  </si>
  <si>
    <t>absolute plumbing cape town 24 hour</t>
  </si>
  <si>
    <t>36, 40, 45, 34, 60, 49, 36, 62, 60, 50, 56, 75, 51, 47, 39, 52, 36, 56, 32, 39, 52, 55, 80, 63</t>
  </si>
  <si>
    <t>24/7 plumber near me</t>
  </si>
  <si>
    <t>5, 3, 1, 7, 4, 8, 7, 6, 6, 11, 8, 14, 40, 37, 27, 4, 28, 56, 38, 39, 11, 21, 75, 47</t>
  </si>
  <si>
    <t>absolute plumbing cape town affordable</t>
  </si>
  <si>
    <t>local plumber near me</t>
  </si>
  <si>
    <t>absolute plumbing cape town alternatives</t>
  </si>
  <si>
    <t>25, 23, 45, 41, 37, 45, 40, 43, 99, 76, 92, 64, 19, 25, 24, 12, 27, 22, 24, 14, 38, 39, 15, 27</t>
  </si>
  <si>
    <t>blocked drain plumber near me</t>
  </si>
  <si>
    <t>absolute plumbing cape town best</t>
  </si>
  <si>
    <t>10, 14, 19, 10, 8, 13, 8, 16, 13, 14, 15, 45, 55, 37, 29, 26, 35, 32, 23, 33, 21, 32, 32, 28</t>
  </si>
  <si>
    <t>absolute plumbing cape town certified</t>
  </si>
  <si>
    <t>sewer line plumber near me</t>
  </si>
  <si>
    <t>absolute plumbing cape town compare</t>
  </si>
  <si>
    <t>modifier + base phrase</t>
  </si>
  <si>
    <t>0, 1, 1, 1, 0, 1, 0, 0, 5, 1, 1, 32, 30, 28, 24, 25, 31, 34, 28, 27, 14, 18, 14, 16</t>
  </si>
  <si>
    <t>• plumber near me</t>
  </si>
  <si>
    <t>absolute plumbing cape town complaints</t>
  </si>
  <si>
    <t>0, 0, 0, 0, 0, 0, 0, 0, 0, 0, 0, 0, 0, 0, 0, 0, 51, 49, 45, 49, 0, 0, 0, 1</t>
  </si>
  <si>
    <t>absolute plumbing cape town cost</t>
  </si>
  <si>
    <t>clogged drain plumber near me</t>
  </si>
  <si>
    <t>absolute plumbing cape town insured</t>
  </si>
  <si>
    <t>1, 2, 3, 2, 2, 2, 3, 3, 4, 6, 4, 29, 28, 28, 26, 18, 31, 26, 26, 22, 15, 19, 22, 19</t>
  </si>
  <si>
    <t>liquid plumber near me</t>
  </si>
  <si>
    <t>absolute plumbing cape town licensed</t>
  </si>
  <si>
    <t>0, 0, 0, 0, 0, 0, 0, 0, 0, 0, 1, 30, 33, 17, 8, 24, 24, 17, 18, 31, 10, 18, 15, 15</t>
  </si>
  <si>
    <t>plumber near me clogged toilet</t>
  </si>
  <si>
    <t>absolute plumbing cape town local</t>
  </si>
  <si>
    <t>0, 2, 0, 1, 1, 0, 2, 1, 1, 3, 2, 37, 30, 25, 24, 20, 30, 20, 12, 21, 14, 20, 22, 19</t>
  </si>
  <si>
    <t>plumber to unblock toilet near me</t>
  </si>
  <si>
    <t>absolute plumbing cape town near me</t>
  </si>
  <si>
    <t>1, 0, 0, 0, 0, 4, 2, 1, 0, 0, 0, 30, 30, 23, 23, 18, 10, 9, 12, 19, 10, 15, 15, 14</t>
  </si>
  <si>
    <t>plumber services near me</t>
  </si>
  <si>
    <t>absolute plumbing cape town prices</t>
  </si>
  <si>
    <t>best</t>
  </si>
  <si>
    <t>20, 41, 40, 36, 50, 47, 49, 46, 47, 74, 66, 71, 14, 18, 12, 30, 17, 18, 17, 6, 11, 11, 10, 11</t>
  </si>
  <si>
    <t>absolute plumbing cape town qualified</t>
  </si>
  <si>
    <t>stormwater plumber near me</t>
  </si>
  <si>
    <t>absolute plumbing cape town quote</t>
  </si>
  <si>
    <t>0, 0, 1, 0, 1, 0, 7, 0, 4, 2, 0, 0, 29, 30, 29, 24, 19, 19, 24, 26, 24, 6, 15, 13</t>
  </si>
  <si>
    <t>geyser plumber near me</t>
  </si>
  <si>
    <t>absolute plumbing cape town reliable</t>
  </si>
  <si>
    <t>0, 0, 4, 2, 3, 7, 7, 10, 21, 25, 25, 21, 21, 22, 23, 23, 29, 30, 18, 19, 18, 17, 5, 14</t>
  </si>
  <si>
    <t>plumber clogged drain near me</t>
  </si>
  <si>
    <t>absolute plumbing cape town reputable</t>
  </si>
  <si>
    <t>0, 1, 1, 1, 2, 1, 0, 0, 3, 0, 0, 1, 28, 49, 17, 25, 19, 29, 33, 23, 24, 12, 18, 18</t>
  </si>
  <si>
    <t>absolute plumbing cape town review</t>
  </si>
  <si>
    <t>absolute plumbing cape town same day</t>
  </si>
  <si>
    <t>absolute plumbing cape town top rated</t>
  </si>
  <si>
    <t>plumber for blocked drains near me</t>
  </si>
  <si>
    <t>absolute plumbing cape town trusted</t>
  </si>
  <si>
    <t>0, 0, 0, 0, 0, 1, 1, 0, 2, 2, 2, 32, 32, 25, 18, 26, 30, 27, 16, 17, 14, 14, 16, 15</t>
  </si>
  <si>
    <t>24hr plumber near me</t>
  </si>
  <si>
    <t>absolute plumbing cape town vs</t>
  </si>
  <si>
    <t>aircon repair cape town 24 hour</t>
  </si>
  <si>
    <t>27, 20, 17, 24, 42, 28, 19, 11, 24, 21, 20, 17, 16, 21, 18, 15, 41, 11, 20, 8, 30, 28, 9, 23</t>
  </si>
  <si>
    <t>near plumber me</t>
  </si>
  <si>
    <t>aircon repair cape town affordable</t>
  </si>
  <si>
    <t>0, 6, 5, 3, 6, 9, 6, 5, 11, 3, 2, 1, 4, 53, 27, 36, 22, 22, 5, 6, 6, 8, 6, 8</t>
  </si>
  <si>
    <t>plumber and drainage near me</t>
  </si>
  <si>
    <t>0, 0, 0, 0, 0, 0, 0, 1, 1, 1, 2, 0, 28, 27, 21, 20, 20, 26, 24, 19, 24, 14, 17, 16</t>
  </si>
  <si>
    <t>aircon repair cape town alternatives</t>
  </si>
  <si>
    <t>plumber unclog drain near me</t>
  </si>
  <si>
    <t>aircon repair cape town best</t>
  </si>
  <si>
    <t>0, 0, 3, 1, 1, 0, 1, 0, 0, 0, 2, 28, 31, 10, 2, 15, 22, 30, 22, 24, 13, 15, 16, 15</t>
  </si>
  <si>
    <t>plumber jobs near me</t>
  </si>
  <si>
    <t>aircon repair cape town certified</t>
  </si>
  <si>
    <t>plumbers in polokwane</t>
  </si>
  <si>
    <t>aircon repair cape town compare</t>
  </si>
  <si>
    <t>Informational,Non-branded,Local</t>
  </si>
  <si>
    <t>13, 6, 10, 2, 4, 11, 33, 19, 7, 17, 28, 15, 64, 28, 10, 30, 14, 18, 19, 10, 20, 25, 24, 4</t>
  </si>
  <si>
    <t>Job</t>
  </si>
  <si>
    <t>aircon repair cape town complaints</t>
  </si>
  <si>
    <t>plumber near me leak detection</t>
  </si>
  <si>
    <t>aircon repair cape town cost</t>
  </si>
  <si>
    <t>1, 0, 1, 1, 1, 2, 0, 0, 0, 1, 0, 0, 34, 28, 26, 22, 29, 31, 22, 16, 17, 10, 13, 13</t>
  </si>
  <si>
    <t>plumber near me now</t>
  </si>
  <si>
    <t>aircon repair cape town insured</t>
  </si>
  <si>
    <t>60, 34, 57, 13, 8, 7, 11, 10, 11, 17, 11, 22, 12, 15, 12, 20, 5, 18, 17, 15, 19, 16, 58, 24</t>
  </si>
  <si>
    <t>plumber and drainer near me</t>
  </si>
  <si>
    <t>aircon repair cape town licensed</t>
  </si>
  <si>
    <t>0, 0, 0, 0, 0, 0, 0, 0, 0, 1, 0, 23, 40, 19, 14, 20, 30, 22, 13, 15, 11, 13, 15, 14</t>
  </si>
  <si>
    <t>plumber drainage near me</t>
  </si>
  <si>
    <t>aircon repair cape town local</t>
  </si>
  <si>
    <t>aircon repair cape town near me</t>
  </si>
  <si>
    <t>1, 0, 0, 0, 0, 0, 0, 0, 0, 0, 0, 26, 31, 21, 24, 18, 30, 24, 21, 23, 12, 14, 16, 15</t>
  </si>
  <si>
    <t>plumber supplies near me</t>
  </si>
  <si>
    <t>aircon repair cape town prices</t>
  </si>
  <si>
    <t>27, 36, 28, 20, 29, 20, 41, 19, 21, 29, 23, 22, 20, 20, 20, 16, 16, 26, 22, 16, 23, 16, 22, 20</t>
  </si>
  <si>
    <t>plumber rooter near me</t>
  </si>
  <si>
    <t>aircon repair cape town qualified</t>
  </si>
  <si>
    <t>0, 0, 0, 0, 0, 1, 0, 1, 0, 0, 1, 0, 27, 26, 27, 10, 19, 31, 24, 17, 24, 17, 13, 17</t>
  </si>
  <si>
    <t>aircon repair cape town quote</t>
  </si>
  <si>
    <t>plumber drainer near me</t>
  </si>
  <si>
    <t>aircon repair cape town reliable</t>
  </si>
  <si>
    <t>0, 0, 0, 0, 0, 0, 0, 0, 0, 0, 0, 0, 29, 32, 28, 22, 20, 29, 23, 17, 21, 9, 11, 13</t>
  </si>
  <si>
    <t>aircon repair cape town reputable</t>
  </si>
  <si>
    <t>$99 plumber near me</t>
  </si>
  <si>
    <t>0, 0, 0, 0, 0, 0, 0, 0, 0, 0, 0, 36, 30, 22, 24, 22, 32, 20, 16, 24, 10, 12, 12, 12</t>
  </si>
  <si>
    <t>blocked toilet plumber near me</t>
  </si>
  <si>
    <t>2, 1, 1, 3, 2, 0, 5, 7, 1, 2, 1, 33, 30, 31, 25, 18, 31, 27, 15, 22, 14, 19, 22, 19</t>
  </si>
  <si>
    <t>plumber for blocked toilet near me</t>
  </si>
  <si>
    <t>aircon repair cape town review</t>
  </si>
  <si>
    <t>1, 1, 1, 0, 0, 4, 0, 0, 2, 0, 3, 28, 30, 25, 24, 20, 30, 23, 17, 21, 11, 16, 20, 16</t>
  </si>
  <si>
    <t>plumber to unclog toilet near me</t>
  </si>
  <si>
    <t>aircon repair cape town reviews</t>
  </si>
  <si>
    <t>1, 0, 0, 0, 2, 2, 1, 1, 2, 2, 1, 2, 29, 27, 23, 12, 14, 1, 17, 16, 20, 10, 11, 13</t>
  </si>
  <si>
    <t>unclog drain plumber near me</t>
  </si>
  <si>
    <t>aircon repair cape town same day</t>
  </si>
  <si>
    <t>1, 0, 1, 0, 0, 0, 0, 1, 1, 1, 1, 27, 28, 26, 29, 29, 33, 25, 19, 23, 10, 13, 14, 13</t>
  </si>
  <si>
    <t>plumber 24 hours near me</t>
  </si>
  <si>
    <t>aircon repair cape town top rated</t>
  </si>
  <si>
    <t>12, 8, 9, 12, 11, 21, 10, 11, 16, 19, 22, 13, 79, 9, 10, 12, 13, 17, 9, 12, 13, 10, 4, 8</t>
  </si>
  <si>
    <t>aircon repair cape town trusted</t>
  </si>
  <si>
    <t>nearest plumber near me</t>
  </si>
  <si>
    <t>15, 19, 5, 12, 20, 5, 13, 21, 13, 9, 9, 4, 2, 4, 6, 6, 6, 21, 11, 11, 9, 8, 13, 11</t>
  </si>
  <si>
    <t>aircon repair cape town vs</t>
  </si>
  <si>
    <t>drain plumber near me</t>
  </si>
  <si>
    <t>bosman plumbers 24 hour</t>
  </si>
  <si>
    <t>1, 11, 4, 8, 5, 10, 9, 5, 14, 17, 9, 7, 3, 4, 5, 6, 6, 16, 13, 3, 9, 7, 9, 10</t>
  </si>
  <si>
    <t>qualified plumber near me</t>
  </si>
  <si>
    <t>bosman plumbers affordable</t>
  </si>
  <si>
    <t>1, 4, 2, 4, 5, 5, 9, 7, 2, 2, 7, 13, 10, 1, 1, 6, 15, 8, 7, 8, 3, 1, 2, 3</t>
  </si>
  <si>
    <t>24 7 plumber near me</t>
  </si>
  <si>
    <t>bosman plumbers alternatives</t>
  </si>
  <si>
    <t>4, 8, 6, 4, 8, 13, 8, 13, 7, 18, 17, 3, 1, 2, 28, 7, 1, 23, 0, 3, 3, 2, 2, 4</t>
  </si>
  <si>
    <t>electrician and plumber near me</t>
  </si>
  <si>
    <t>bosman plumbers best</t>
  </si>
  <si>
    <t>8, 15, 5, 12, 11, 10, 17, 21, 12, 13, 10, 12, 10, 8, 12, 7, 7, 10, 9, 6, 3, 4, 1, 4</t>
  </si>
  <si>
    <t>bosman plumbers certified</t>
  </si>
  <si>
    <t>cheapest plumber near me</t>
  </si>
  <si>
    <t>bosman plumbers compare</t>
  </si>
  <si>
    <t>4, 8, 5, 12, 5, 5, 6, 7, 3, 5, 12, 10, 7, 6, 7, 3, 2, 4, 1, 4, 2, 8, 4, 6</t>
  </si>
  <si>
    <t>plumber near me within 1.6 km</t>
  </si>
  <si>
    <t>bosman plumbers complaints</t>
  </si>
  <si>
    <t>4, 4, 5, 15, 12, 11, 19, 8, 16, 12, 10, 21, 9, 10, 7, 11, 11, 22, 16, 18, 11, 7, 6, 6</t>
  </si>
  <si>
    <t>24h plumber near me</t>
  </si>
  <si>
    <t>bosman plumbers cost</t>
  </si>
  <si>
    <t>7, 5, 4, 6, 11, 8, 0, 0, 3, 1, 7, 9, 2, 2, 10, 6, 5, 10, 0, 3, 3, 5, 3, 2</t>
  </si>
  <si>
    <t>plumber school near me</t>
  </si>
  <si>
    <t>bosman plumbers insured</t>
  </si>
  <si>
    <t>7, 5, 4, 8, 6, 2, 11, 1, 5, 4, 3, 3, 5, 6, 7, 8, 2, 5, 7, 1, 6, 7, 4, 7</t>
  </si>
  <si>
    <t>plumber suppliers near me</t>
  </si>
  <si>
    <t>bosman plumbers licensed</t>
  </si>
  <si>
    <t>5, 2, 2, 13, 8, 7, 14, 5, 12, 5, 5, 5, 2, 5, 7, 2, 9, 5, 5, 1, 9, 9, 4, 7</t>
  </si>
  <si>
    <t>gas plumber near me</t>
  </si>
  <si>
    <t>bosman plumbers local</t>
  </si>
  <si>
    <t>12, 14, 18, 18, 26, 26, 20, 33, 27, 33, 18, 15, 10, 8, 16, 4, 3, 5, 5, 10, 4, 5, 3, 5</t>
  </si>
  <si>
    <t>bosman plumbers near me</t>
  </si>
  <si>
    <t>plumber emergency near me</t>
  </si>
  <si>
    <t>bosman plumbers prices</t>
  </si>
  <si>
    <t>7, 7, 17, 8, 18, 17, 6, 19, 17, 21, 12, 70, 2, 4, 2, 1, 10, 3, 10, 2, 7, 10, 9, 10</t>
  </si>
  <si>
    <t>bosman plumbers qualified</t>
  </si>
  <si>
    <t>after hours plumber near me</t>
  </si>
  <si>
    <t>8, 12, 5, 10, 11, 11, 25, 17, 8, 13, 16, 12, 8, 14, 12, 22, 19, 25, 10, 9, 15, 16, 4, 12</t>
  </si>
  <si>
    <t>bosman plumbers quote</t>
  </si>
  <si>
    <t>plumber company near me</t>
  </si>
  <si>
    <t>bosman plumbers reliable</t>
  </si>
  <si>
    <t>10, 14, 13, 15, 14, 10, 17, 13, 15, 10, 15, 18, 12, 12, 4, 5, 0, 0, 1, 6, 3, 1, 6, 5</t>
  </si>
  <si>
    <t>urgent plumber near me</t>
  </si>
  <si>
    <t>bosman plumbers reputable</t>
  </si>
  <si>
    <t>4, 5, 4, 8, 13, 10, 14, 11, 6, 11, 17, 21, 12, 11, 15, 24, 19, 9, 0, 1, 2, 12, 8, 8</t>
  </si>
  <si>
    <t>bosman plumbers review</t>
  </si>
  <si>
    <t>plumber near me phone number</t>
  </si>
  <si>
    <t>bosman plumbers reviews</t>
  </si>
  <si>
    <t>26, 16, 12, 18, 15, 10, 12, 6, 15, 13, 14, 8, 11, 10, 9, 5, 6, 0, 3, 0, 3, 1, 0, 1</t>
  </si>
  <si>
    <t>plumber near me stellenbosch</t>
  </si>
  <si>
    <t>bosman plumbers same day</t>
  </si>
  <si>
    <t>0, 0, 0, 0, 0, 0, 0, 0, 0, 0, 0, 0, 0, 0, 0, 0, 12, 16, 16, 21, 21, 17, 30, 21</t>
  </si>
  <si>
    <t>bosman plumbers top rated</t>
  </si>
  <si>
    <t>plumber prices near me</t>
  </si>
  <si>
    <t>bosman plumbers trusted</t>
  </si>
  <si>
    <t>2, 3, 3, 4, 1, 6, 4, 1, 3, 2, 3, 6, 3, 1, 3, 9, 3, 13, 16, 3, 6, 4, 2, 6</t>
  </si>
  <si>
    <t>plumber vacancies near me</t>
  </si>
  <si>
    <t>0, 18, 11, 2, 7, 14, 0, 2, 18, 15, 8, 9, 10, 1, 5, 3, 4, 22, 9, 5, 4, 0, 0, 2</t>
  </si>
  <si>
    <t>bosman plumbers vs</t>
  </si>
  <si>
    <t>find a plumber near me</t>
  </si>
  <si>
    <t>drain surgeon cape town 24 hour</t>
  </si>
  <si>
    <t>8, 7, 9, 12, 8, 7, 10, 2, 6, 17, 17, 18, 9, 8, 6, 3, 1, 3, 3, 8, 12, 4, 8, 7</t>
  </si>
  <si>
    <t>plumber apprentice jobs near me</t>
  </si>
  <si>
    <t>drain surgeon cape town affordable</t>
  </si>
  <si>
    <t>drain surgeon cape town alternatives</t>
  </si>
  <si>
    <t>2, 0, 2, 0, 0, 0, 0, 2, 1, 4, 2, 44, 18, 4, 0, 0, 4, 2, 0, 3, 0, 0, 0, 1</t>
  </si>
  <si>
    <t>professional plumber near me</t>
  </si>
  <si>
    <t>drain surgeon cape town best</t>
  </si>
  <si>
    <t>6, 13, 7, 9, 6, 18, 10, 23, 4, 7, 8, 14, 11, 10, 8, 11, 14, 14, 10, 9, 14, 4, 1, 7</t>
  </si>
  <si>
    <t>plumber and electrician near me</t>
  </si>
  <si>
    <t>drain surgeon cape town certified</t>
  </si>
  <si>
    <t>drain surgeon cape town compare</t>
  </si>
  <si>
    <t>7, 6, 4, 7, 2, 11, 9, 5, 13, 12, 8, 6, 9, 11, 10, 13, 9, 7, 4, 4, 11, 4, 11, 10</t>
  </si>
  <si>
    <t>plumber shops near me</t>
  </si>
  <si>
    <t>top rated</t>
  </si>
  <si>
    <t>drain surgeon cape town complaints</t>
  </si>
  <si>
    <t>Commercial,Non-branded,Local</t>
  </si>
  <si>
    <t>7, 7, 4, 7, 9, 4, 5, 4, 10, 26, 9, 11, 16, 6, 14, 6, 11, 8, 9, 7, 11, 11, 7, 10</t>
  </si>
  <si>
    <t>drain surgeon cape town cost</t>
  </si>
  <si>
    <t>plumber near me near me</t>
  </si>
  <si>
    <t>drain surgeon cape town insured</t>
  </si>
  <si>
    <t>drain surgeon cape town licensed</t>
  </si>
  <si>
    <t>drain surgeon cape town local</t>
  </si>
  <si>
    <t>drain surgeon cape town near me</t>
  </si>
  <si>
    <t>1, 2, 1, 0, 2, 4, 0, 0, 6, 3, 5, 4, 4, 10, 10, 13, 24, 18, 9, 1, 2, 1, 1, 1</t>
  </si>
  <si>
    <t>drain surgeon cape town prices</t>
  </si>
  <si>
    <t>looking for plumber near me</t>
  </si>
  <si>
    <t>drain surgeon cape town qualified</t>
  </si>
  <si>
    <t>10, 8, 7, 6, 12, 18, 11, 11, 1, 2, 10, 17, 8, 3, 5, 20, 7, 3, 5, 7, 2, 2, 0, 2</t>
  </si>
  <si>
    <t>plumber near me pretoria north</t>
  </si>
  <si>
    <t>drain surgeon cape town quote</t>
  </si>
  <si>
    <t>0, 0, 0, 0, 0, 0, 0, 0, 0, 0, 0, 0, 0, 0, 0, 11, 21, 44, 2, 0, 0, 0, 0, 1</t>
  </si>
  <si>
    <t>plumber leak detection near me</t>
  </si>
  <si>
    <t>drain surgeon cape town reliable</t>
  </si>
  <si>
    <t>3, 4, 2, 5, 8, 4, 8, 7, 1, 4, 4, 3, 7, 5, 16, 11, 8, 8, 7, 2, 6, 7, 3, 6</t>
  </si>
  <si>
    <t>drain surgeon cape town reputable</t>
  </si>
  <si>
    <t>plumber on call near me</t>
  </si>
  <si>
    <t>drain surgeon cape town review</t>
  </si>
  <si>
    <t>6, 2, 9, 11, 20, 12, 7, 13, 9, 6, 10, 6, 14, 7, 11, 9, 10, 10, 7, 9, 6, 11, 7, 9</t>
  </si>
  <si>
    <t>plumber store near me</t>
  </si>
  <si>
    <t>drain surgeon cape town reviews</t>
  </si>
  <si>
    <t>drain surgeon cape town same day</t>
  </si>
  <si>
    <t>0, 1, 0, 10, 3, 5, 5, 4, 11, 7, 5, 9, 7, 8, 11, 12, 11, 19, 11, 5, 7, 11, 14, 10</t>
  </si>
  <si>
    <t>Plumbing; Shopping</t>
  </si>
  <si>
    <t>drain surgeon cape town top rated</t>
  </si>
  <si>
    <t>same day plumber near me</t>
  </si>
  <si>
    <t>drain surgeon cape town trusted</t>
  </si>
  <si>
    <t>9, 8, 10, 22, 9, 11, 6, 12, 10, 13, 42, 21, 1, 0, 4, 44, 0, 12, 8, 1, 2, 8, 10, 7</t>
  </si>
  <si>
    <t>affordable plumber near me</t>
  </si>
  <si>
    <t>drain surgeon cape town vs</t>
  </si>
  <si>
    <t>25, 11, 21, 15, 14, 14, 12, 10, 13, 17, 18, 17, 14, 11, 17, 13, 11, 8, 15, 8, 12, 9, 11, 12</t>
  </si>
  <si>
    <t>apprentice plumber jobs near me</t>
  </si>
  <si>
    <t>electrician cape town 24 hour</t>
  </si>
  <si>
    <t>0, 1, 1, 0, 0, 0, 0, 0, 0, 0, 1, 5, 34, 20, 5, 0, 0, 3, 1, 0, 4, 0, 0, 1</t>
  </si>
  <si>
    <t>a plumber near me</t>
  </si>
  <si>
    <t>electrician cape town affordable</t>
  </si>
  <si>
    <t>4, 2, 13, 3, 10, 12, 7, 8, 5, 7, 11, 11, 8, 12, 7, 9, 10, 10, 11, 7, 12, 12, 7, 11</t>
  </si>
  <si>
    <t>plumber companies near me</t>
  </si>
  <si>
    <t>electrician cape town alternatives</t>
  </si>
  <si>
    <t>electrician cape town best</t>
  </si>
  <si>
    <t>3, 0, 4, 6, 6, 8, 6, 8, 12, 10, 8, 5, 57, 8, 2, 5, 4, 3, 4, 7, 1, 2, 3, 5</t>
  </si>
  <si>
    <t>electrician cape town certified</t>
  </si>
  <si>
    <t>plumber course near me</t>
  </si>
  <si>
    <t>electrician cape town compare</t>
  </si>
  <si>
    <t>10, 7, 9, 6, 8, 8, 4, 8, 4, 3, 4, 12, 2, 8, 10, 5, 1, 16, 13, 12, 8, 10, 4, 8</t>
  </si>
  <si>
    <t>Continuing education</t>
  </si>
  <si>
    <t>electrician cape town complaints</t>
  </si>
  <si>
    <t>plumber courses near me</t>
  </si>
  <si>
    <t>electrician cape town cost</t>
  </si>
  <si>
    <t>1, 4, 10, 2, 3, 1, 12, 1, 8, 5, 7, 1, 7, 6, 4, 4, 1, 6, 7, 11, 12, 17, 13, 14</t>
  </si>
  <si>
    <t>plumber near me cheap</t>
  </si>
  <si>
    <t>electrician cape town insured</t>
  </si>
  <si>
    <t>electrician cape town licensed</t>
  </si>
  <si>
    <t>7, 3, 6, 8, 1, 2, 7, 18, 9, 8, 17, 4, 7, 7, 5, 5, 9, 13, 11, 3, 8, 8, 7, 9</t>
  </si>
  <si>
    <t>electrician cape town local</t>
  </si>
  <si>
    <t>any plumber near me</t>
  </si>
  <si>
    <t>electrician cape town near me</t>
  </si>
  <si>
    <t>3, 3, 6, 6, 1, 1, 3, 1, 8, 6, 10, 4, 7, 6, 6, 9, 3, 4, 10, 5, 7, 4, 5, 6</t>
  </si>
  <si>
    <t>looking for a plumber near me</t>
  </si>
  <si>
    <t>electrician cape town prices</t>
  </si>
  <si>
    <t>electrician cape town qualified</t>
  </si>
  <si>
    <t>electrician cape town quote</t>
  </si>
  <si>
    <t>electrician cape town reliable</t>
  </si>
  <si>
    <t>16, 8, 8, 14, 17, 21, 8, 8, 11, 14, 10, 12, 4, 19, 11, 12, 8, 7, 9, 6, 10, 6, 2, 7</t>
  </si>
  <si>
    <t>certified plumber near me</t>
  </si>
  <si>
    <t>electrician cape town reputable</t>
  </si>
  <si>
    <t>16, 6, 13, 16, 15, 16, 11, 13, 17, 8, 12, 12, 16, 10, 7, 6, 4, 3, 14, 9, 14, 7, 8, 10</t>
  </si>
  <si>
    <t>electrician cape town review</t>
  </si>
  <si>
    <t>registered plumber near me</t>
  </si>
  <si>
    <t>electrician cape town reviews</t>
  </si>
  <si>
    <t>9, 9, 3, 6, 5, 10, 11, 7, 18, 7, 11, 7, 4, 7, 10, 4, 1, 10, 2, 4, 6, 1, 2, 4</t>
  </si>
  <si>
    <t>plumber for clogged toilet near me</t>
  </si>
  <si>
    <t>electrician cape town same day</t>
  </si>
  <si>
    <t>1, 2, 2, 0, 0, 3, 0, 1, 2, 1, 1, 1, 1, 1, 0, 0, 0, 0, 0, 0, 0, 0, 0, 1</t>
  </si>
  <si>
    <t>blocked drains plumber near me</t>
  </si>
  <si>
    <t>reviews</t>
  </si>
  <si>
    <t>electrician cape town top rated</t>
  </si>
  <si>
    <t>0, 0, 0, 0, 0, 0, 1, 2, 3, 2, 5, 0, 3, 0, 0, 0, 2, 0, 1, 2, 0, 1, 1, 2</t>
  </si>
  <si>
    <t>electrician cape town trusted</t>
  </si>
  <si>
    <t>domestic plumber near me</t>
  </si>
  <si>
    <t>electrician cape town vs</t>
  </si>
  <si>
    <t>0, 0, 0, 0, 0, 1, 0, 0, 1, 0, 1, 0, 0, 0, 0, 0, 0, 0, 0, 0, 1, 0, 0, 1</t>
  </si>
  <si>
    <t>plumber with jetter near me</t>
  </si>
  <si>
    <t>0, 0, 0, 0, 0, 0, 1, 0, 0, 1, 0, 0, 2, 0, 0, 1, 0, 0, 0, 0, 0, 0, 0, 1</t>
  </si>
  <si>
    <t>emergency plumber cape town 24 hour</t>
  </si>
  <si>
    <t>plumber bathroom fittings near me</t>
  </si>
  <si>
    <t>0, 2, 0, 0, 0, 0, 1, 1, 0, 0, 0, 0, 0, 0, 0, 0, 0, 0, 0, 0, 0, 0, 2, 2</t>
  </si>
  <si>
    <t>emergency plumber cape town affordable</t>
  </si>
  <si>
    <t>plumber near me vinings</t>
  </si>
  <si>
    <t>emergency plumber cape town alternatives</t>
  </si>
  <si>
    <t>0, 1, 0, 0, 0, 1, 0, 0, 2, 0, 0, 0, 0, 0, 0, 0, 0, 0, 0, 0, 0, 0, 0, 1</t>
  </si>
  <si>
    <t>septic plumber near me</t>
  </si>
  <si>
    <t>emergency plumber cape town best</t>
  </si>
  <si>
    <t>emergency plumber cape town certified</t>
  </si>
  <si>
    <t>1, 0, 0, 1, 0, 0, 0, 2, 0, 2, 0, 0, 0, 0, 0, 2, 0, 0, 0, 0, 1, 1, 0, 2</t>
  </si>
  <si>
    <t>plumber now near me</t>
  </si>
  <si>
    <t>emergency plumber cape town compare</t>
  </si>
  <si>
    <t>0, 1, 2, 3, 2, 2, 0, 1, 1, 0, 3, 0, 0, 0, 0, 0, 0, 1, 0, 0, 0, 0, 1, 1</t>
  </si>
  <si>
    <t>bathroom plumber near me</t>
  </si>
  <si>
    <t>emergency plumber cape town complaints</t>
  </si>
  <si>
    <t>1, 2, 4, 1, 4, 1, 2, 3, 3, 8, 5, 0, 0, 0, 0, 0, 0, 0, 0, 0, 0, 0, 0, 1</t>
  </si>
  <si>
    <t>plumber contact near me</t>
  </si>
  <si>
    <t>emergency plumber cape town cost</t>
  </si>
  <si>
    <t>0, 0, 0, 0, 0, 0, 0, 0, 0, 0, 0, 0, 0, 0, 0, 0, 0, 0, 0, 0, 0, 1, 0, 1</t>
  </si>
  <si>
    <t>emergency plumber cape town insured</t>
  </si>
  <si>
    <t>plumber near me waleska and ball ground</t>
  </si>
  <si>
    <t>0, 0, 0, 0, 0, 0, 0, 0, 0, 0, 0, 0, 0, 0, 0, 0, 0, 0, 0, 0, 0, 0, 0, 1</t>
  </si>
  <si>
    <t>emergency plumber cape town licensed</t>
  </si>
  <si>
    <t>plumber near me longwood</t>
  </si>
  <si>
    <t>emergency plumber cape town local</t>
  </si>
  <si>
    <t>water leak plumber near me</t>
  </si>
  <si>
    <t>emergency plumber cape town near me</t>
  </si>
  <si>
    <t>1, 1, 1, 2, 1, 1, 0, 0, 1, 0, 2, 1, 0, 0, 0, 2, 0, 1, 2, 0, 0, 0, 0, 1</t>
  </si>
  <si>
    <t>plumber service near me open now</t>
  </si>
  <si>
    <t>emergency plumber cape town prices</t>
  </si>
  <si>
    <t>0, 0, 3, 1, 0, 0, 0, 0, 0, 0, 1, 0, 0, 0, 0, 0, 0, 0, 0, 0, 0, 0, 0, 1</t>
  </si>
  <si>
    <t>emergency plumber cape town qualified</t>
  </si>
  <si>
    <t>plumber near me stafford va</t>
  </si>
  <si>
    <t>0, 0, 1, 0, 0, 0, 0, 0, 0, 0, 0, 0, 0, 0, 0, 0, 0, 0, 0, 0, 0, 0, 0, 1</t>
  </si>
  <si>
    <t>emergency plumber cape town quote</t>
  </si>
  <si>
    <t>master plumber near me</t>
  </si>
  <si>
    <t>0, 1, 1, 0, 2, 4, 2, 3, 3, 2, 4, 0, 1, 0, 0, 0, 0, 0, 0, 0, 0, 0, 0, 1</t>
  </si>
  <si>
    <t>plumber service near me home service</t>
  </si>
  <si>
    <t>emergency plumber cape town reliable</t>
  </si>
  <si>
    <t>0, 0, 0, 2, 0, 0, 0, 0, 1, 0, 0, 0, 0, 0, 0, 0, 0, 0, 0, 0, 0, 0, 0, 1</t>
  </si>
  <si>
    <t>emergency plumber cape town reputable</t>
  </si>
  <si>
    <t>plumber assistant jobs near me</t>
  </si>
  <si>
    <t>emergency plumber cape town review</t>
  </si>
  <si>
    <t>1, 3, 0, 6, 1, 0, 0, 2, 2, 1, 2, 8, 2, 0, 0, 0, 0, 0, 0, 0, 0, 0, 9, 4</t>
  </si>
  <si>
    <t>plumber near me buckhead</t>
  </si>
  <si>
    <t>emergency plumber cape town reviews</t>
  </si>
  <si>
    <t>0, 0, 0, 1, 0, 0, 0, 2, 0, 0, 0, 0, 0, 0, 0, 0, 0, 0, 0, 0, 0, 0, 0, 1</t>
  </si>
  <si>
    <t>plumber near me lake mary</t>
  </si>
  <si>
    <t>emergency plumber cape town same day</t>
  </si>
  <si>
    <t>plumber near me boca raton</t>
  </si>
  <si>
    <t>emergency plumber cape town top rated</t>
  </si>
  <si>
    <t>0, 0, 0, 0, 1, 1, 1, 2, 0, 1, 0, 1, 0, 0, 0, 0, 0, 0, 0, 0, 0, 0, 0, 1</t>
  </si>
  <si>
    <t>emergency plumber cape town trusted</t>
  </si>
  <si>
    <t>plumber and gas engineer near me</t>
  </si>
  <si>
    <t>emergency plumber cape town vs</t>
  </si>
  <si>
    <t>lpg plumber near me</t>
  </si>
  <si>
    <t>2, 0, 0, 1, 1, 2, 1, 1, 5, 2, 1, 1, 0, 0, 0, 0, 0, 0, 0, 0, 0, 0, 0, 1</t>
  </si>
  <si>
    <t>plumber near me alternatives</t>
  </si>
  <si>
    <t>plumber near me aventura</t>
  </si>
  <si>
    <t>plumber near me best</t>
  </si>
  <si>
    <t>plumber near me brighton co</t>
  </si>
  <si>
    <t>plumber near me certified</t>
  </si>
  <si>
    <t>0, 1, 1, 0, 1, 0, 1, 0, 0, 0, 0, 0, 0, 0, 0, 0, 0, 0, 0, 0, 0, 0, 0, 1</t>
  </si>
  <si>
    <t>plumber near me ofallon</t>
  </si>
  <si>
    <t>plumber near me compare</t>
  </si>
  <si>
    <t>plumber near me complaints</t>
  </si>
  <si>
    <t>plumber near me east cobb</t>
  </si>
  <si>
    <t>0, 0, 0, 2, 0, 1, 0, 0, 0, 0, 0, 0, 0, 0, 0, 0, 0, 0, 0, 0, 0, 0, 0, 1</t>
  </si>
  <si>
    <t>plumber near me insured</t>
  </si>
  <si>
    <t>grohe plumber near me</t>
  </si>
  <si>
    <t>plumber near me licensed</t>
  </si>
  <si>
    <t>0, 0, 1, 0, 0, 0, 0, 0, 0, 1, 0, 0, 0, 0, 0, 0, 0, 0, 0, 0, 0, 0, 0, 1</t>
  </si>
  <si>
    <t>plumber near me gas line</t>
  </si>
  <si>
    <t>plumber near me local</t>
  </si>
  <si>
    <t>1, 0, 0, 0, 2, 1, 3, 3, 1, 1, 2, 0, 0, 0, 0, 0, 0, 0, 0, 0, 0, 0, 0, 1</t>
  </si>
  <si>
    <t>plumber near me qualified</t>
  </si>
  <si>
    <t>emergency plumber service near me</t>
  </si>
  <si>
    <t>1, 2, 4, 2, 2, 2, 2, 7, 0, 1, 1, 2, 0, 1, 0, 1, 0, 1, 0, 0, 0, 0, 0, 1</t>
  </si>
  <si>
    <t>plumber near me hialeah</t>
  </si>
  <si>
    <t>plumber near me quote</t>
  </si>
  <si>
    <t>plumber near me reliable</t>
  </si>
  <si>
    <t>plumber near me south africa</t>
  </si>
  <si>
    <t>review</t>
  </si>
  <si>
    <t>0, 0, 0, 0, 0, 0, 0, 0, 0, 0, 0, 0, 0, 0, 0, 0, 0, 14, 11, 0, 0, 0, 0, 1</t>
  </si>
  <si>
    <t>plumber near me reputable</t>
  </si>
  <si>
    <t>plumber contact number near me</t>
  </si>
  <si>
    <t>plumber near me review</t>
  </si>
  <si>
    <t>3, 1, 0, 1, 3, 0, 1, 2, 0, 1, 0, 2, 0, 1, 0, 0, 0, 1, 1, 3, 0, 0, 2, 1</t>
  </si>
  <si>
    <t>plumber near me st. john mo</t>
  </si>
  <si>
    <t>plumber near me top rated</t>
  </si>
  <si>
    <t>gas plumber near me cypress tx</t>
  </si>
  <si>
    <t>plumber near me trusted</t>
  </si>
  <si>
    <t>0, 0, 1, 0, 2, 0, 0, 1, 1, 2, 1, 0, 0, 0, 0, 0, 0, 0, 0, 0, 0, 0, 0, 1</t>
  </si>
  <si>
    <t>plumber near me bridgeport</t>
  </si>
  <si>
    <t>plumber near me vs</t>
  </si>
  <si>
    <t>0, 0, 0, 0, 0, 1, 1, 0, 0, 0, 0, 0, 0, 0, 0, 0, 0, 0, 0, 0, 0, 0, 0, 1</t>
  </si>
  <si>
    <t>plumber near me open 24 7</t>
  </si>
  <si>
    <t>plumbers cape town 24 hour</t>
  </si>
  <si>
    <t>0, 0, 0, 0, 0, 0, 1, 0, 0, 0, 0, 0, 0, 0, 0, 0, 0, 0, 0, 0, 0, 0, 0, 1</t>
  </si>
  <si>
    <t>inexpensive plumber near me</t>
  </si>
  <si>
    <t>plumbers cape town affordable</t>
  </si>
  <si>
    <t>0, 0, 1, 2, 2, 1, 1, 0, 1, 0, 2, 1, 0, 0, 1, 0, 1, 0, 2, 1, 0, 1, 0, 1</t>
  </si>
  <si>
    <t>plumbers cape town alternatives</t>
  </si>
  <si>
    <t>toilet plumber near me houston tx</t>
  </si>
  <si>
    <t>0, 0, 0, 0, 0, 0, 0, 1, 1, 0, 0, 0, 0, 0, 0, 0, 0, 0, 0, 0, 0, 0, 0, 1</t>
  </si>
  <si>
    <t>plumbers cape town best</t>
  </si>
  <si>
    <t>emergency gas plumber near me</t>
  </si>
  <si>
    <t>plumbers cape town certified</t>
  </si>
  <si>
    <t>2, 0, 0, 1, 1, 1, 0, 2, 1, 3, 4, 1, 0, 0, 0, 0, 0, 0, 0, 0, 0, 0, 0, 1</t>
  </si>
  <si>
    <t>near by plumber near me</t>
  </si>
  <si>
    <t>plumbers cape town compare</t>
  </si>
  <si>
    <t>0, 0, 0, 0, 0, 0, 0, 0, 0, 0, 0, 0, 2, 0, 0, 0, 0, 1, 0, 0, 0, 0, 0, 1</t>
  </si>
  <si>
    <t>plumbers cape town complaints</t>
  </si>
  <si>
    <t>plumber near me sanford fl</t>
  </si>
  <si>
    <t>plumbers cape town cost</t>
  </si>
  <si>
    <t>0, 0, 0, 0, 0, 1, 0, 0, 0, 0, 0, 0, 0, 0, 0, 0, 0, 0, 0, 0, 0, 0, 0, 1</t>
  </si>
  <si>
    <t>einstein plumber near me</t>
  </si>
  <si>
    <t>plumbers cape town insured</t>
  </si>
  <si>
    <t>plumber near me lemay mo</t>
  </si>
  <si>
    <t>plumbers cape town licensed</t>
  </si>
  <si>
    <t>find plumber near me</t>
  </si>
  <si>
    <t>plumbers cape town local</t>
  </si>
  <si>
    <t>4, 1, 3, 1, 1, 0, 7, 5, 12, 6, 5, 5, 6, 1, 1, 0, 5, 4, 1, 1, 2, 2, 3, 1</t>
  </si>
  <si>
    <t>plumber near me sandy springs</t>
  </si>
  <si>
    <t>plumbers cape town near me</t>
  </si>
  <si>
    <t>0, 0, 0, 0, 0, 0, 1, 1, 0, 1, 1, 0, 0, 0, 0, 0, 0, 0, 0, 0, 0, 0, 0, 1</t>
  </si>
  <si>
    <t>plumbers cape town prices</t>
  </si>
  <si>
    <t>plumber septic near me</t>
  </si>
  <si>
    <t>plumbers cape town qualified</t>
  </si>
  <si>
    <t>plumber/tiler near me</t>
  </si>
  <si>
    <t>plumbers cape town quote</t>
  </si>
  <si>
    <t>plumber near me leander tx</t>
  </si>
  <si>
    <t>plumbers cape town reliable</t>
  </si>
  <si>
    <t>plumbers cape town reputable</t>
  </si>
  <si>
    <t>licensed plumber near me cypress tx</t>
  </si>
  <si>
    <t>0, 1, 1, 1, 1, 0, 0, 1, 1, 0, 0, 0, 0, 0, 0, 0, 0, 0, 0, 0, 0, 0, 0, 1</t>
  </si>
  <si>
    <t>plumbers cape town review</t>
  </si>
  <si>
    <t>24 hours plumber near me</t>
  </si>
  <si>
    <t>4, 4, 1, 4, 2, 7, 4, 4, 5, 4, 5, 2, 2, 1, 3, 8, 4, 2, 3, 0, 3, 5, 7, 6</t>
  </si>
  <si>
    <t>plumbers cape town reviews</t>
  </si>
  <si>
    <t>plumber near me llc</t>
  </si>
  <si>
    <t>0, 0, 0, 0, 0, 0, 2, 1, 0, 0, 0, 1, 0, 1, 0, 0, 0, 0, 0, 1, 0, 0, 0, 1</t>
  </si>
  <si>
    <t>plumbers cape town same day</t>
  </si>
  <si>
    <t>plumber builder near me</t>
  </si>
  <si>
    <t>plumbers cape town top rated</t>
  </si>
  <si>
    <t>0, 0, 1, 0, 0, 1, 1, 4, 0, 1, 0, 0, 0, 0, 0, 1, 0, 0, 0, 1, 1, 1, 0, 2</t>
  </si>
  <si>
    <t>plumber near me murrieta</t>
  </si>
  <si>
    <t>plumbers cape town trusted</t>
  </si>
  <si>
    <t>0, 0, 1, 0, 0, 1, 1, 1, 1, 0, 0, 0, 0, 0, 0, 0, 0, 0, 0, 0, 0, 0, 0, 1</t>
  </si>
  <si>
    <t>plumber supply store near me</t>
  </si>
  <si>
    <t>plumbers cape town vs</t>
  </si>
  <si>
    <t>plumbing company cape town 24 hour</t>
  </si>
  <si>
    <t>0, 0, 0, 0, 5, 4, 1, 2, 2, 11, 8, 5, 4, 4, 4, 1, 9, 2, 2, 2, 5, 2, 2, 4</t>
  </si>
  <si>
    <t>plumber trade school near me</t>
  </si>
  <si>
    <t>plumbing company cape town affordable</t>
  </si>
  <si>
    <t>1, 1, 1, 0, 0, 2, 0, 1, 0, 0, 1, 1, 1, 1, 1, 0, 0, 3, 2, 0, 1, 0, 0, 1</t>
  </si>
  <si>
    <t>emergency plumber near me lawrenceville</t>
  </si>
  <si>
    <t>plumbing company cape town alternatives</t>
  </si>
  <si>
    <t>0, 0, 0, 0, 0, 1, 0, 2, 0, 0, 1, 0, 0, 0, 0, 0, 0, 0, 0, 0, 0, 0, 0, 1</t>
  </si>
  <si>
    <t>plumbing company cape town best</t>
  </si>
  <si>
    <t>best plumber near me open now</t>
  </si>
  <si>
    <t>0, 0, 0, 1, 0, 0, 2, 0, 0, 4, 0, 2, 0, 1, 0, 1, 1, 0, 0, 0, 0, 3, 2, 3</t>
  </si>
  <si>
    <t>plumbing company cape town certified</t>
  </si>
  <si>
    <t>learn to be a plumber near me</t>
  </si>
  <si>
    <t>0, 0, 0, 0, 0, 0, 0, 0, 0, 0, 1, 0, 0, 0, 0, 1, 1, 0, 0, 0, 1, 0, 0, 1</t>
  </si>
  <si>
    <t>plumbing company cape town compare</t>
  </si>
  <si>
    <t>plumber near me st peters</t>
  </si>
  <si>
    <t>plumbing company cape town complaints</t>
  </si>
  <si>
    <t>plumber contractors near me</t>
  </si>
  <si>
    <t>plumbing company cape town cost</t>
  </si>
  <si>
    <t>5, 3, 0, 1, 2, 1, 3, 2, 4, 3, 5, 2, 0, 0, 0, 2, 0, 0, 0, 2, 0, 0, 0, 1</t>
  </si>
  <si>
    <t>rv plumber near me</t>
  </si>
  <si>
    <t>plumbing company cape town insured</t>
  </si>
  <si>
    <t>0, 0, 1, 1, 0, 1, 0, 0, 0, 2, 2, 0, 0, 0, 0, 0, 0, 0, 0, 0, 0, 0, 0, 1</t>
  </si>
  <si>
    <t>plumbing company cape town licensed</t>
  </si>
  <si>
    <t>plumber near me brighton and hove</t>
  </si>
  <si>
    <t>plumbing company cape town local</t>
  </si>
  <si>
    <t>plumber near me decatur</t>
  </si>
  <si>
    <t>plumbing company cape town near me</t>
  </si>
  <si>
    <t>reliable</t>
  </si>
  <si>
    <t>0, 1, 0, 1, 0, 1, 0, 0, 0, 0, 0, 0, 0, 0, 0, 0, 0, 0, 0, 0, 0, 0, 0, 1</t>
  </si>
  <si>
    <t>well plumber near me</t>
  </si>
  <si>
    <t>plumbing company cape town prices</t>
  </si>
  <si>
    <t>2, 1, 0, 0, 0, 2, 1, 1, 4, 1, 2, 0, 0, 0, 0, 0, 0, 0, 0, 0, 0, 0, 0, 1</t>
  </si>
  <si>
    <t>emergency plumber near me prices</t>
  </si>
  <si>
    <t>plumbing company cape town qualified</t>
  </si>
  <si>
    <t>1, 0, 0, 0, 3, 1, 0, 1, 0, 0, 0, 0, 3, 0, 0, 2, 0, 0, 0, 2, 0, 0, 0, 1</t>
  </si>
  <si>
    <t>plumber near me free estimate tomball tx</t>
  </si>
  <si>
    <t>plumbing company cape town quote</t>
  </si>
  <si>
    <t>0, 0, 0, 1, 0, 1, 0, 0, 1, 0, 0, 0, 0, 0, 0, 0, 0, 0, 0, 0, 0, 0, 0, 1</t>
  </si>
  <si>
    <t>plumbing company cape town reliable</t>
  </si>
  <si>
    <t>plumber for hire near me</t>
  </si>
  <si>
    <t>plumbing company cape town reputable</t>
  </si>
  <si>
    <t>0, 1, 0, 1, 0, 0, 0, 0, 2, 2, 1, 0, 0, 1, 1, 0, 0, 1, 0, 1, 0, 1, 0, 1</t>
  </si>
  <si>
    <t>plumber near me free estimate spring tx</t>
  </si>
  <si>
    <t>plumbing company cape town review</t>
  </si>
  <si>
    <t>emergency plumber near me brookhaven</t>
  </si>
  <si>
    <t>plumbing company cape town reviews</t>
  </si>
  <si>
    <t>plumbing company cape town same day</t>
  </si>
  <si>
    <t>gas fireplace plumber near me</t>
  </si>
  <si>
    <t>plumbing company cape town top rated</t>
  </si>
  <si>
    <t>0, 0, 1, 0, 1, 2, 1, 1, 0, 2, 1, 2, 0, 0, 0, 0, 0, 0, 0, 0, 0, 0, 1, 2</t>
  </si>
  <si>
    <t>plumber near me home service</t>
  </si>
  <si>
    <t>plumbing company cape town trusted</t>
  </si>
  <si>
    <t>3, 2, 0, 3, 2, 2, 1, 1, 2, 2, 3, 0, 1, 3, 2, 1, 2, 6, 1, 1, 6, 3, 0, 4</t>
  </si>
  <si>
    <t>the best plumber near me</t>
  </si>
  <si>
    <t>plumbing company cape town vs</t>
  </si>
  <si>
    <t>0, 1, 2, 2, 0, 3, 2, 3, 2, 1, 2, 0, 1, 0, 0, 0, 2, 0, 0, 1, 1, 0, 0, 1</t>
  </si>
  <si>
    <t>plumber near me los alamos</t>
  </si>
  <si>
    <t>schmidhauser plumbing 24 hour</t>
  </si>
  <si>
    <t>well water plumber near me</t>
  </si>
  <si>
    <t>schmidhauser plumbing affordable</t>
  </si>
  <si>
    <t>0, 0, 1, 0, 0, 0, 0, 2, 0, 0, 1, 0, 0, 0, 1, 0, 0, 0, 0, 0, 0, 0, 0, 1</t>
  </si>
  <si>
    <t>schmidhauser plumbing alternatives</t>
  </si>
  <si>
    <t>burst pipe plumber near me</t>
  </si>
  <si>
    <t>schmidhauser plumbing best</t>
  </si>
  <si>
    <t>0, 0, 0, 1, 1, 0, 0, 3, 1, 0, 0, 0, 0, 0, 0, 0, 0, 0, 0, 0, 2, 1, 0, 2</t>
  </si>
  <si>
    <t>heating and plumber near me</t>
  </si>
  <si>
    <t>schmidhauser plumbing certified</t>
  </si>
  <si>
    <t>0, 0, 0, 0, 1, 0, 0, 0, 0, 0, 0, 0, 0, 0, 0, 0, 0, 0, 0, 0, 0, 0, 0, 1</t>
  </si>
  <si>
    <t>schmidhauser plumbing compare</t>
  </si>
  <si>
    <t>emergency commercial plumber near me</t>
  </si>
  <si>
    <t>0, 1, 0, 2, 3, 4, 0, 3, 2, 0, 1, 0, 0, 0, 0, 0, 0, 0, 0, 0, 0, 0, 0, 1</t>
  </si>
  <si>
    <t>schmidhauser plumbing complaints</t>
  </si>
  <si>
    <t>electrical plumber near me</t>
  </si>
  <si>
    <t>schmidhauser plumbing cost</t>
  </si>
  <si>
    <t>1, 1, 2, 1, 2, 2, 3, 0, 0, 0, 0, 4, 1, 0, 0, 0, 0, 2, 0, 1, 0, 0, 0, 1</t>
  </si>
  <si>
    <t>electrical and plumber near me</t>
  </si>
  <si>
    <t>schmidhauser plumbing insured</t>
  </si>
  <si>
    <t>0, 0, 1, 1, 1, 1, 3, 1, 0, 0, 1, 0, 4, 0, 2, 0, 0, 0, 0, 1, 0, 1, 0, 1</t>
  </si>
  <si>
    <t>plumber near me emergency</t>
  </si>
  <si>
    <t>schmidhauser plumbing licensed</t>
  </si>
  <si>
    <t>1, 5, 2, 2, 4, 1, 1, 2, 5, 5, 4, 2, 1, 2, 1, 1, 2, 3, 1, 7, 1, 7, 15, 10</t>
  </si>
  <si>
    <t>schmidhauser plumbing local</t>
  </si>
  <si>
    <t>plumber for geyser fitting near me</t>
  </si>
  <si>
    <t>0, 1, 3, 2, 2, 0, 3, 0, 0, 0, 0, 5, 1, 2, 3, 1, 0, 6, 0, 0, 0, 0, 0, 1</t>
  </si>
  <si>
    <t>schmidhauser plumbing near me</t>
  </si>
  <si>
    <t>plumber asap near me</t>
  </si>
  <si>
    <t>schmidhauser plumbing prices</t>
  </si>
  <si>
    <t>0, 0, 0, 0, 0, 0, 0, 0, 0, 1, 0, 0, 0, 0, 0, 0, 0, 0, 0, 0, 0, 1, 0, 1</t>
  </si>
  <si>
    <t>i need plumber near me</t>
  </si>
  <si>
    <t>schmidhauser plumbing qualified</t>
  </si>
  <si>
    <t>0, 0, 0, 0, 0, 0, 1, 3, 1, 0, 0, 0, 2, 1, 1, 0, 0, 1, 0, 1, 1, 1, 0, 3</t>
  </si>
  <si>
    <t>schmidhauser plumbing quote</t>
  </si>
  <si>
    <t>megaflo plumber near me</t>
  </si>
  <si>
    <t>schmidhauser plumbing reliable</t>
  </si>
  <si>
    <t>hourly rate for plumber near me</t>
  </si>
  <si>
    <t>schmidhauser plumbing reputable</t>
  </si>
  <si>
    <t>1, 2, 0, 0, 0, 0, 0, 0, 0, 0, 0, 0, 0, 0, 1, 0, 0, 0, 0, 0, 0, 0, 0, 1</t>
  </si>
  <si>
    <t>plumber number near me</t>
  </si>
  <si>
    <t>schmidhauser plumbing review</t>
  </si>
  <si>
    <t>1, 2, 0, 0, 0, 3, 1, 0, 1, 0, 1, 1, 0, 3, 0, 1, 0, 0, 3, 1, 1, 0, 0, 1</t>
  </si>
  <si>
    <t>commercial plumber company near me</t>
  </si>
  <si>
    <t>schmidhauser plumbing reviews</t>
  </si>
  <si>
    <t>1, 0, 0, 0, 0, 1, 3, 1, 2, 1, 2, 0, 0, 0, 0, 0, 0, 0, 0, 0, 0, 0, 0, 1</t>
  </si>
  <si>
    <t>joe the plumber near me</t>
  </si>
  <si>
    <t>schmidhauser plumbing same day</t>
  </si>
  <si>
    <t>0, 0, 1, 0, 1, 0, 0, 0, 0, 0, 0, 0, 0, 0, 0, 0, 0, 0, 0, 0, 0, 0, 0, 1</t>
  </si>
  <si>
    <t>schmidhauser plumbing top rated</t>
  </si>
  <si>
    <t>plumber calgary near me</t>
  </si>
  <si>
    <t>schmidhauser plumbing trusted</t>
  </si>
  <si>
    <t>0, 1, 0, 1, 0, 1, 0, 0, 0, 0, 3, 0, 0, 0, 0, 0, 0, 0, 0, 0, 0, 0, 0, 1</t>
  </si>
  <si>
    <t>medical gas plumber near me</t>
  </si>
  <si>
    <t>schmidhauser plumbing vs</t>
  </si>
  <si>
    <t>trusted</t>
  </si>
  <si>
    <t>1, 0, 0, 0, 0, 0, 0, 0, 0, 0, 0, 0, 0, 0, 0, 0, 0, 0, 0, 0, 0, 0, 0, 1</t>
  </si>
  <si>
    <t>swimming pool plumber near me</t>
  </si>
  <si>
    <t>0, 2, 2, 0, 0, 0, 0, 0, 0, 1, 1, 0, 0, 0, 1, 0, 0, 0, 0, 0, 0, 0, 0, 1</t>
  </si>
  <si>
    <t>plumber near me weatherford tx</t>
  </si>
  <si>
    <t>plumber near me annapolis</t>
  </si>
  <si>
    <t>plumber near me pittsgrove nj</t>
  </si>
  <si>
    <t>AI Overview,Thumbnail,People also ask,Knowledge panel,Video preview</t>
  </si>
  <si>
    <t>plumber call out near me</t>
  </si>
  <si>
    <t>0, 0, 0, 1, 0, 1, 1, 0, 0, 0, 1, 0, 1, 0, 0, 0, 1, 1, 0, 1, 0, 0, 0, 1</t>
  </si>
  <si>
    <t>plumber near me woodstock</t>
  </si>
  <si>
    <t>3426, 3480, 3405, 3171, 4017, 3698, 3124, 3488, 3399, 3449, 3689, 3436, 3447, 3496, 3425, 3161, 4046, 3715, 3146, 3529, 3412, 3454, 3692, 3441</t>
  </si>
  <si>
    <t>3453, 3502, 3431, 3170, 4044, 3717, 3156, 3535, 3419, 3460, 3694</t>
  </si>
  <si>
    <t>plumber near me fallbrook</t>
  </si>
  <si>
    <t>best plumber near me home service</t>
  </si>
  <si>
    <t>1, 0, 0, 0, 0, 0, 0, 0, 1, 1, 1, 0, 0, 0, 2, 0, 0, 2, 1, 0, 0, 2, 0, 1</t>
  </si>
  <si>
    <t>plumber near me open today</t>
  </si>
  <si>
    <t>0, 0, 0, 0, 0, 0, 0, 1, 0, 0, 1, 0, 0, 0, 0, 0, 0, 0, 0, 0, 0, 0, 0, 1</t>
  </si>
  <si>
    <t>become a plumber near me</t>
  </si>
  <si>
    <t>0, 0, 0, 0, 0, 0, 0, 0, 0, 0, 0, 0, 0, 1, 0, 0, 0, 0, 0, 0, 0, 0, 0, 1</t>
  </si>
  <si>
    <t>plumber well service near me</t>
  </si>
  <si>
    <t>0, 0, 0, 9, 0, 0, 0, 0, 0, 0, 0, 0, 0, 0, 0, 0, 0, 0, 0, 0, 0, 0, 0, 1</t>
  </si>
  <si>
    <t>atlanta plumber near me</t>
  </si>
  <si>
    <t>0, 0, 0, 0, 0, 0, 1, 0, 1, 1, 0, 0, 0, 0, 0, 0, 0, 0, 0, 0, 0, 0, 0, 1</t>
  </si>
  <si>
    <t>handy plumber near me</t>
  </si>
  <si>
    <t>0, 1, 0, 0, 0, 1, 0, 0, 0, 0, 1, 0, 0, 0, 0, 0, 0, 0, 0, 0, 0, 0, 0, 1</t>
  </si>
  <si>
    <t>sump pump plumber near me</t>
  </si>
  <si>
    <t>270, 267, 368, 262, 315, 424, 422, 419, 408, 423, 380, 451, 467, 578, 412, 371, 423, 432, 424, 412, 415, 456, 430, 459</t>
  </si>
  <si>
    <t>426, 433, 430, 419, 420, 437, 429, 417, 420, 461, 435</t>
  </si>
  <si>
    <t>0, 0, 0, 0, 0, 1, 0, 4, 1, 2, 4, 0, 0, 0, 0, 0, 0, 0, 0, 0, 0, 0, 0, 1</t>
  </si>
  <si>
    <t>best roof plumber near me</t>
  </si>
  <si>
    <t>plumbers</t>
  </si>
  <si>
    <t>0, 0, 0, 0, 0, 0, 0, 1, 0, 0, 1, 4, 0, 0, 0, 0, 0, 0, 0, 0, 0, 0, 0, 1</t>
  </si>
  <si>
    <t>plumber to install fridge water line near me</t>
  </si>
  <si>
    <t>0, 1, 0, 0, 0, 0, 0, 0, 1, 0, 1, 0, 0, 0, 1, 0, 0, 0, 0, 0, 0, 0, 0, 1</t>
  </si>
  <si>
    <t>near me plumber service</t>
  </si>
  <si>
    <t>1, 2, 1, 5, 4, 2, 2, 5, 6, 5, 10, 9, 0, 1, 0, 1, 0, 1, 1, 1, 2, 2, 1, 3</t>
  </si>
  <si>
    <t>best 24 hour plumber near me</t>
  </si>
  <si>
    <t>3, 2, 0, 0, 5, 2, 1, 7, 1, 3, 3, 3, 0, 0, 0, 0, 0, 0, 0, 0, 1, 2, 0, 2</t>
  </si>
  <si>
    <t>389, 380, 400, 369, 395, 405, 387, 375, 364, 391, 407, 410, 388, 379, 398, 368, 393, 404, 385, 373, 363, 390, 405, 409</t>
  </si>
  <si>
    <t>sewage plumber near me</t>
  </si>
  <si>
    <t>386, 377, 397, 366, 392, 402, 383, 372, 361, 388, 404, 407</t>
  </si>
  <si>
    <t>1, 3, 2, 0, 4, 5, 4, 10, 3, 7, 8, 6, 5, 3, 3, 5, 6, 9, 0, 2, 0, 1, 1, 2</t>
  </si>
  <si>
    <t>plumbing services</t>
  </si>
  <si>
    <t>buckhead plumber near me</t>
  </si>
  <si>
    <t>local plumber near me prices</t>
  </si>
  <si>
    <t>AI Overview,Thumbnail,People also ask,Video preview,Knowledge panel</t>
  </si>
  <si>
    <t>0, 0, 0, 1, 0, 0, 0, 0, 1, 0, 1, 0, 0, 0, 0, 0, 2, 0, 0, 0, 0, 1, 0, 1</t>
  </si>
  <si>
    <t>español slab pipe leak plumber near me</t>
  </si>
  <si>
    <t>0, 0, 1, 0, 0, 0, 1, 1, 0, 0, 0, 0, 0, 0, 0, 0, 0, 0, 0, 0, 0, 0, 0, 1</t>
  </si>
  <si>
    <t>532, 354, 547, 321, 446, 371, 377, 398, 470, 257, 299, 394, 372, 378, 712, 354, 273, 399, 395, 403, 405, 436, 408, 417</t>
  </si>
  <si>
    <t>outdoor plumber near me</t>
  </si>
  <si>
    <t>448, 381, 415, 420, 355, 407, 402, 411, 413, 444, 416, 424</t>
  </si>
  <si>
    <t>plumber cape town</t>
  </si>
  <si>
    <t>1, 2, 1, 0, 0, 4, 3, 0, 1, 1, 5, 0, 0, 1, 0, 0, 0, 0, 0, 0, 0, 0, 0, 1</t>
  </si>
  <si>
    <t>plumber costs near me</t>
  </si>
  <si>
    <t>0, 1, 2, 0, 0, 1, 2, 0, 1, 1, 0, 0, 0, 0, 2, 0, 3, 0, 0, 0, 0, 0, 0, 1</t>
  </si>
  <si>
    <t>plumber near me rockville centre</t>
  </si>
  <si>
    <t>0, 0, 0, 1, 0, 0, 0, 0, 1, 0, 0, 0, 0, 0, 0, 0, 0, 0, 0, 0, 0, 0, 0, 1</t>
  </si>
  <si>
    <t>plumber near me corona</t>
  </si>
  <si>
    <t>416, 437, 397, 433, 294, 481, 383, 466, 387, 454, 313, 422, 433, 355, 304, 359, 271, 343, 303, 318, 314, 323, 329, 326</t>
  </si>
  <si>
    <t>313, 321, 349, 334, 305, 344, 307, 320, 317, 326, 334, 329</t>
  </si>
  <si>
    <t>local plumber near me loganville</t>
  </si>
  <si>
    <t>plumber randburg</t>
  </si>
  <si>
    <t>0, 0, 0, 0, 0, 1, 1, 0, 2, 0, 0, 0, 0, 0, 0, 0, 0, 0, 0, 0, 0, 0, 0, 1</t>
  </si>
  <si>
    <t>plumber available near me</t>
  </si>
  <si>
    <t>reputable</t>
  </si>
  <si>
    <t>4, 1, 4, 2, 6, 5, 1, 2, 4, 0, 1, 1, 3, 2, 0, 0, 1, 3, 6, 4, 1, 1, 7, 5</t>
  </si>
  <si>
    <t>plumber material near me</t>
  </si>
  <si>
    <t>0, 0, 0, 0, 0, 0, 0, 2, 0, 0, 1, 1, 0, 0, 0, 0, 0, 0, 0, 0, 0, 1, 0, 1</t>
  </si>
  <si>
    <t>plumber near me open</t>
  </si>
  <si>
    <t>255, 218, 262, 154, 185, 263, 179, 176, 174, 188, 209, 308, 234, 226, 222, 273, 223, 218, 243, 216, 230, 222, 232, 237</t>
  </si>
  <si>
    <t>241, 232, 260, 232, 220, 238, 233, 233, 218, 226, 236, 241</t>
  </si>
  <si>
    <t>0, 1, 1, 0, 0, 0, 0, 2, 1, 1, 0, 1, 0, 0, 0, 1, 0, 0, 0, 0, 0, 1, 0, 1</t>
  </si>
  <si>
    <t>plumber free estimate near me</t>
  </si>
  <si>
    <t>plumbers pretoria</t>
  </si>
  <si>
    <t>0, 0, 2, 0, 0, 0, 0, 1, 0, 1, 0, 0, 0, 0, 0, 0, 0, 0, 0, 0, 0, 0, 0, 1</t>
  </si>
  <si>
    <t>water plumber near me</t>
  </si>
  <si>
    <t>0, 4, 6, 5, 6, 6, 4, 5, 0, 5, 2, 1, 1, 1, 0, 4, 0, 1, 0, 1, 0, 1, 1, 2</t>
  </si>
  <si>
    <t>best cheap plumber near me</t>
  </si>
  <si>
    <t>0, 0, 1, 2, 4, 0, 0, 0, 0, 1, 1, 0, 0, 0, 0, 0, 0, 0, 0, 0, 0, 0, 0, 1</t>
  </si>
  <si>
    <t>emergency plumber near me castle rock</t>
  </si>
  <si>
    <t>281, 271, 279, 226, 181, 276, 279, 280, 272, 277, 237, 380, 313, 297, 287, 233, 199, 245, 209, 219, 216, 236, 234, 256</t>
  </si>
  <si>
    <t>244, 240, 253, 233, 219, 248, 212, 222, 219, 239, 237, 259</t>
  </si>
  <si>
    <t>0, 0, 0, 0, 0, 0, 0, 0, 0, 1, 0, 0, 0, 0, 0, 0, 0, 0, 0, 0, 0, 0, 0, 1</t>
  </si>
  <si>
    <t>ottawa on emergency plumber near me</t>
  </si>
  <si>
    <t>repair plumber near me</t>
  </si>
  <si>
    <t>plumbing services near me</t>
  </si>
  <si>
    <t>0, 0, 2, 1, 0, 1, 1, 2, 3, 3, 2, 1, 0, 0, 0, 0, 0, 0, 0, 0, 0, 0, 0, 1</t>
  </si>
  <si>
    <t>plumber place near me</t>
  </si>
  <si>
    <t>0, 0, 0, 0, 0, 0, 0, 0, 0, 0, 0, 0, 0, 0, 0, 0, 0, 0, 0, 3, 0, 2, 0, 1</t>
  </si>
  <si>
    <t>plumber near me winter garden</t>
  </si>
  <si>
    <t>AI Overview,Thumbnail,People also ask,Discussions,Knowledge panel</t>
  </si>
  <si>
    <t>local plumber near me open now</t>
  </si>
  <si>
    <t>0, 0, 0, 0, 0, 0, 1, 0, 0, 0, 0, 0, 0, 1, 0, 0, 0, 0, 0, 0, 0, 0, 0, 1</t>
  </si>
  <si>
    <t>leak detector plumber near me</t>
  </si>
  <si>
    <t>288, 239, 239, 280, 286, 207, 244, 304, 200, 184, 214, 292, 193, 221, 149, 230, 168, 204, 219, 247, 324, 220, 237, 249</t>
  </si>
  <si>
    <t>234, 231, 221, 228, 231, 238, 226, 267, 247, 225, 241, 253</t>
  </si>
  <si>
    <t>0, 0, 0, 0, 0, 0, 0, 0, 0, 0, 0, 0, 0, 0, 0, 1, 2, 0, 0, 1, 0, 0, 0, 1</t>
  </si>
  <si>
    <t>plumber near me melbourne</t>
  </si>
  <si>
    <t>plumber johannesburg</t>
  </si>
  <si>
    <t>0, 0, 0, 0, 0, 0, 0, 0, 0, 3, 0, 0, 0, 0, 0, 0, 0, 0, 0, 0, 1, 0, 0, 1</t>
  </si>
  <si>
    <t>slab leak plumber near me</t>
  </si>
  <si>
    <t>0, 0, 0, 1, 1, 0, 2, 0, 0, 1, 0, 0, 0, 0, 0, 0, 0, 0, 0, 0, 0, 0, 0, 1</t>
  </si>
  <si>
    <t>plumber near me brooksville</t>
  </si>
  <si>
    <t>0, 0, 1, 1, 0, 1, 0, 0, 0, 0, 1, 0, 0, 0, 0, 0, 0, 0, 0, 0, 0, 0, 0, 1</t>
  </si>
  <si>
    <t>plumber near me uk</t>
  </si>
  <si>
    <t>127, 127, 183, 131, 153, 205, 208, 212, 207, 217, 194, 286, 285, 324, 222, 195, 241, 235, 227, 212, 211, 226, 205, 221</t>
  </si>
  <si>
    <t>203, 208, 213, 212, 216, 218, 209, 195, 193, 209, 188, 204</t>
  </si>
  <si>
    <t>0, 0, 3, 0, 0, 1, 0, 2, 4, 1, 2, 0, 1, 0, 0, 0, 1, 0, 0, 0, 0, 0, 0, 1</t>
  </si>
  <si>
    <t>emergency plumber</t>
  </si>
  <si>
    <t>plumber shop open near me</t>
  </si>
  <si>
    <t>0, 0, 0, 0, 0, 0, 0, 0, 0, 0, 0, 0, 0, 0, 0, 0, 0, 0, 0, 0, 1, 0, 0, 1</t>
  </si>
  <si>
    <t>service plumber jobs near me</t>
  </si>
  <si>
    <t>0, 0, 0, 1, 0, 0, 0, 0, 0, 0, 0, 0, 0, 0, 0, 0, 0, 0, 0, 0, 0, 0, 0, 1</t>
  </si>
  <si>
    <t>plumber worker near me</t>
  </si>
  <si>
    <t>0, 0, 0, 0, 0, 0, 1, 1, 0, 0, 0, 0, 0, 0, 0, 0, 0, 0, 0, 0, 1, 0, 0, 1</t>
  </si>
  <si>
    <t>199, 252, 251, 212, 364, 495, 357, 239, 352, 279, 248, 229, 219, 225, 257, 202, 245, 242, 225, 220, 251, 234, 234, 208</t>
  </si>
  <si>
    <t>plumber same day service near me</t>
  </si>
  <si>
    <t>218, 233, 231, 235, 267, 246, 229, 225, 256, 239, 238, 213</t>
  </si>
  <si>
    <t>0, 0, 1, 0, 0, 0, 1, 0, 0, 1, 1, 1, 0, 0, 0, 0, 0, 0, 0, 0, 0, 0, 0, 1</t>
  </si>
  <si>
    <t>plumbers durban</t>
  </si>
  <si>
    <t>plumber near near me</t>
  </si>
  <si>
    <t>1, 0, 4, 4, 5, 4, 3, 1, 2, 7, 5, 0, 0, 1, 1, 2, 1, 5, 2, 4, 2, 3, 4, 4</t>
  </si>
  <si>
    <t>best plumber near me phone number</t>
  </si>
  <si>
    <t>plumber durban</t>
  </si>
  <si>
    <t>0, 0, 0, 0, 0, 0, 0, 0, 0, 0, 0, 0, 2, 0, 0, 1, 0, 0, 0, 0, 0, 0, 0, 1</t>
  </si>
  <si>
    <t>cheap plumber near me free estimates</t>
  </si>
  <si>
    <t>0, 0, 0, 0, 0, 0, 0, 0, 2, 1, 1, 1, 0, 0, 0, 0, 0, 0, 0, 0, 0, 0, 0, 1</t>
  </si>
  <si>
    <t>small job plumber near me</t>
  </si>
  <si>
    <t>294, 247, 208, 291, 231, 300, 289, 297, 245, 324, 246, 337, 331, 253, 243, 193, 205, 247, 282, 319, 250, 205, 277, 283</t>
  </si>
  <si>
    <t>0, 0, 0, 0, 0, 0, 0, 1, 0, 0, 1, 2, 0, 0, 0, 0, 2, 1, 2, 3, 0, 1, 1, 2</t>
  </si>
  <si>
    <t>296, 281, 287, 292, 272, 294, 282, 287, 282, 294, 277</t>
  </si>
  <si>
    <t>plumber apprentice near me</t>
  </si>
  <si>
    <t>plumbing near me</t>
  </si>
  <si>
    <t>affordable</t>
  </si>
  <si>
    <t>plumber</t>
  </si>
  <si>
    <t>plumber supply stores near me</t>
  </si>
  <si>
    <t>0, 0, 0, 0, 0, 0, 1, 1, 0, 2, 5, 2, 0, 2, 0, 0, 0, 0, 0, 0, 0, 0, 0, 1</t>
  </si>
  <si>
    <t>independent plumber near me</t>
  </si>
  <si>
    <t>272, 190, 230, 196, 226, 286, 238, 293, 246, 238, 208, 232, 235, 207, 239, 212, 258, 249, 229, 242, 235, 242, 240, 282</t>
  </si>
  <si>
    <t>2, 1, 0, 0, 0, 0, 0, 0, 0, 1, 0, 0, 0, 0, 2, 0, 0, 0, 0, 0, 1, 0, 0, 1</t>
  </si>
  <si>
    <t>253, 241, 247, 244, 255, 264, 243, 257, 250, 256, 254</t>
  </si>
  <si>
    <t>plumber near me bay hill</t>
  </si>
  <si>
    <t>gumtree plumber near me</t>
  </si>
  <si>
    <t>282, 276, 247, 272, 210, 342, 267, 318, 264, 288, 191, 291, 295, 243, 201, 246, 167, 208, 203, 205, 202, 209, 220, 232</t>
  </si>
  <si>
    <t>gutter plumber near me</t>
  </si>
  <si>
    <t>213, 210, 214, 207, 182, 208, 203, 205, 202, 209, 220</t>
  </si>
  <si>
    <t>0, 0, 0, 0, 1, 0, 0, 1, 0, 1, 1, 0, 0, 1, 0, 0, 0, 0, 0, 1, 0, 0, 0, 1</t>
  </si>
  <si>
    <t>plumber merchants near me</t>
  </si>
  <si>
    <t>0, 0, 1, 0, 3, 1, 1, 2, 2, 4, 3, 1, 0, 1, 0, 2, 3, 0, 0, 0, 1, 0, 0, 2</t>
  </si>
  <si>
    <t>ao smith plumber near me</t>
  </si>
  <si>
    <t>0, 0, 0, 0, 1, 1, 0, 0, 0, 0, 0, 0, 0, 0, 0, 0, 0, 0, 0, 0, 0, 0, 0, 1</t>
  </si>
  <si>
    <t>new construction plumber near me</t>
  </si>
  <si>
    <t>0, 0, 0, 0, 0, 0, 0, 0, 2, 1, 0, 1, 0, 0, 0, 0, 0, 0, 0, 0, 0, 0, 0, 1</t>
  </si>
  <si>
    <t>plumber open near me</t>
  </si>
  <si>
    <t>0, 1, 1, 1, 2, 0, 0, 0, 0, 0, 0, 0, 0, 0, 1, 0, 1, 2, 2, 0, 1, 0, 1, 2</t>
  </si>
  <si>
    <t>149, 83, 71, 90, 91, 87, 96, 92, 69, 136, 71, 288, 256, 230, 156, 145, 160, 177, 298, 113, 176, 174, 122, 158</t>
  </si>
  <si>
    <t>plumber inspection near me</t>
  </si>
  <si>
    <t>plumbers in johannesburg</t>
  </si>
  <si>
    <t>0, 1, 0, 0, 1, 0, 0, 0, 0, 0, 0, 0, 0, 0, 0, 0, 0, 0, 0, 0, 0, 0, 0, 1</t>
  </si>
  <si>
    <t>local plumber near me social circle</t>
  </si>
  <si>
    <t>1, 0, 0, 0, 0, 0, 0, 1, 0, 0, 0, 0, 0, 0, 0, 0, 0, 0, 0, 0, 0, 0, 0, 1</t>
  </si>
  <si>
    <t>local emergency plumber near me</t>
  </si>
  <si>
    <t>0, 1, 0, 0, 2, 1, 0, 1, 0, 2, 1, 0, 0, 0, 0, 0, 0, 0, 0, 0, 0, 2, 0, 2</t>
  </si>
  <si>
    <t>remodel plumber near me</t>
  </si>
  <si>
    <t>135, 115, 136, 114, 137, 161, 236, 225, 197, 190, 133, 229, 212, 133, 172, 162, 182, 166, 175, 169, 191, 182, 172, 162</t>
  </si>
  <si>
    <t>3, 1, 0, 0, 0, 0, 1, 1, 3, 1, 3, 4, 0, 0, 0, 0, 0, 0, 0, 0, 0, 0, 0, 1</t>
  </si>
  <si>
    <t>166, 169, 173, 181, 182, 165, 174, 168, 191, 182, 171</t>
  </si>
  <si>
    <t>licensed plumber near me katy tx</t>
  </si>
  <si>
    <t>alpha plumbing</t>
  </si>
  <si>
    <t>0, 0, 1, 0, 0, 1, 1, 0, 0, 0, 0, 0, 0, 0, 0, 0, 0, 0, 0, 0, 0, 0, 0, 1</t>
  </si>
  <si>
    <t>24 hour plumber near me lawrenceville</t>
  </si>
  <si>
    <t>1, 0, 0, 0, 0, 0, 1, 0, 0, 0, 0, 0, 0, 0, 0, 0, 0, 0, 0, 0, 0, 0, 0, 1</t>
  </si>
  <si>
    <t>boise plumber near me</t>
  </si>
  <si>
    <t>Sitelinks</t>
  </si>
  <si>
    <t>0, 0, 0, 0, 1, 0, 0, 0, 0, 2, 0, 0, 0, 0, 0, 0, 0, 0, 0, 0, 0, 0, 0, 1</t>
  </si>
  <si>
    <t>plumber london near me</t>
  </si>
  <si>
    <t>Informational,Commercial,Transactional,Branded,Local</t>
  </si>
  <si>
    <t>143, 97, 115, 117, 93, 120, 106, 189, 143, 240, 243, 292, 188, 233, 159, 192, 188, 190, 141, 140, 158, 164, 168, 177</t>
  </si>
  <si>
    <t>163, 151, 132, 141, 130, 132, 159, 141, 140, 151, 155, 165</t>
  </si>
  <si>
    <t>24hr emergency plumber near me</t>
  </si>
  <si>
    <t>emergency plumbers near me</t>
  </si>
  <si>
    <t>0, 3, 0, 0, 3, 1, 0, 0, 1, 0, 0, 1, 1, 1, 0, 1, 0, 0, 0, 0, 0, 0, 1, 1</t>
  </si>
  <si>
    <t>plumber near me summerfield</t>
  </si>
  <si>
    <t>1, 0, 0, 1, 0, 0, 1, 0, 1, 1, 0, 2, 0, 0, 0, 0, 0, 0, 0, 0, 0, 0, 0, 1</t>
  </si>
  <si>
    <t>gas fitter plumber near me</t>
  </si>
  <si>
    <t>0, 0, 0, 1, 2, 0, 1, 1, 5, 0, 0, 0, 0, 0, 0, 1, 0, 0, 0, 0, 0, 1, 1, 2</t>
  </si>
  <si>
    <t>plumber places near me</t>
  </si>
  <si>
    <t>1, 1, 0, 0, 0, 0, 0, 0, 0, 0, 0, 0, 0, 0, 0, 0, 0, 0, 0, 0, 0, 1, 0, 2</t>
  </si>
  <si>
    <t>246, 212, 173, 152, 238, 150, 148, 179, 183, 125, 129, 148, 168, 194, 232, 158, 282, 188, 152, 253, 325, 184, 190, 213</t>
  </si>
  <si>
    <t>local plumber near me littleton co</t>
  </si>
  <si>
    <t>237, 239, 247, 207, 313, 217, 202, 246, 228, 204, 210</t>
  </si>
  <si>
    <t>plumbers in sandton</t>
  </si>
  <si>
    <t>plumber with drain camera near me</t>
  </si>
  <si>
    <t>1, 0, 0, 0, 0, 1, 4, 0, 1, 3, 1, 1, 1, 0, 0, 0, 1, 0, 0, 0, 0, 0, 0, 1</t>
  </si>
  <si>
    <t>plumbers in sandton area</t>
  </si>
  <si>
    <t>dr plumber near me</t>
  </si>
  <si>
    <t>1, 0, 0, 0, 0, 0, 0, 0, 0, 2, 0, 2, 0, 0, 0, 0, 0, 0, 0, 0, 2, 0, 0, 2</t>
  </si>
  <si>
    <t>plumber near me 24 hours</t>
  </si>
  <si>
    <t>1, 4, 2, 2, 5, 2, 1, 4, 3, 7, 7, 2, 3, 1, 4, 5, 6, 1, 2, 2, 2, 8, 2, 5</t>
  </si>
  <si>
    <t>211, 191, 214, 191, 213, 255, 260, 192, 187, 153, 151, 220, 224, 208, 190, 196, 171, 206, 194, 193, 219, 212, 202, 226</t>
  </si>
  <si>
    <t>plumber near to me</t>
  </si>
  <si>
    <t>199, 203, 197, 189, 186, 212, 199, 198, 224, 218, 207, 231</t>
  </si>
  <si>
    <t>3, 2, 2, 5, 4, 9, 5, 6, 5, 6, 3, 4, 3, 1, 2, 1, 1, 2, 3, 4, 1, 4, 1, 3</t>
  </si>
  <si>
    <t>plumber sandton</t>
  </si>
  <si>
    <t>online plumber near me</t>
  </si>
  <si>
    <t>0, 0, 1, 0, 0, 0, 0, 1, 1, 0, 1, 0, 0, 0, 0, 0, 0, 0, 0, 0, 0, 0, 3, 2</t>
  </si>
  <si>
    <t>plumbers sandton</t>
  </si>
  <si>
    <t>emergency plumber near me cheap miami</t>
  </si>
  <si>
    <t>Local pack</t>
  </si>
  <si>
    <t>0, 0, 0, 0, 0, 0, 0, 0, 1, 2, 2, 0, 0, 0, 0, 0, 0, 0, 0, 0, 0, 0, 0, 1</t>
  </si>
  <si>
    <t>prices</t>
  </si>
  <si>
    <t>licensed plumber near me</t>
  </si>
  <si>
    <t>166, 160, 184, 154, 180, 238, 228, 164, 161, 134, 124, 234, 220, 205, 201, 203, 166, 189, 174, 171, 179, 176, 167, 215</t>
  </si>
  <si>
    <t>3, 13, 10, 11, 6, 4, 10, 18, 10, 21, 18, 1, 2, 3, 0, 0, 0, 2, 0, 1, 2, 15, 6, 9</t>
  </si>
  <si>
    <t>183, 186, 171, 173, 167, 193, 178, 174, 182, 180, 171</t>
  </si>
  <si>
    <t>cheap gas plumber near me</t>
  </si>
  <si>
    <t>0, 0, 2, 0, 0, 2, 0, 0, 0, 0, 0, 0, 0, 0, 0, 0, 0, 0, 0, 0, 0, 0, 0, 1</t>
  </si>
  <si>
    <t>plumber near me albuquerque</t>
  </si>
  <si>
    <t>plumber near me no call out fee</t>
  </si>
  <si>
    <t>1, 1, 1, 1, 2, 0, 0, 2, 0, 4, 2, 0, 0, 0, 2, 1, 0, 0, 9, 1, 1, 1, 1, 2</t>
  </si>
  <si>
    <t>heating plumber near me</t>
  </si>
  <si>
    <t>94, 76, 81, 78, 92, 94, 97, 101, 98, 121, 106, 119, 342, 340, 229, 129, 121, 117, 118, 113, 149, 160, 135, 137</t>
  </si>
  <si>
    <t>0, 0, 1, 0, 3, 3, 1, 0, 0, 1, 0, 0, 0, 0, 0, 0, 0, 0, 0, 0, 0, 0, 0, 1</t>
  </si>
  <si>
    <t>plumber near me bangalore</t>
  </si>
  <si>
    <t>1, 0, 0, 0, 0, 0, 0, 0, 0, 0, 0, 1, 0, 0, 0, 0, 0, 0, 0, 0, 0, 0, 0, 1</t>
  </si>
  <si>
    <t>plumber near me florence</t>
  </si>
  <si>
    <t>0, 0, 0, 0, 0, 1, 0, 0, 1, 2, 2, 0, 0, 0, 0, 0, 0, 0, 0, 0, 0, 0, 0, 1</t>
  </si>
  <si>
    <t>plumber near me within 800m</t>
  </si>
  <si>
    <t>0, 1, 1, 1, 0, 2, 0, 7, 4, 3, 5, 5, 9, 2, 1, 2, 0, 1, 1, 8, 2, 1, 3, 1</t>
  </si>
  <si>
    <t>washing machine plumber near me</t>
  </si>
  <si>
    <t>plumbers in cape town</t>
  </si>
  <si>
    <t>2, 7, 1, 2, 0, 3, 1, 3, 3, 1, 1, 4, 2, 1, 2, 1, 0, 0, 0, 4, 0, 2, 0, 2</t>
  </si>
  <si>
    <t>kitchen sink plumber near me</t>
  </si>
  <si>
    <t>0, 0, 1, 0, 1, 2, 0, 0, 3, 0, 3, 3, 0, 0, 0, 0, 0, 0, 0, 0, 0, 0, 0, 1</t>
  </si>
  <si>
    <t>weekend plumber near me</t>
  </si>
  <si>
    <t>0, 1, 0, 0, 0, 1, 2, 4, 2, 2, 1, 0, 0, 0, 0, 0, 0, 0, 0, 0, 0, 0, 0, 1</t>
  </si>
  <si>
    <t>plumber parts store near me</t>
  </si>
  <si>
    <t>8, 15, 14, 29, 45, 93, 18, 46, 18, 39, 38, 238, 153, 115, 99, 156, 127, 94, 126, 158, 150, 180, 91, 141</t>
  </si>
  <si>
    <t>0, 0, 0, 0, 0, 0, 0, 0, 0, 1, 0, 0, 1, 0, 1, 0, 4, 0, 1, 0, 1, 0, 0, 1</t>
  </si>
  <si>
    <t>reasonably priced plumber near me</t>
  </si>
  <si>
    <t>plumbing company</t>
  </si>
  <si>
    <t>0, 0, 0, 0, 0, 0, 0, 0, 0, 0, 0, 0, 0, 0, 0, 2, 0, 0, 2, 0, 0, 0, 0, 1</t>
  </si>
  <si>
    <t>plumber near me marin county</t>
  </si>
  <si>
    <t>plumber near me espanola</t>
  </si>
  <si>
    <t>plumber near me essendon</t>
  </si>
  <si>
    <t>95, 92, 133, 122, 134, 194, 166, 213, 250, 337, 379, 179, 133, 84, 149, 130, 197, 217, 150, 75, 80, 77, 43, 68</t>
  </si>
  <si>
    <t>plumber near me austin tx</t>
  </si>
  <si>
    <t>nearest plumber near me los angeles</t>
  </si>
  <si>
    <t>drain blockage plumber near me</t>
  </si>
  <si>
    <t>0, 0, 0, 0, 0, 0, 0, 0, 0, 0, 1, 0, 0, 3, 0, 0, 0, 3, 1, 0, 0, 0, 3, 2</t>
  </si>
  <si>
    <t>gas plumber near me lawrenceville</t>
  </si>
  <si>
    <t>plumber supplies store near me</t>
  </si>
  <si>
    <t>ganga plumbers</t>
  </si>
  <si>
    <t>0, 0, 0, 0, 0, 0, 0, 0, 0, 0, 0, 0, 0, 0, 1, 2, 0, 0, 0, 0, 0, 1, 1, 1</t>
  </si>
  <si>
    <t>affordable plumber near me atlanta</t>
  </si>
  <si>
    <t>0, 0, 1, 0, 0, 1, 0, 0, 0, 0, 0, 0, 0, 0, 0, 0, 0, 0, 0, 0, 0, 0, 0, 1</t>
  </si>
  <si>
    <t>Sitelinks,People also ask</t>
  </si>
  <si>
    <t>plumber near me today</t>
  </si>
  <si>
    <t>0, 0, 0, 2, 0, 2, 2, 1, 2, 0, 1, 0, 0, 0, 0, 2, 0, 0, 0, 0, 2, 0, 0, 2</t>
  </si>
  <si>
    <t>carpenter and plumber near me</t>
  </si>
  <si>
    <t>132, 125, 182, 123, 101, 139, 123, 137, 121, 233, 220, 231, 149, 180, 230, 252, 85, 111, 114, 107, 110, 117, 111, 109</t>
  </si>
  <si>
    <t>118, 123, 132, 123, 102, 106, 104, 101, 100, 110, 102</t>
  </si>
  <si>
    <t>0, 0, 0, 0, 0, 1, 0, 0, 0, 0, 0, 0, 0, 0, 1, 0, 1, 0, 0, 1, 0, 0, 0, 1</t>
  </si>
  <si>
    <t>call a plumber near me</t>
  </si>
  <si>
    <t>plumbing johannesburg</t>
  </si>
  <si>
    <t>1, 3, 3, 7, 4, 1, 4, 1, 1, 7, 1, 0, 1, 0, 0, 1, 0, 0, 1, 1, 0, 5, 1, 3</t>
  </si>
  <si>
    <t>plumber today near me</t>
  </si>
  <si>
    <t>0, 0, 0, 0, 0, 0, 0, 3, 0, 1, 1, 0, 1, 0, 0, 0, 0, 0, 0, 0, 0, 0, 0, 1</t>
  </si>
  <si>
    <t>plumber water heater near me</t>
  </si>
  <si>
    <t>0, 0, 1, 0, 1, 1, 0, 1, 0, 0, 0, 0, 0, 0, 0, 0, 0, 0, 0, 0, 0, 0, 0, 1</t>
  </si>
  <si>
    <t>plumber near me pompano beach</t>
  </si>
  <si>
    <t>67, 66, 65, 65, 61, 92, 80, 99, 81, 106, 87, 321, 251, 206, 111, 87, 137, 158, 95, 73, 48, 32, 44, 41</t>
  </si>
  <si>
    <t>plumber near me urgent</t>
  </si>
  <si>
    <t>0, 0, 0, 0, 0, 0, 0, 0, 0, 0, 0, 0, 0, 2, 0, 0, 0, 0, 0, 0, 0, 0, 1, 1</t>
  </si>
  <si>
    <t>plumber hiring near me</t>
  </si>
  <si>
    <t>0, 1, 0, 0, 0, 0, 0, 0, 0, 0, 2, 1, 0, 0, 0, 0, 0, 1, 0, 0, 3, 0, 0, 2</t>
  </si>
  <si>
    <t>plumber near me roswell</t>
  </si>
  <si>
    <t>cost</t>
  </si>
  <si>
    <t>115, 85, 104, 88, 95, 78, 80, 68, 85, 66, 64, 43, 134, 77, 94, 130, 111, 153, 165, 131, 244, 107, 86, 103</t>
  </si>
  <si>
    <t>plumber near me free estimate houston tx</t>
  </si>
  <si>
    <t>plumbing companies</t>
  </si>
  <si>
    <t>0, 0, 0, 0, 0, 1, 1, 0, 0, 0, 1, 0, 0, 0, 0, 0, 0, 0, 0, 0, 0, 0, 0, 1</t>
  </si>
  <si>
    <t>emergency plumber near me evansville</t>
  </si>
  <si>
    <t>plumber and gas near me</t>
  </si>
  <si>
    <t>0, 0, 1, 0, 0, 0, 1, 0, 0, 0, 2, 0, 0, 1, 0, 1, 0, 0, 0, 1, 0, 0, 0, 1</t>
  </si>
  <si>
    <t>plumber near me carlsbad</t>
  </si>
  <si>
    <t>175, 181, 181, 106, 205, 225, 214, 231, 386, 201, 130, 198, 215, 165, 144, 136, 114, 171, 159, 173, 193, 174, 160, 158</t>
  </si>
  <si>
    <t>chicago il plumber near me</t>
  </si>
  <si>
    <t>171, 159, 158, 147, 142, 175, 163, 177, 197, 178, 164, 162</t>
  </si>
  <si>
    <t>geyser installation near me</t>
  </si>
  <si>
    <t>plumber apprenticeship jobs near me</t>
  </si>
  <si>
    <t>geyser installation</t>
  </si>
  <si>
    <t>Local pack,People also ask,Video preview</t>
  </si>
  <si>
    <t>plumber near me jessup</t>
  </si>
  <si>
    <t>gas plumber near me spring tx</t>
  </si>
  <si>
    <t>66, 52, 46, 53, 36, 62, 74, 83, 70, 58, 76, 156, 110, 100, 135, 156, 265, 359, 430, 78, 42, 61, 72, 60</t>
  </si>
  <si>
    <t>0, 0, 0, 0, 2, 0, 0, 2, 2, 0, 3, 0, 0, 0, 0, 0, 0, 0, 0, 0, 0, 0, 0, 1</t>
  </si>
  <si>
    <t>plumber heating engineer near me</t>
  </si>
  <si>
    <t>leak detection pretoria</t>
  </si>
  <si>
    <t>0, 0, 0, 0, 0, 0, 0, 0, 0, 0, 1, 0, 1, 0, 0, 0, 0, 0, 0, 0, 0, 0, 0, 1</t>
  </si>
  <si>
    <t>find a local plumber near me</t>
  </si>
  <si>
    <t>0, 0, 0, 0, 0, 1, 0, 0, 0, 0, 0, 0, 0, 0, 0, 0, 0, 0, 0, 0, 0, 1, 0, 1</t>
  </si>
  <si>
    <t>plumber reviews near me</t>
  </si>
  <si>
    <t>1, 0, 0, 1, 1, 1, 1, 1, 0, 2, 2, 2, 0, 0, 0, 1, 1, 1, 0, 0, 0, 0, 0, 1</t>
  </si>
  <si>
    <t>get a plumber near me</t>
  </si>
  <si>
    <t>114, 110, 140, 140, 111, 171, 139, 206, 166, 145, 97, 144, 146, 235, 137, 162, 155, 172, 154, 203, 170, 205, 176, 177</t>
  </si>
  <si>
    <t>174, 188, 189, 185, 179, 208, 191, 202, 202, 208, 202, 203</t>
  </si>
  <si>
    <t>0, 0, 0, 0, 2, 1, 0, 0, 0, 0, 0, 0, 0, 1, 0, 0, 0, 1, 1, 0, 0, 0, 0, 1</t>
  </si>
  <si>
    <t>drain cleaning plumber near me</t>
  </si>
  <si>
    <t>plumber pretoria</t>
  </si>
  <si>
    <t>0, 0, 4, 1, 1, 0, 0, 0, 0, 1, 1, 0, 1, 0, 0, 0, 0, 0, 0, 0, 0, 2, 1, 2</t>
  </si>
  <si>
    <t>water line plumber near me</t>
  </si>
  <si>
    <t>0, 0, 0, 0, 1, 0, 2, 3, 1, 7, 1, 2, 0, 0, 0, 0, 0, 0, 0, 1, 1, 0, 1, 1</t>
  </si>
  <si>
    <t>g3 qualified plumber near me</t>
  </si>
  <si>
    <t>plumber with camera near me</t>
  </si>
  <si>
    <t>138, 141, 144, 118, 98, 135, 135, 138, 134, 156, 120, 203, 172, 166, 169, 127, 94, 141, 125, 118, 114, 118, 113, 134</t>
  </si>
  <si>
    <t>129, 127, 130, 119, 113, 141, 124, 118, 114, 118, 113, 134</t>
  </si>
  <si>
    <t>1, 1, 0, 1, 5, 6, 3, 4, 3, 2, 5, 4, 3, 4, 0, 0, 1, 0, 1, 0, 2, 0, 0, 1</t>
  </si>
  <si>
    <t>plumber near me escondido</t>
  </si>
  <si>
    <t>bathroom renovations cape town</t>
  </si>
  <si>
    <t>plumber near me tucker</t>
  </si>
  <si>
    <t>0, 0, 0, 0, 0, 0, 0, 0, 0, 2, 0, 0, 0, 0, 0, 0, 0, 0, 0, 1, 0, 0, 0, 1</t>
  </si>
  <si>
    <t>plumber jobs hiring near me</t>
  </si>
  <si>
    <t>Local pack,People also ask,Discussions,Thumbnail</t>
  </si>
  <si>
    <t>0, 1, 0, 0, 0, 0, 0, 0, 0, 0, 0, 0, 0, 0, 0, 0, 1, 0, 0, 0, 0, 0, 0, 1</t>
  </si>
  <si>
    <t>plumber for clog near me</t>
  </si>
  <si>
    <t>114, 93, 92, 127, 106, 138, 80, 112, 111, 97, 84, 172, 182, 183, 129, 89, 168, 145, 115, 143, 149, 124, 111, 153</t>
  </si>
  <si>
    <t>146, 150, 135, 133, 122, 147, 116, 145, 151, 125, 112, 154</t>
  </si>
  <si>
    <t>plumber near me davie</t>
  </si>
  <si>
    <t>Bathroom</t>
  </si>
  <si>
    <t>plumber near me in scottsdale</t>
  </si>
  <si>
    <t>0, 0, 1, 0, 0, 0, 0, 0, 1, 0, 0, 2, 0, 0, 0, 0, 0, 0, 0, 0, 0, 0, 0, 1</t>
  </si>
  <si>
    <t>plumber near me laurel</t>
  </si>
  <si>
    <t>0, 1, 0, 0, 0, 0, 0, 0, 0, 0, 0, 0, 0, 0, 0, 0, 0, 0, 0, 0, 0, 0, 0, 1</t>
  </si>
  <si>
    <t>need plumber near me</t>
  </si>
  <si>
    <t>1, 2, 2, 5, 4, 13, 3, 3, 2, 4, 0, 0, 1, 1, 0, 0, 0, 1, 4, 2, 0, 0, 0, 1</t>
  </si>
  <si>
    <t>114, 105, 105, 124, 158, 110, 97, 127, 115, 147, 128, 262, 142, 113, 167, 174, 196, 157, 139, 171, 162, 150, 110, 141</t>
  </si>
  <si>
    <t>plumber small jobs near me</t>
  </si>
  <si>
    <t>plumbing contractor</t>
  </si>
  <si>
    <t>1, 0, 0, 0, 0, 0, 0, 0, 0, 0, 0, 0, 1, 0, 1, 0, 1, 0, 0, 0, 0, 0, 0, 1</t>
  </si>
  <si>
    <t>plumber merchant near me</t>
  </si>
  <si>
    <t>1, 0, 0, 0, 0, 0, 0, 0, 0, 0, 1, 0, 0, 0, 0, 0, 0, 0, 0, 0, 0, 0, 0, 1</t>
  </si>
  <si>
    <t>near me plumber</t>
  </si>
  <si>
    <t>5, 4, 14, 13, 6, 11, 12, 16, 20, 20, 21, 4, 3, 4, 4, 8, 8, 2, 1, 1, 3, 4, 2, 4</t>
  </si>
  <si>
    <t>trusted plumber near me</t>
  </si>
  <si>
    <t>13, 25, 27, 26, 28, 59, 47, 82, 65, 66, 75, 100, 328, 71, 83, 73, 74, 92, 90, 127, 82, 85, 66, 79</t>
  </si>
  <si>
    <t>0, 0, 0, 0, 0, 0, 0, 0, 1, 0, 1, 0, 1, 0, 0, 0, 0, 0, 0, 0, 0, 2, 0, 2</t>
  </si>
  <si>
    <t>plumber johannesburg south</t>
  </si>
  <si>
    <t>plumber near me greenwood</t>
  </si>
  <si>
    <t>0, 0, 0, 0, 0, 1, 1, 1, 0, 1, 0, 0, 0, 0, 0, 0, 0, 0, 0, 0, 0, 0, 0, 1</t>
  </si>
  <si>
    <t>emergency plumber near me northfield nj</t>
  </si>
  <si>
    <t>water heater plumber near me</t>
  </si>
  <si>
    <t>12, 15, 20, 18, 27, 20, 26, 13, 43, 34, 49, 40, 1, 0, 0, 0, 0, 1, 0, 0, 0, 0, 0, 1</t>
  </si>
  <si>
    <t>13, 10, 22, 14, 17, 44, 23, 15, 15, 16, 31, 143, 156, 134, 37, 85, 174, 196, 106, 36, 35, 28, 15, 27</t>
  </si>
  <si>
    <t>cheap plumber service near me</t>
  </si>
  <si>
    <t>plumber vereeniging</t>
  </si>
  <si>
    <t>0, 0, 0, 1, 1, 0, 1, 2, 1, 1, 2, 0, 0, 1, 0, 0, 0, 1, 0, 0, 0, 0, 0, 1</t>
  </si>
  <si>
    <t>quote</t>
  </si>
  <si>
    <t>plumber near me within 8.1 km</t>
  </si>
  <si>
    <t>2, 3, 1, 0, 0, 3, 3, 0, 1, 0, 1, 1, 0, 4, 1, 1, 1, 1, 1, 5, 3, 0, 1, 2</t>
  </si>
  <si>
    <t>plumbers vereeniging</t>
  </si>
  <si>
    <t>plumber plumber near me</t>
  </si>
  <si>
    <t>0, 1, 2, 3, 0, 2, 0, 3, 0, 0, 2, 3, 1, 2, 1, 1, 0, 1, 1, 0, 0, 0, 0, 1</t>
  </si>
  <si>
    <t>plumber near me miramar</t>
  </si>
  <si>
    <t>26, 45, 17, 26, 17, 22, 13, 17, 14, 16, 23, 139, 131, 107, 112, 99, 111, 83, 334, 52, 85, 76, 44, 69</t>
  </si>
  <si>
    <t>plumbing companies in gauteng</t>
  </si>
  <si>
    <t>plumber for washing machine near me</t>
  </si>
  <si>
    <t>1, 0, 0, 0, 1, 0, 2, 0, 0, 1, 0, 1, 0, 1, 0, 0, 1, 0, 0, 1, 0, 2, 0, 2</t>
  </si>
  <si>
    <t>24 hour gas plumber near me</t>
  </si>
  <si>
    <t>plumbing companies johannesburg</t>
  </si>
  <si>
    <t>0, 0, 0, 0, 1, 0, 0, 0, 1, 0, 0, 1, 0, 0, 0, 0, 0, 0, 0, 0, 0, 0, 0, 1</t>
  </si>
  <si>
    <t>plumber hourly rate near me</t>
  </si>
  <si>
    <t>blocked sewer plumber near me</t>
  </si>
  <si>
    <t>28, 28, 41, 32, 23, 60, 66, 48, 27, 42, 51, 192, 178, 99, 31, 76, 118, 187, 93, 70, 45, 59, 22, 42</t>
  </si>
  <si>
    <t>0, 0, 0, 0, 0, 0, 0, 0, 0, 0, 2, 0, 0, 0, 0, 0, 0, 0, 0, 0, 0, 0, 0, 1</t>
  </si>
  <si>
    <t>plumbing work</t>
  </si>
  <si>
    <t>top plumber services near me</t>
  </si>
  <si>
    <t>best plumber services near me</t>
  </si>
  <si>
    <t>plumbing jobs cape town</t>
  </si>
  <si>
    <t>0, 1, 0, 0, 1, 3, 2, 0, 2, 1, 2, 1, 0, 0, 0, 0, 0, 0, 0, 0, 0, 0, 0, 1</t>
  </si>
  <si>
    <t>Local pack,People also ask,Image pack</t>
  </si>
  <si>
    <t>decatur plumber near me</t>
  </si>
  <si>
    <t>Informational,Non-branded,Non-local</t>
  </si>
  <si>
    <t>1, 0, 0, 0, 0, 0, 0, 1, 2, 2, 0, 2, 0, 0, 0, 0, 0, 0, 0, 0, 0, 0, 0, 1</t>
  </si>
  <si>
    <t>85, 70, 187, 75, 47, 384, 136, 166, 184, 80, 72, 108, 185, 85, 103, 121, 81, 169, 137, 136, 139, 128, 127, 134</t>
  </si>
  <si>
    <t>143, 133, 145, 128, 120, 183, 152, 151, 154, 143, 143</t>
  </si>
  <si>
    <t>Plumbing; Continuing education; Technical reference</t>
  </si>
  <si>
    <t>durban plumbers</t>
  </si>
  <si>
    <t>plumber near me 24 7 los angeles</t>
  </si>
  <si>
    <t>24 hours plumber service near me</t>
  </si>
  <si>
    <t>0, 0, 0, 0, 0, 0, 0, 0, 0, 0, 0, 0, 0, 0, 0, 0, 0, 0, 1, 0, 1, 2, 0, 2</t>
  </si>
  <si>
    <t>plumber near me antonia mo</t>
  </si>
  <si>
    <t>cheap licensed plumber near me</t>
  </si>
  <si>
    <t>136, 240, 155, 127, 27, 43, 121, 189, 72, 71, 96, 273, 320, 171, 95, 74, 81, 109, 52, 105, 90, 39, 20, 51</t>
  </si>
  <si>
    <t>1, 1, 0, 3, 0, 0, 0, 0, 0, 0, 0, 0, 0, 0, 0, 0, 0, 0, 0, 0, 0, 0, 0, 1</t>
  </si>
  <si>
    <t>plumbing contractors</t>
  </si>
  <si>
    <t>mr. plumber near me</t>
  </si>
  <si>
    <t>plumber apprenticeship programs near me</t>
  </si>
  <si>
    <t>0, 0, 0, 0, 0, 0, 0, 0, 0, 0, 1, 0, 0, 0, 0, 0, 0, 0, 0, 0, 0, 0, 0, 1</t>
  </si>
  <si>
    <t>plumber near me mesquite</t>
  </si>
  <si>
    <t>28, 35, 32, 29, 31, 30, 47, 42, 61, 62, 55, 57, 149, 116, 109, 101, 92, 156, 137, 220, 153, 63, 55, 74</t>
  </si>
  <si>
    <t>0, 0, 0, 0, 0, 1, 0, 1, 1, 0, 0, 1, 0, 0, 0, 0, 0, 0, 0, 0, 0, 0, 0, 1</t>
  </si>
  <si>
    <t>after hour plumber near me</t>
  </si>
  <si>
    <t>0, 0, 0, 0, 0, 4, 0, 1, 0, 3, 0, 0, 2, 4, 0, 2, 1, 0, 1, 1, 0, 0, 1, 1</t>
  </si>
  <si>
    <t>top rated plumber near me</t>
  </si>
  <si>
    <t>People also ask,Discussions</t>
  </si>
  <si>
    <t>4, 7, 1, 1, 3, 13, 5, 8, 4, 5, 2, 3, 8, 9, 6, 0, 2, 0, 7, 9, 2, 1, 0, 2</t>
  </si>
  <si>
    <t>douglasville plumber near me</t>
  </si>
  <si>
    <t>135, 111, 103, 90, 51, 52, 73, 72, 93, 97, 82, 91, 103, 140, 116, 100, 80, 90, 92, 82, 94, 82, 137, 100</t>
  </si>
  <si>
    <t>plumbing repair</t>
  </si>
  <si>
    <t>plumber 24 hrs near me</t>
  </si>
  <si>
    <t>1, 7, 2, 3, 5, 6, 6, 8, 3, 2, 3, 3, 1, 0, 0, 0, 0, 1, 0, 0, 0, 3, 0, 2</t>
  </si>
  <si>
    <t>Informational,Commercial,Transactional,Non-branded,Non-local</t>
  </si>
  <si>
    <t>emergecny plumber near me</t>
  </si>
  <si>
    <t>75, 72, 100, 109, 112, 120, 193, 94, 235, 274, 278, 235, 73, 76, 40, 85, 71, 138, 175, 105, 37, 47, 46, 48</t>
  </si>
  <si>
    <t>plumbing companies in cape town</t>
  </si>
  <si>
    <t>plumber near me number</t>
  </si>
  <si>
    <t>plumber no near me</t>
  </si>
  <si>
    <t>0, 0, 0, 1, 1, 0, 0, 0, 0, 0, 1, 0, 0, 1, 0, 0, 1, 0, 0, 0, 0, 0, 0, 1</t>
  </si>
  <si>
    <t>cheap plumber for toilet near me</t>
  </si>
  <si>
    <t>complaints</t>
  </si>
  <si>
    <t>15, 4, 6, 10, 20, 52, 18, 26, 18, 14, 9, 141, 123, 97, 77, 68, 113, 128, 126, 125, 126, 128, 77, 111</t>
  </si>
  <si>
    <t>0, 0, 0, 1, 0, 1, 0, 1, 0, 1, 4, 0, 0, 2, 0, 0, 0, 0, 0, 0, 0, 0, 0, 1</t>
  </si>
  <si>
    <t>nearby plumber near me</t>
  </si>
  <si>
    <t>plumbing company near me</t>
  </si>
  <si>
    <t>1, 0, 0, 0, 0, 0, 0, 1, 0, 0, 0, 0, 4, 0, 0, 0, 0, 0, 0, 0, 1, 2, 0, 1</t>
  </si>
  <si>
    <t>black plumber near me</t>
  </si>
  <si>
    <t>85, 99, 92, 97, 106, 141, 104, 158, 127, 151, 148, 81, 78, 56, 129, 95, 235, 256, 108, 90, 66, 73, 46, 63</t>
  </si>
  <si>
    <t>0, 0, 0, 0, 0, 0, 0, 1, 0, 0, 0, 0, 0, 0, 0, 2, 2, 0, 0, 2, 0, 0, 0, 1</t>
  </si>
  <si>
    <t>plumbing price list south africa pdf</t>
  </si>
  <si>
    <t>plumber schools near me</t>
  </si>
  <si>
    <t>Image pack,People also ask</t>
  </si>
  <si>
    <t>0, 0, 0, 0, 0, 0, 1, 0, 1, 0, 0, 0, 0, 0, 1, 0, 0, 0, 0, 0, 0, 2, 2, 1</t>
  </si>
  <si>
    <t>drain repair plumber near me</t>
  </si>
  <si>
    <t>151, 156, 129, 128, 81, 148, 119, 120, 81, 82, 80, 103, 85, 126, 108, 89, 66, 98, 97, 96, 92, 97, 90, 106</t>
  </si>
  <si>
    <t>104, 102, 102, 99, 89, 118, 117, 116, 110, 116, 108</t>
  </si>
  <si>
    <t>Plumbing; Templates</t>
  </si>
  <si>
    <t>plumbing services johannesburg</t>
  </si>
  <si>
    <t>0, 0, 0, 0, 0, 0, 0, 1, 0, 1, 1, 1, 0, 0, 0, 0, 0, 0, 0, 0, 0, 0, 0, 1</t>
  </si>
  <si>
    <t>great plumber near me</t>
  </si>
  <si>
    <t>0, 0, 0, 0, 0, 0, 0, 0, 0, 0, 0, 0, 0, 0, 0, 0, 0, 3, 0, 0, 0, 0, 0, 1</t>
  </si>
  <si>
    <t>24 hour cheap plumber near me</t>
  </si>
  <si>
    <t>31, 18, 24, 21, 20, 15, 21, 34, 46, 40, 26, 19, 223, 192, 126, 51, 84, 149, 186, 113, 68, 51, 55, 55</t>
  </si>
  <si>
    <t>0, 2, 0, 0, 0, 0, 0, 0, 0, 1, 0, 0, 0, 0, 0, 0, 0, 0, 0, 0, 0, 0, 0, 1</t>
  </si>
  <si>
    <t>plumbing etc</t>
  </si>
  <si>
    <t>plumber technician near me</t>
  </si>
  <si>
    <t>0, 0, 0, 0, 0, 0, 0, 1, 0, 0, 0, 0, 0, 1, 0, 0, 0, 0, 0, 0, 0, 0, 0, 1</t>
  </si>
  <si>
    <t>plumber training centre near me</t>
  </si>
  <si>
    <t>Video preview,People also ask</t>
  </si>
  <si>
    <t>4, 0, 0, 0, 0, 0, 2, 0, 0, 0, 0, 1, 1, 0, 3, 0, 0, 2, 0, 0, 0, 0, 0, 1</t>
  </si>
  <si>
    <t>local plumber near me hinesville ga</t>
  </si>
  <si>
    <t>Informational,Commercial,Branded,Local</t>
  </si>
  <si>
    <t>160, 142, 157, 166, 140, 163, 163, 171, 151, 177, 119, 198, 104, 108, 94, 150, 128, 115, 98, 43, 6, 4, 3, 5</t>
  </si>
  <si>
    <t>plumber near me norwich</t>
  </si>
  <si>
    <t>sandton plumber</t>
  </si>
  <si>
    <t>0, 0, 1, 1, 0, 2, 1, 1, 0, 1, 3, 0, 0, 0, 0, 0, 0, 0, 0, 0, 0, 0, 0, 1</t>
  </si>
  <si>
    <t>24 plumber near me</t>
  </si>
  <si>
    <t>8, 9, 3, 3, 4, 3, 5, 0, 7, 0, 8, 5, 0, 0, 2, 3, 4, 2, 1, 2, 0, 2, 4, 4</t>
  </si>
  <si>
    <t>best plumber near me lawrenceville</t>
  </si>
  <si>
    <t>plumber near me chandler heights</t>
  </si>
  <si>
    <t>43, 40, 49, 42, 47, 43, 41, 54, 43, 48, 50, 239, 231, 170, 39, 37, 24, 35, 26, 40, 66, 74, 40, 59</t>
  </si>
  <si>
    <t>0, 0, 0, 0, 0, 0, 1, 2, 2, 0, 1, 0, 0, 0, 0, 0, 0, 0, 0, 0, 0, 0, 0, 1</t>
  </si>
  <si>
    <t>24 hour emergency plumber near me open now</t>
  </si>
  <si>
    <t>plumbers johannesburg south</t>
  </si>
  <si>
    <t>0, 0, 0, 0, 1, 1, 0, 1, 1, 1, 0, 0, 0, 1, 0, 0, 0, 0, 0, 0, 0, 0, 0, 1</t>
  </si>
  <si>
    <t>plumber electrician near me</t>
  </si>
  <si>
    <t>Local pack,People also ask,Discussions</t>
  </si>
  <si>
    <t>2, 1, 2, 0, 5, 2, 4, 4, 2, 6, 6, 1, 7, 7, 4, 1, 0, 1, 1, 1, 3, 2, 1, 3</t>
  </si>
  <si>
    <t>propane gas plumber near me</t>
  </si>
  <si>
    <t>37, 38, 57, 53, 41, 61, 80, 51, 36, 55, 66, 220, 207, 144, 76, 64, 57, 62, 60, 52, 37, 40, 36, 39</t>
  </si>
  <si>
    <t>saniflo plumber near me</t>
  </si>
  <si>
    <t>plumbers in durban</t>
  </si>
  <si>
    <t>0, 0, 0, 0, 0, 2, 0, 0, 0, 0, 0, 0, 0, 0, 0, 0, 0, 0, 0, 0, 0, 0, 0, 1</t>
  </si>
  <si>
    <t>24 hour plumber near me los angeles</t>
  </si>
  <si>
    <t>plumber near me durban north umhlanga</t>
  </si>
  <si>
    <t>1, 2, 2, 3, 5, 9, 8, 7, 7, 2, 6, 6, 1, 4, 0, 0, 0, 0, 5, 0, 0, 0, 0, 1</t>
  </si>
  <si>
    <t>plumber near me home service price list</t>
  </si>
  <si>
    <t>0, 0, 0, 0, 0, 0, 0, 0, 0, 0, 0, 0, 0, 1, 2, 0, 2, 0, 0, 0, 0, 2, 1, 2</t>
  </si>
  <si>
    <t>76, 135, 87, 73, 50, 88, 74, 116, 78, 94, 87, 108, 159, 92, 95, 72, 63, 103, 78, 93, 78, 94, 81, 78</t>
  </si>
  <si>
    <t>tiler and plumber near me</t>
  </si>
  <si>
    <t>90, 89, 102, 97, 78, 103, 78, 93, 78, 94, 81, 78</t>
  </si>
  <si>
    <t>0, 2, 1, 0, 2, 1, 0, 0, 0, 0, 0, 0, 0, 0, 0, 0, 0, 0, 0, 0, 0, 0, 0, 1</t>
  </si>
  <si>
    <t>plumber in sandton</t>
  </si>
  <si>
    <t>water softener plumber near me</t>
  </si>
  <si>
    <t>plumber near me london</t>
  </si>
  <si>
    <t>1, 0, 0, 1, 1, 0, 0, 3, 0, 0, 1, 0, 0, 0, 0, 0, 2, 0, 0, 0, 0, 0, 0, 1</t>
  </si>
  <si>
    <t>plumber to fix toilet near me</t>
  </si>
  <si>
    <t>70, 48, 51, 93, 53, 57, 95, 68, 65, 62, 61, 90, 146, 136, 94, 58, 91, 55, 52, 45, 62, 75, 85, 91</t>
  </si>
  <si>
    <t>0, 1, 1, 0, 1, 2, 0, 0, 0, 1, 0, 0, 1, 1, 0, 0, 0, 0, 0, 0, 0, 4, 0, 1</t>
  </si>
  <si>
    <t>plumber near me spring tx</t>
  </si>
  <si>
    <t>emergency plumber randburg</t>
  </si>
  <si>
    <t>0, 1, 0, 1, 0, 0, 0, 1, 1, 0, 0, 0, 0, 0, 0, 0, 0, 0, 0, 0, 0, 0, 0, 1</t>
  </si>
  <si>
    <t>plumber merchants near me now</t>
  </si>
  <si>
    <t>0, 0, 0, 0, 4, 0, 0, 0, 2, 0, 2, 1, 0, 0, 0, 0, 0, 0, 0, 0, 0, 0, 0, 1</t>
  </si>
  <si>
    <t>spartanburg plumber near me</t>
  </si>
  <si>
    <t>8, 16, 35, 46, 43, 23, 9, 6, 25, 23, 10, 214, 224, 166, 53, 74, 60, 89, 66, 35, 33, 36, 21, 30</t>
  </si>
  <si>
    <t>most affordable plumber near me</t>
  </si>
  <si>
    <t>alternatives</t>
  </si>
  <si>
    <t>plumbers pretoria north</t>
  </si>
  <si>
    <t>0, 0, 2, 0, 1, 0, 1, 0, 0, 0, 0, 0, 0, 0, 0, 0, 0, 0, 0, 0, 0, 1, 0, 1</t>
  </si>
  <si>
    <t>plumber near me charleston</t>
  </si>
  <si>
    <t>plumber pretoria north</t>
  </si>
  <si>
    <t>plumber coupons near me</t>
  </si>
  <si>
    <t>plumber putty near me</t>
  </si>
  <si>
    <t>0, 0, 0, 0, 0, 0, 0, 0, 0, 0, 0, 1, 0, 0, 0, 0, 0, 0, 0, 0, 0, 0, 1, 1</t>
  </si>
  <si>
    <t>110, 78, 66, 59, 57, 71, 63, 76, 76, 66, 89, 128, 142, 102, 59, 93, 71, 74, 51, 80, 65, 51, 4, 39</t>
  </si>
  <si>
    <t>plumber near me hilliard</t>
  </si>
  <si>
    <t>drain camera inspection</t>
  </si>
  <si>
    <t>0, 0, 0, 0, 0, 1, 0, 0, 0, 0, 1, 0, 0, 0, 0, 0, 0, 0, 0, 0, 0, 0, 0, 1</t>
  </si>
  <si>
    <t>plumber, electrician carpenter near me</t>
  </si>
  <si>
    <t>cheap plumber near me now</t>
  </si>
  <si>
    <t>0, 0, 0, 0, 0, 0, 0, 0, 1, 0, 0, 0, 0, 1, 1, 0, 0, 0, 0, 0, 0, 0, 1, 2</t>
  </si>
  <si>
    <t>plumber near me san antonio</t>
  </si>
  <si>
    <t>plumber handyman near me</t>
  </si>
  <si>
    <t>38, 43, 31, 25, 28, 27, 29, 33, 43, 37, 43, 28, 74, 95, 77, 74, 42, 59, 84, 105, 91, 68, 65, 60</t>
  </si>
  <si>
    <t>3, 2, 3, 5, 6, 3, 5, 5, 3, 5, 7, 1, 1, 1, 0, 1, 2, 3, 1, 0, 1, 0, 5, 4</t>
  </si>
  <si>
    <t>residential plumber services near me</t>
  </si>
  <si>
    <t>emergency plumbers</t>
  </si>
  <si>
    <t>plumber to install washing machine near me</t>
  </si>
  <si>
    <t>0, 0, 0, 0, 0, 0, 0, 0, 0, 0, 0, 0, 0, 0, 1, 0, 1, 0, 1, 1, 1, 0, 0, 1</t>
  </si>
  <si>
    <t>female plumber near me</t>
  </si>
  <si>
    <t>0, 1, 0, 0, 0, 0, 0, 0, 0, 1, 3, 4, 2, 0, 0, 0, 1, 2, 0, 0, 3, 0, 0, 2</t>
  </si>
  <si>
    <t>drainage plumber near me</t>
  </si>
  <si>
    <t>54, 48, 54, 70, 57, 76, 61, 49, 53, 99, 169, 169, 129, 38, 44, 65, 54, 117, 126, 46, 36, 51, 36, 36</t>
  </si>
  <si>
    <t>1, 3, 2, 1, 2, 1, 5, 4, 7, 4, 3, 6, 0, 1, 2, 0, 1, 2, 2, 0, 0, 4, 1, 3</t>
  </si>
  <si>
    <t>plumber apprenticeship near me</t>
  </si>
  <si>
    <t>1, 0, 0, 0, 1, 0, 0, 0, 1, 22, 0, 0, 0, 1, 0, 0, 1, 2, 0, 1, 3, 0, 0, 2</t>
  </si>
  <si>
    <t>plumber near me free quote</t>
  </si>
  <si>
    <t>0, 1, 3, 2, 5, 1, 3, 2, 5, 5, 3, 0, 1, 0, 0, 0, 0, 0, 0, 0, 0, 0, 1, 1</t>
  </si>
  <si>
    <t>best plumber company near me</t>
  </si>
  <si>
    <t>1, 0, 0, 0, 0, 0, 1, 0, 1, 2, 2, 0, 0, 0, 0, 0, 0, 0, 0, 0, 0, 0, 1, 1</t>
  </si>
  <si>
    <t>john plumber near me</t>
  </si>
  <si>
    <t>0, 0, 0, 0, 0, 0, 1, 0, 1, 0, 0, 0, 0, 1, 0, 0, 3, 0, 2, 0, 0, 0, 0, 1</t>
  </si>
  <si>
    <t>plumber near me san gabriel valley ca</t>
  </si>
  <si>
    <t>Local pack,Discussions</t>
  </si>
  <si>
    <t>0, 0, 0, 0, 0, 0, 0, 1, 1, 1, 0, 1, 0, 0, 0, 0, 0, 0, 0, 0, 0, 0, 0, 1</t>
  </si>
  <si>
    <t>plumber businesses near me</t>
  </si>
  <si>
    <t>0, 0, 0, 0, 0, 0, 0, 0, 0, 0, 0, 0, 0, 0, 0, 0, 0, 0, 0, 0, 0, 4, 2, 3</t>
  </si>
  <si>
    <t>rooter plumber near me</t>
  </si>
  <si>
    <t>48, 22, 38, 32, 32, 33, 34, 24, 36, 34, 30, 45, 82, 51, 58, 60, 56, 75, 81, 177, 60, 107, 75, 60</t>
  </si>
  <si>
    <t>0, 0, 1, 0, 0, 2, 2, 2, 2, 2, 2, 0, 0, 0, 0, 0, 0, 1, 0, 0, 0, 0, 0, 1</t>
  </si>
  <si>
    <t>emergency plumbing near me</t>
  </si>
  <si>
    <t>emergency plumber near me ottawa on</t>
  </si>
  <si>
    <t>natural gas plumber near me</t>
  </si>
  <si>
    <t>4, 4, 0, 7, 5, 2, 3, 7, 4, 1, 4, 0, 0, 0, 0, 0, 2, 1, 0, 0, 0, 0, 0, 1</t>
  </si>
  <si>
    <t>plumber near me cartersville</t>
  </si>
  <si>
    <t>31, 23, 35, 26, 46, 41, 44, 39, 57, 59, 84, 83, 52, 49, 38, 153, 58, 103, 115, 94, 89, 29, 68, 47</t>
  </si>
  <si>
    <t>emergency plumber near me northfield</t>
  </si>
  <si>
    <t>plumbers in johannesburg south</t>
  </si>
  <si>
    <t>plumber near me smyrna</t>
  </si>
  <si>
    <t>hire a plumber near me</t>
  </si>
  <si>
    <t>1, 1, 0, 1, 1, 0, 1, 2, 2, 2, 0, 0, 0, 0, 1, 0, 0, 0, 0, 0, 1, 0, 1, 2</t>
  </si>
  <si>
    <t>7, 4, 12, 91, 13, 6, 12, 7, 13, 5, 11, 6, 157, 165, 112, 21, 42, 116, 149, 72, 26, 26, 56, 29</t>
  </si>
  <si>
    <t>emergency plumber near me cheap</t>
  </si>
  <si>
    <t>plumbers in pretoria</t>
  </si>
  <si>
    <t>1, 0, 1, 0, 0, 4, 8, 2, 9, 5, 3, 21, 2, 0, 0, 0, 0, 0, 0, 0, 0, 0, 0, 1</t>
  </si>
  <si>
    <t>best plumber near me johns creek</t>
  </si>
  <si>
    <t>0, 0, 1, 0, 1, 0, 0, 0, 0, 1, 0, 0, 0, 0, 0, 0, 0, 0, 0, 0, 0, 0, 0, 1</t>
  </si>
  <si>
    <t>pool plumber near me</t>
  </si>
  <si>
    <t>0, 1, 1, 11, 0, 2, 1, 4, 2, 3, 1, 0, 2, 7, 2, 3, 8, 5, 4, 1, 1, 3, 0, 2</t>
  </si>
  <si>
    <t>emergency plumber near me portland</t>
  </si>
  <si>
    <t>63, 67, 70, 55, 41, 64, 63, 67, 69, 66, 52, 106, 86, 81, 77, 62, 43, 64, 56, 60, 55, 60, 53, 60</t>
  </si>
  <si>
    <t>58, 60, 69, 61, 55, 64, 56, 59, 55, 60, 53, 60</t>
  </si>
  <si>
    <t>plumber gas line near me</t>
  </si>
  <si>
    <t>vs</t>
  </si>
  <si>
    <t>0, 1, 0, 0, 0, 1, 0, 0, 2, 2, 3, 1, 0, 0, 0, 0, 0, 0, 0, 0, 0, 0, 0, 1</t>
  </si>
  <si>
    <t>plumber cost near me</t>
  </si>
  <si>
    <t>0, 0, 0, 0, 0, 0, 0, 0, 0, 1, 0, 0, 1, 1, 0, 0, 0, 1, 0, 0, 0, 0, 0, 1</t>
  </si>
  <si>
    <t>plumber near me croydon</t>
  </si>
  <si>
    <t>gas pipe plumber near me los angeles</t>
  </si>
  <si>
    <t>plumber near me contact number</t>
  </si>
  <si>
    <t>geyser plumbers near me</t>
  </si>
  <si>
    <t>9, 17, 6, 9, 6, 15, 3, 3, 5, 2, 3, 1, 5, 1, 0, 2, 8, 2, 2, 3, 5, 3, 7, 6</t>
  </si>
  <si>
    <t>cheap emergency plumber near me</t>
  </si>
  <si>
    <t>1, 1, 0, 2, 2, 0, 0, 1, 0, 0, 2, 1, 0, 0, 0, 0, 0, 0, 0, 1, 1, 0, 0, 1</t>
  </si>
  <si>
    <t>quality plumber near me</t>
  </si>
  <si>
    <t>96, 90, 143, 109, 89, 87, 96, 116, 100, 89, 75, 97, 55, 74, 68, 55, 102, 100, 35, 60, 43, 56, 59, 54</t>
  </si>
  <si>
    <t>1, 0, 1, 0, 0, 1, 1, 1, 0, 0, 1, 1, 0, 0, 0, 0, 0, 1, 3, 0, 0, 0, 0, 1</t>
  </si>
  <si>
    <t>plumber near me chastain park</t>
  </si>
  <si>
    <t>best plumbers pretoria</t>
  </si>
  <si>
    <t>0, 0, 0, 0, 0, 1, 0, 0, 0, 3, 0, 0, 0, 0, 0, 0, 0, 0, 0, 0, 0, 0, 0, 1</t>
  </si>
  <si>
    <t>plumber near me cape town</t>
  </si>
  <si>
    <t>best plumbing</t>
  </si>
  <si>
    <t>0, 0, 0, 0, 0, 0, 0, 0, 0, 0, 0, 0, 0, 0, 0, 0, 18, 5, 16, 0, 0, 0, 0, 1</t>
  </si>
  <si>
    <t>seattle plumber near me</t>
  </si>
  <si>
    <t>0, 0, 0, 0, 0, 0, 1, 0, 0, 0, 0, 1, 0, 0, 0, 0, 0, 0, 0, 0, 0, 0, 0, 1</t>
  </si>
  <si>
    <t>plumber near me houston tx</t>
  </si>
  <si>
    <t>80, 40, 51, 57, 73, 76, 85, 65, 55, 71, 70, 41, 159, 100, 70, 56, 62, 41, 64, 60, 47, 21, 5, 66</t>
  </si>
  <si>
    <t>0, 0, 1, 0, 0, 0, 0, 2, 0, 0, 1, 0, 0, 0, 0, 0, 0, 0, 0, 0, 0, 0, 0, 1</t>
  </si>
  <si>
    <t>local plumber service near me</t>
  </si>
  <si>
    <t>0, 0, 0, 0, 0, 0, 0, 0, 0, 0, 0, 0, 0, 0, 0, 0, 1, 0, 0, 0, 0, 0, 0, 1</t>
  </si>
  <si>
    <t>plumber near me las vegas</t>
  </si>
  <si>
    <t>plumber supply shop near me</t>
  </si>
  <si>
    <t>1, 0, 0, 0, 0, 0, 0, 0, 0, 0, 0, 0, 0, 0, 0, 0, 1, 0, 0, 0, 0, 1, 0, 1</t>
  </si>
  <si>
    <t>31, 37, 39, 31, 32, 57, 61, 87, 56, 58, 16, 141, 137, 88, 36, 22, 78, 106, 64, 58, 27, 21, 14, 22</t>
  </si>
  <si>
    <t>plumber/electrician near me</t>
  </si>
  <si>
    <t>24 hour plumber</t>
  </si>
  <si>
    <t>2, 0, 1, 0, 0, 1, 0, 0, 0, 1, 1, 0, 1, 0, 0, 0, 0, 0, 0, 0, 0, 0, 0, 1</t>
  </si>
  <si>
    <t>local plumber near me richmond hill ga</t>
  </si>
  <si>
    <t>plumber internship near me</t>
  </si>
  <si>
    <t>0, 0, 0, 0, 0, 0, 0, 0, 1, 0, 0, 1, 0, 0, 0, 0, 0, 0, 0, 1, 0, 1, 0, 1</t>
  </si>
  <si>
    <t>24 hour toilet plumber near me</t>
  </si>
  <si>
    <t>1, 4, 0, 0, 1, 4, 2, 2, 1, 2, 1, 0, 0, 0, 0, 0, 0, 0, 0, 0, 0, 0, 0, 1</t>
  </si>
  <si>
    <t>92, 45, 80, 83, 172, 69, 70, 105, 105, 94, 79, 92, 85, 79, 75, 54, 90, 56, 52, 62, 76, 65, 54, 59</t>
  </si>
  <si>
    <t>local plumber near me duluth</t>
  </si>
  <si>
    <t>57, 52, 68, 81, 89, 56, 51, 62, 75, 65, 54, 58</t>
  </si>
  <si>
    <t>0, 0, 0, 0, 0, 0, 0, 2, 1, 0, 2, 0, 0, 0, 0, 0, 0, 0, 0, 0, 0, 0, 0, 1</t>
  </si>
  <si>
    <t>plumber in durban</t>
  </si>
  <si>
    <t>plumber near me north scottsdale az</t>
  </si>
  <si>
    <t>plumber fittings near me</t>
  </si>
  <si>
    <t>0, 0, 0, 0, 0, 0, 0, 0, 0, 0, 0, 0, 0, 0, 2, 0, 1, 0, 1, 0, 0, 0, 0, 1</t>
  </si>
  <si>
    <t>20, 37, 14, 22, 22, 18, 19, 23, 16, 18, 42, 17, 152, 116, 89, 47, 41, 46, 52, 51, 49, 56, 49, 42</t>
  </si>
  <si>
    <t>emergency plumber near me 24 hours</t>
  </si>
  <si>
    <t>plumbers near me open now</t>
  </si>
  <si>
    <t>4, 1, 6, 1, 3, 0, 0, 1, 2, 1, 1, 0, 0, 0, 0, 0, 0, 2, 0, 0, 1, 0, 0, 1</t>
  </si>
  <si>
    <t>plumber work near me</t>
  </si>
  <si>
    <t>0, 0, 1, 2, 3, 0, 3, 0, 3, 0, 1, 2, 0, 0, 0, 0, 0, 1, 3, 2, 0, 1, 0, 1</t>
  </si>
  <si>
    <t>finding a plumber near me</t>
  </si>
  <si>
    <t>0, 1, 1, 0, 2, 1, 0, 0, 1, 1, 1, 0, 0, 0, 0, 0, 0, 0, 2, 0, 0, 0, 0, 1</t>
  </si>
  <si>
    <t>plumber near me hedgesville wv</t>
  </si>
  <si>
    <t>59, 67, 67, 64, 55, 79, 70, 60, 63, 78, 70, 52, 55, 63, 63, 47, 45, 93, 41, 42, 59, 73, 70, 64</t>
  </si>
  <si>
    <t>plumbers in pretoria east</t>
  </si>
  <si>
    <t>plumber near me covington</t>
  </si>
  <si>
    <t>0, 0, 1, 1, 0, 0, 0, 0, 0, 0, 0, 0, 0, 0, 0, 0, 0, 0, 0, 0, 0, 0, 0, 1</t>
  </si>
  <si>
    <t>plumbers pretoria east</t>
  </si>
  <si>
    <t>commercial plumber service near me</t>
  </si>
  <si>
    <t>0, 0, 1, 0, 0, 1, 1, 0, 3, 0, 0, 0, 0, 0, 0, 0, 0, 0, 0, 0, 0, 0, 0, 1</t>
  </si>
  <si>
    <t>paul the plumber near me</t>
  </si>
  <si>
    <t>0, 1, 0, 0, 0, 0, 0, 0, 0, 0, 1, 0, 0, 0, 0, 0, 0, 0, 0, 0, 0, 0, 0, 1</t>
  </si>
  <si>
    <t>20, 17, 18, 21, 15, 18, 19, 24, 45, 41, 27, 25, 123, 101, 91, 68, 79, 49, 43, 37, 52, 28, 37, 40</t>
  </si>
  <si>
    <t>plumber service near me lawrenceville</t>
  </si>
  <si>
    <t>emergency plumbing</t>
  </si>
  <si>
    <t>0, 0, 0, 1, 0, 0, 1, 0, 0, 0, 0, 0, 0, 0, 0, 0, 0, 0, 0, 0, 0, 0, 0, 1</t>
  </si>
  <si>
    <t>plumber and electrical near me</t>
  </si>
  <si>
    <t>compare</t>
  </si>
  <si>
    <t>plumbing emergency</t>
  </si>
  <si>
    <t>0, 0, 1, 0, 0, 1, 0, 1, 1, 2, 0, 1, 1, 0, 0, 0, 0, 2, 1, 0, 0, 0, 0, 1</t>
  </si>
  <si>
    <t>plumber guy near me</t>
  </si>
  <si>
    <t>1, 0, 0, 0, 0, 0, 1, 2, 1, 0, 0, 0, 0, 0, 0, 3, 0, 1, 0, 1, 0, 1, 0, 1</t>
  </si>
  <si>
    <t>plumber near me price</t>
  </si>
  <si>
    <t>66, 84, 96, 105, 121, 125, 94, 178, 219, 320, 261, 63, 46, 47, 82, 41, 90, 103, 61, 31, 37, 39, 30, 36</t>
  </si>
  <si>
    <t>0, 1, 0, 0, 0, 0, 0, 0, 0, 0, 2, 1, 0, 0, 1, 0, 0, 0, 0, 0, 0, 0, 0, 1</t>
  </si>
  <si>
    <t>best plumbers near me</t>
  </si>
  <si>
    <t>gas plumber near me magnolia tx</t>
  </si>
  <si>
    <t>0, 0, 0, 0, 0, 2, 0, 0, 0, 0, 0, 0, 0, 0, 0, 0, 1, 0, 0, 0, 0, 0, 0, 1</t>
  </si>
  <si>
    <t>plumbers pinetown</t>
  </si>
  <si>
    <t>emergency plumber near me arlington</t>
  </si>
  <si>
    <t>0, 0, 0, 0, 0, 0, 2, 0, 2, 1, 2, 0, 0, 0, 0, 0, 0, 0, 0, 0, 0, 0, 0, 1</t>
  </si>
  <si>
    <t>plumber positions near me</t>
  </si>
  <si>
    <t>94, 82, 92, 113, 99, 106, 81, 105, 96, 118, 117, 65, 63, 56, 54, 48, 58, 47, 57, 70, 51, 54, 36, 48</t>
  </si>
  <si>
    <t>mr plumber near me</t>
  </si>
  <si>
    <t>pretoria plumbers</t>
  </si>
  <si>
    <t>2, 2, 4, 1, 4, 2, 2, 2, 0, 1, 8, 1, 0, 1, 0, 0, 4, 1, 5, 0, 0, 0, 1, 1</t>
  </si>
  <si>
    <t>plumber near me garland tx</t>
  </si>
  <si>
    <t>0, 0, 0, 0, 1, 0, 1, 1, 0, 0, 0, 0, 0, 0, 0, 0, 0, 0, 0, 0, 0, 0, 0, 1</t>
  </si>
  <si>
    <t>plumber near me yucaipa ca</t>
  </si>
  <si>
    <t>0, 0, 0, 0, 0, 0, 0, 1, 1, 1, 1, 0, 0, 0, 0, 0, 0, 0, 0, 0, 0, 0, 0, 1</t>
  </si>
  <si>
    <t>plumber gas fitter near me</t>
  </si>
  <si>
    <t>79, 90, 156, 45, 58, 67, 101, 65, 45, 47, 86, 160, 139, 105, 54, 50, 50, 51, 36, 25, 32, 56, 14, 33</t>
  </si>
  <si>
    <t>2, 1, 1, 1, 1, 0, 4, 1, 1, 3, 5, 1, 0, 0, 1, 0, 0, 0, 0, 0, 2, 0, 1, 2</t>
  </si>
  <si>
    <t>licensed and bonded plumber near me</t>
  </si>
  <si>
    <t>plumbing service near me</t>
  </si>
  <si>
    <t>0, 0, 0, 1, 0, 0, 0, 1, 0, 0, 0, 0, 0, 0, 0, 0, 0, 0, 0, 0, 0, 0, 0, 1</t>
  </si>
  <si>
    <t>cheap 24 hour plumber near me</t>
  </si>
  <si>
    <t>3, 1, 0, 0, 3, 1, 1, 3, 1, 0, 0, 0, 2, 1, 3, 0, 0, 0, 0, 0, 0, 0, 5, 3</t>
  </si>
  <si>
    <t>plumber near me midtown atlanta</t>
  </si>
  <si>
    <t>0, 0, 0, 0, 0, 1, 1, 0, 1, 1, 0, 1, 0, 0, 0, 0, 0, 0, 0, 0, 0, 0, 0, 1</t>
  </si>
  <si>
    <t>40, 47, 63, 57, 58, 57, 80, 54, 80, 83, 83, 74, 24, 14, 13, 18, 59, 156, 154, 68, 31, 20, 34, 27</t>
  </si>
  <si>
    <t>propane plumber near me</t>
  </si>
  <si>
    <t>registered plumbers near me</t>
  </si>
  <si>
    <t>0, 0, 0, 0, 0, 0, 0, 0, 1, 1, 0, 0, 0, 0, 0, 0, 0, 0, 0, 0, 0, 0, 0, 1</t>
  </si>
  <si>
    <t>plumber shops open near me</t>
  </si>
  <si>
    <t>1, 4, 2, 3, 6, 5, 3, 2, 2, 4, 1, 1, 1, 0, 0, 0, 0, 0, 1, 0, 0, 0, 0, 1</t>
  </si>
  <si>
    <t>plumber bathroom renovations near me</t>
  </si>
  <si>
    <t>plumber commercial near me</t>
  </si>
  <si>
    <t>67, 58, 92, 61, 66, 94, 75, 109, 66, 55, 73, 63, 82, 51, 67, 50, 43, 83, 43, 72, 48, 71, 37, 53</t>
  </si>
  <si>
    <t>0, 1, 0, 1, 1, 1, 0, 1, 0, 3, 4, 0, 0, 0, 0, 0, 0, 0, 0, 0, 0, 0, 0, 1</t>
  </si>
  <si>
    <t>plumber emergency service near me</t>
  </si>
  <si>
    <t>0, 0, 2, 0, 0, 1, 1, 0, 0, 1, 1, 0, 0, 0, 0, 0, 0, 0, 1, 1, 0, 0, 1, 1</t>
  </si>
  <si>
    <t>plumber near me acworth</t>
  </si>
  <si>
    <t>boiler plumber near me</t>
  </si>
  <si>
    <t>1, 1, 2, 1, 1, 1, 1, 3, 0, 1, 1, 0, 0, 0, 0, 0, 0, 0, 0, 0, 4, 0, 0, 2</t>
  </si>
  <si>
    <t>macerator plumber near me</t>
  </si>
  <si>
    <t>56, 54, 39, 51, 43, 46, 53, 32, 46, 47, 55, 57, 100, 52, 38, 47, 48, 43, 40, 45, 48, 54, 40, 40</t>
  </si>
  <si>
    <t>0, 0, 0, 0, 0, 1, 1, 0, 0, 1, 0, 0, 0, 0, 0, 0, 0, 0, 0, 0, 0, 0, 0, 1</t>
  </si>
  <si>
    <t>local plumber</t>
  </si>
  <si>
    <t>shower plumber near me</t>
  </si>
  <si>
    <t>0, 1, 0, 0, 1, 0, 0, 3, 1, 4, 0, 0, 0, 0, 0, 0, 0, 0, 1, 0, 1, 0, 0, 1</t>
  </si>
  <si>
    <t>plumber parts near me</t>
  </si>
  <si>
    <t>4, 1, 1, 2, 3, 0, 0, 1, 1, 3, 3, 4, 1, 1, 2, 1, 2, 1, 0, 4, 2, 2, 1, 3</t>
  </si>
  <si>
    <t>free emergency plumber near me</t>
  </si>
  <si>
    <t>34, 41, 52, 66, 59, 241, 388, 72, 130, 123, 118, 108, 28, 41, 14, 18, 31, 53, 80, 44, 50, 41, 21, 26</t>
  </si>
  <si>
    <t>plumbers pretoria west</t>
  </si>
  <si>
    <t>0, 0, 0, 0, 0, 0, 0, 0, 0, 0, 1, 0, 0, 0, 0, 0, 0, 0, 0, 0, 0, 1, 0, 1</t>
  </si>
  <si>
    <t>spanish plumber near me</t>
  </si>
  <si>
    <t>0, 0, 0, 0, 0, 0, 0, 0, 0, 0, 0, 1, 0, 0, 0, 0, 0, 0, 0, 0, 0, 0, 0, 1</t>
  </si>
  <si>
    <t>plumber wholesalers near me</t>
  </si>
  <si>
    <t>41, 48, 29, 20, 25, 16, 29, 26, 30, 29, 19, 85, 114, 56, 30, 14, 32, 32, 27, 51, 45, 45, 18, 36</t>
  </si>
  <si>
    <t>plumbing companies durban</t>
  </si>
  <si>
    <t>0, 1, 0, 0, 1, 0, 0, 1, 1, 0, 0, 0, 0, 0, 0, 1, 1, 0, 0, 0, 0, 0, 0, 1</t>
  </si>
  <si>
    <t>emergency plumber near me cheap chicago</t>
  </si>
  <si>
    <t>near me</t>
  </si>
  <si>
    <t>0, 0, 0, 0, 0, 0, 1, 1, 1, 0, 2, 0, 0, 0, 0, 0, 0, 0, 0, 0, 0, 0, 0, 1</t>
  </si>
  <si>
    <t>26, 20, 30, 29, 27, 43, 34, 36, 26, 25, 42, 109, 114, 91, 38, 35, 17, 41, 18, 30, 48, 42, 39, 44</t>
  </si>
  <si>
    <t>sink plumber near me</t>
  </si>
  <si>
    <t>cheap plumbers near me</t>
  </si>
  <si>
    <t>0, 1, 0, 0, 0, 0, 1, 0, 0, 0, 0, 0, 0, 0, 0, 0, 0, 0, 0, 0, 0, 2, 0, 2</t>
  </si>
  <si>
    <t>People also ask,Discussions,Knowledge panel,Video preview,Sitelinks</t>
  </si>
  <si>
    <t>recommended plumber near me</t>
  </si>
  <si>
    <t>54, 47, 45, 45, 48, 45, 46, 47, 45, 46, 47, 49, 51, 49, 47, 47, 50, 47, 48, 49, 48, 48, 49, 51</t>
  </si>
  <si>
    <t>1, 0, 2, 5, 3, 0, 1, 1, 0, 0, 2, 2, 1, 4, 0, 1, 3, 2, 2, 1, 1, 2, 3, 4</t>
  </si>
  <si>
    <t>53, 51, 49, 49, 52, 49, 50, 51, 50, 50, 51, 53</t>
  </si>
  <si>
    <t>licensed gas plumber near me</t>
  </si>
  <si>
    <t>professional plumber</t>
  </si>
  <si>
    <t>2, 1, 2, 4, 3, 3, 1, 3, 5, 5, 2, 1, 0, 0, 0, 0, 0, 0, 0, 0, 0, 0, 0, 1</t>
  </si>
  <si>
    <t>backflow plumber near me</t>
  </si>
  <si>
    <t>0, 0, 0, 1, 0, 0, 1, 1, 2, 0, 1, 1, 0, 0, 0, 0, 0, 0, 0, 0, 0, 0, 0, 1</t>
  </si>
  <si>
    <t>People also ask,Knowledge panel,Video preview</t>
  </si>
  <si>
    <t>local plumber near me free estimate</t>
  </si>
  <si>
    <t>0, 0, 0, 2, 0, 1, 1, 0, 0, 1, 0, 0, 0, 0, 0, 0, 0, 0, 0, 0, 0, 0, 0, 1</t>
  </si>
  <si>
    <t>plumber near me madison</t>
  </si>
  <si>
    <t>9, 12, 11, 17, 11, 8, 17, 20, 26, 36, 25, 49, 55, 45, 59, 60, 56, 55, 44, 56, 53, 45, 38, 46</t>
  </si>
  <si>
    <t>0, 1, 1, 0, 2, 0, 0, 0, 0, 0, 0, 0, 0, 0, 0, 0, 0, 0, 0, 0, 0, 0, 0, 1</t>
  </si>
  <si>
    <t>saturday plumber near me</t>
  </si>
  <si>
    <t>plumber with camera inspection near me</t>
  </si>
  <si>
    <t>0, 0, 0, 3, 0, 0, 0, 1, 0, 1, 3, 0, 1, 1, 1, 0, 1, 0, 0, 0, 0, 1, 0, 1</t>
  </si>
  <si>
    <t>gas plumber near me tomball tx</t>
  </si>
  <si>
    <t>0, 1, 0, 0, 0, 0, 0, 2, 0, 0, 1, 0, 0, 0, 0, 0, 0, 0, 0, 0, 0, 0, 0, 1</t>
  </si>
  <si>
    <t>christian plumber near me</t>
  </si>
  <si>
    <t>plumbing companies in johannesburg</t>
  </si>
  <si>
    <t>0, 0, 0, 0, 1, 0, 0, 1, 0, 0, 1, 0, 0, 0, 0, 0, 0, 0, 0, 0, 0, 0, 0, 1</t>
  </si>
  <si>
    <t>emergency plumber near me cheap denver</t>
  </si>
  <si>
    <t>0, 0, 0, 0, 0, 0, 1, 0, 1, 1, 2, 0, 0, 0, 0, 0, 0, 0, 0, 0, 0, 0, 0, 1</t>
  </si>
  <si>
    <t>Knowledge panel</t>
  </si>
  <si>
    <t>plumber phone number near me</t>
  </si>
  <si>
    <t>0, 1, 0, 0, 0, 0, 0, 1, 0, 0, 0, 0, 0, 0, 0, 0, 1, 0, 0, 0, 0, 0, 0, 1</t>
  </si>
  <si>
    <t>27, 15, 23, 18, 8, 16, 21, 15, 10, 9, 3, 45, 16, 5, 18, 41, 77, 121, 90, 56, 33, 34, 12, 27</t>
  </si>
  <si>
    <t>plumber near me phone number 24 hours</t>
  </si>
  <si>
    <t>plumbers in port elizabeth</t>
  </si>
  <si>
    <t>plumbers port elizabeth</t>
  </si>
  <si>
    <t>3, 0, 0, 1, 0, 0, 0, 0, 0, 0, 0, 0, 0, 0, 0, 0, 0, 0, 0, 0, 0, 0, 0, 1</t>
  </si>
  <si>
    <t>plumber near me phoenix az</t>
  </si>
  <si>
    <t>plumber supply near me now</t>
  </si>
  <si>
    <t>50, 53, 68, 52, 54, 63, 47, 46, 56, 44, 46, 51, 57, 39, 41, 34, 39, 38, 44, 45, 45, 43, 46, 45</t>
  </si>
  <si>
    <t>45, 42, 41, 38, 38, 47, 41, 40, 43, 42, 45, 44</t>
  </si>
  <si>
    <t>0, 0, 0, 0, 3, 0, 0, 0, 2, 1, 1, 0, 0, 0, 0, 0, 0, 0, 0, 0, 0, 0, 0, 1</t>
  </si>
  <si>
    <t>plumbing companies in durban</t>
  </si>
  <si>
    <t>plumber gas near me</t>
  </si>
  <si>
    <t>0, 0, 5, 5, 2, 0, 1, 4, 1, 3, 2, 1, 1, 0, 0, 0, 0, 1, 0, 0, 0, 0, 0, 1</t>
  </si>
  <si>
    <t>kevin plumber near me</t>
  </si>
  <si>
    <t>0, 0, 0, 1, 0, 0, 0, 2, 0, 0, 1, 0, 1, 0, 0, 0, 0, 0, 0, 0, 0, 0, 0, 1</t>
  </si>
  <si>
    <t>plumber near me 24/7</t>
  </si>
  <si>
    <t>1, 4, 2, 0, 0, 2, 0, 0, 1, 0, 6, 1, 1, 0, 0, 1, 0, 1, 0, 0, 0, 0, 0, 1</t>
  </si>
  <si>
    <t>19, 15, 19, 9, 16, 38, 23, 29, 25, 24, 22, 107, 83, 64, 27, 22, 14, 20, 17, 21, 21, 19, 20, 21</t>
  </si>
  <si>
    <t>fast plumber near me</t>
  </si>
  <si>
    <t>1, 0, 3, 3, 0, 0, 1, 3, 3, 0, 3, 0, 0, 1, 0, 0, 0, 0, 0, 2, 0, 0, 0, 1</t>
  </si>
  <si>
    <t>electric plumber near me</t>
  </si>
  <si>
    <t>0, 0, 0, 0, 0, 0, 0, 0, 0, 0, 1, 0, 1, 0, 0, 0, 2, 0, 0, 0, 0, 1, 0, 1</t>
  </si>
  <si>
    <t>residential plumber company near me</t>
  </si>
  <si>
    <t>26, 32, 51, 46, 48, 50, 44, 82, 61, 71, 65, 75, 35, 18, 29, 28, 69, 63, 33, 18, 26, 28, 12, 22</t>
  </si>
  <si>
    <t>1, 0, 0, 0, 0, 1, 0, 0, 0, 1, 2, 0, 0, 0, 0, 0, 0, 0, 0, 0, 0, 0, 0, 1</t>
  </si>
  <si>
    <t>plumber near me blocked drain</t>
  </si>
  <si>
    <t>local plumbers</t>
  </si>
  <si>
    <t>0, 4, 2, 0, 0, 0, 0, 0, 0, 0, 0, 0, 0, 0, 0, 0, 0, 0, 0, 0, 0, 0, 0, 1</t>
  </si>
  <si>
    <t>plumber near me chandler</t>
  </si>
  <si>
    <t>0, 0, 0, 1, 0, 0, 1, 2, 1, 0, 0, 0, 0, 0, 0, 0, 0, 0, 0, 0, 0, 0, 0, 1</t>
  </si>
  <si>
    <t>plumber near me santa fe</t>
  </si>
  <si>
    <t>specialist plumber near me</t>
  </si>
  <si>
    <t>38, 45, 37, 50, 65, 78, 62, 107, 96, 128, 88, 55, 28, 26, 71, 26, 23, 32, 19, 57, 34, 43, 67, 49</t>
  </si>
  <si>
    <t>local</t>
  </si>
  <si>
    <t>plumber near me sanford</t>
  </si>
  <si>
    <t>johannesburg plumbers</t>
  </si>
  <si>
    <t>residential plumber near me cape town</t>
  </si>
  <si>
    <t>0, 0, 0, 0, 0, 0, 0, 0, 0, 0, 0, 0, 0, 0, 0, 0, 0, 0, 0, 14, 29, 6, 0, 12</t>
  </si>
  <si>
    <t>expert plumber near me</t>
  </si>
  <si>
    <t>0, 0, 0, 0, 0, 1, 1, 0, 0, 0, 2, 2, 1, 3, 0, 0, 0, 3, 0, 0, 0, 0, 0, 1</t>
  </si>
  <si>
    <t>13, 6, 6, 2, 8, 10, 15, 15, 10, 25, 14, 142, 148, 104, 28, 7, 11, 11, 29, 9, 7, 20, 2, 10</t>
  </si>
  <si>
    <t>sewer plumber near me</t>
  </si>
  <si>
    <t>best plumbers</t>
  </si>
  <si>
    <t>2, 3, 2, 0, 2, 4, 5, 3, 2, 3, 0, 4, 0, 0, 0, 4, 18, 3, 1, 1, 0, 0, 2, 2</t>
  </si>
  <si>
    <t>honest reliable plumber near me</t>
  </si>
  <si>
    <t>0, 0, 0, 0, 0, 0, 1, 0, 1, 1, 0, 2, 0, 0, 0, 0, 0, 0, 0, 0, 0, 0, 0, 1</t>
  </si>
  <si>
    <t>plumber near me elkridge</t>
  </si>
  <si>
    <t>gas pipe plumber near me</t>
  </si>
  <si>
    <t>74, 52, 48, 37, 39, 139, 113, 181, 159, 158, 184, 65, 59, 39, 51, 26, 49, 68, 34, 31, 23, 32, 21, 26</t>
  </si>
  <si>
    <t>0, 0, 1, 0, 0, 1, 1, 1, 0, 1, 0, 0, 1, 0, 0, 0, 0, 0, 0, 0, 0, 0, 0, 1</t>
  </si>
  <si>
    <t>plumbling</t>
  </si>
  <si>
    <t>local plumber near me decatur</t>
  </si>
  <si>
    <t>plumber near me jurupa valley</t>
  </si>
  <si>
    <t>Local pack,People also ask,Bottom ads,Paid sitelinks</t>
  </si>
  <si>
    <t>plumber near me yelp</t>
  </si>
  <si>
    <t>0, 0, 0, 0, 1, 0, 0, 0, 0, 0, 2, 1, 0, 1, 0, 0, 0, 0, 0, 0, 0, 0, 0, 1</t>
  </si>
  <si>
    <t>36, 41, 24, 28, 34, 48, 29, 35, 45, 24, 24, 26, 14, 43, 34, 41, 24, 57, 41, 60, 35, 38, 10, 28</t>
  </si>
  <si>
    <t>plumber near me burnaby</t>
  </si>
  <si>
    <t>Plumbing; Continuing education; Technical reference; Shopping</t>
  </si>
  <si>
    <t>plumber services</t>
  </si>
  <si>
    <t>0, 1, 0, 0, 1, 0, 0, 0, 0, 0, 4, 0, 0, 0, 0, 0, 0, 1, 0, 0, 0, 0, 0, 1</t>
  </si>
  <si>
    <t>greer plumber near me</t>
  </si>
  <si>
    <t>0, 0, 0, 0, 0, 1, 0, 0, 1, 0, 0, 0, 0, 0, 0, 0, 0, 0, 0, 0, 0, 0, 0, 1</t>
  </si>
  <si>
    <t>repiping plumber near me</t>
  </si>
  <si>
    <t>74, 39, 43, 63, 48, 51, 64, 41, 101, 79, 71, 56, 89, 29, 21, 17, 21, 58, 62, 39, 14, 16, 15, 18</t>
  </si>
  <si>
    <t>tankless water heater plumber near me</t>
  </si>
  <si>
    <t>plumbers on call</t>
  </si>
  <si>
    <t>0, 0, 0, 0, 0, 1, 1, 1, 0, 0, 1, 1, 0, 0, 0, 0, 0, 0, 0, 0, 0, 0, 0, 1</t>
  </si>
  <si>
    <t>black owned plumber near me</t>
  </si>
  <si>
    <t>Sitelinks,People also ask,Knowledge panel,Bottom ads</t>
  </si>
  <si>
    <t>water filter plumber near me</t>
  </si>
  <si>
    <t>0, 0, 0, 1, 1, 2, 0, 0, 1, 0, 1, 0, 0, 0, 0, 0, 0, 0, 1, 0, 0, 0, 0, 1</t>
  </si>
  <si>
    <t>63, 23, 21, 24, 34, 30, 16, 34, 58, 35, 43, 41, 55, 51, 44, 39, 35, 28, 54, 37, 37, 36, 35, 35</t>
  </si>
  <si>
    <t>veteran owned plumber near me</t>
  </si>
  <si>
    <t>plumbing service</t>
  </si>
  <si>
    <t>1, 0, 0, 0, 0, 1, 0, 1, 1, 1, 1, 0, 1, 0, 0, 0, 0, 0, 0, 0, 0, 0, 0, 1</t>
  </si>
  <si>
    <t>+plumber +near +me</t>
  </si>
  <si>
    <t>0, 0, 0, 0, 0, 0, 0, 0, 0, 4, 1, 2, 0, 2, 0, 0, 0, 0, 0, 0, 0, 0, 0, 1</t>
  </si>
  <si>
    <t>online estimates plumber near me</t>
  </si>
  <si>
    <t>0, 0, 0, 0, 0, 0, 2, 0, 1, 1, 1, 0, 1, 1, 2, 1, 5, 4, 4, 3, 2, 3, 0, 1</t>
  </si>
  <si>
    <t>87, 83, 75, 140, 193, 211, 115, 186, 219, 351, 297, 71, 53, 30, 25, 38, 35, 37, 22, 57, 91, 48, 26, 54</t>
  </si>
  <si>
    <t>plumber near me winston salem</t>
  </si>
  <si>
    <t>0, 0, 0, 3, 0, 0, 0, 0, 0, 0, 0, 0, 0, 0, 0, 0, 0, 0, 0, 0, 0, 0, 0, 1</t>
  </si>
  <si>
    <t>plumbing companies in pretoria</t>
  </si>
  <si>
    <t>plumber near me reading</t>
  </si>
  <si>
    <t>0, 1, 0, 0, 0, 0, 0, 1, 0, 0, 1, 0, 0, 0, 0, 0, 0, 0, 0, 0, 0, 0, 0, 1</t>
  </si>
  <si>
    <t>emergency plumber near me carrollton</t>
  </si>
  <si>
    <t>0, 0, 0, 0, 0, 0, 0, 0, 1, 2, 2, 1, 0, 0, 0, 0, 0, 0, 0, 0, 0, 0, 0, 1</t>
  </si>
  <si>
    <t>plumber hardware shop near me</t>
  </si>
  <si>
    <t>2, 5, 6, 2, 1, 1, 2, 3, 0, 2, 1, 11, 4, 3, 3, 2, 2, 1, 1, 2, 0, 0, 0, 1</t>
  </si>
  <si>
    <t>12, 18, 13, 13, 9, 34, 29, 38, 26, 30, 8, 51, 41, 13, 18, 19, 14, 22, 25, 30, 27, 32, 22, 27</t>
  </si>
  <si>
    <t>corgi registered plumber near me</t>
  </si>
  <si>
    <t>plumbing price book pdf</t>
  </si>
  <si>
    <t>0, 0, 0, 0, 0, 0, 1, 0, 0, 1, 0, 0, 0, 0, 1, 0, 0, 0, 0, 0, 0, 0, 0, 1</t>
  </si>
  <si>
    <t>plumber near me city of london</t>
  </si>
  <si>
    <t>People also ask</t>
  </si>
  <si>
    <t>0, 0, 1, 0, 0, 0, 1, 0, 1, 0, 2, 0, 0, 0, 0, 0, 0, 0, 0, 0, 0, 0, 0, 1</t>
  </si>
  <si>
    <t>plumber certification near me</t>
  </si>
  <si>
    <t>0, 0, 0, 0, 0, 0, 0, 2, 0, 0, 3, 0, 0, 0, 0, 0, 0, 0, 0, 0, 0, 0, 0, 1</t>
  </si>
  <si>
    <t>78, 77, 74, 50, 49, 56, 61, 59, 37, 45, 31, 31, 33, 32, 19, 36, 23, 35, 24, 29, 13, 21, 7, 14</t>
  </si>
  <si>
    <t>plumber near me hamilton</t>
  </si>
  <si>
    <t>plumbing installation cost calculator</t>
  </si>
  <si>
    <t>0, 0, 0, 0, 1, 0, 1, 1, 0, 1, 1, 0, 0, 0, 0, 0, 0, 0, 0, 0, 0, 0, 0, 1</t>
  </si>
  <si>
    <t>emergency plumber near me south jersey</t>
  </si>
  <si>
    <t>AI Overview,Thumbnail,People also ask,Sitelinks</t>
  </si>
  <si>
    <t>plumber toilet installation near me</t>
  </si>
  <si>
    <t>0, 0, 0, 0, 0, 1, 0, 2, 1, 1, 2, 0, 0, 0, 0, 0, 0, 0, 0, 0, 0, 0, 0, 1</t>
  </si>
  <si>
    <t>Informational,Commercial,Non-branded,Non-local</t>
  </si>
  <si>
    <t>hire maintenance plumber near me</t>
  </si>
  <si>
    <t>60, 46, 78, 64, 73, 42, 62, 54, 42, 25, 33, 32, 36, 21, 42, 27, 28, 11, 24, 22, 18, 22, 26, 18</t>
  </si>
  <si>
    <t>Plumbing; Reference</t>
  </si>
  <si>
    <t>plumbers meyerton</t>
  </si>
  <si>
    <t>24 hr plumber near me social circle</t>
  </si>
  <si>
    <t>certified</t>
  </si>
  <si>
    <t>0, 0, 0, 0, 1, 2, 1, 1, 0, 0, 1, 0, 0, 0, 0, 0, 0, 0, 0, 0, 0, 0, 0, 1</t>
  </si>
  <si>
    <t>plumber+near+me</t>
  </si>
  <si>
    <t>Local pack,People also ask,Sitelinks</t>
  </si>
  <si>
    <t>0, 0, 0, 0, 0, 7, 0, 0, 0, 0, 0, 21, 0, 0, 0, 0, 0, 0, 0, 0, 0, 0, 0, 1</t>
  </si>
  <si>
    <t>plumber near me open now 24 hours</t>
  </si>
  <si>
    <t>0, 0, 0, 0, 0, 0, 0, 2, 3, 2, 3, 3, 1, 0, 0, 0, 0, 1, 1, 0, 0, 0, 0, 1</t>
  </si>
  <si>
    <t>43, 19, 25, 16, 22, 34, 33, 22, 22, 21, 30, 50, 20, 25, 19, 30, 14, 32, 29, 24, 42, 37, 8, 29</t>
  </si>
  <si>
    <t>cheap local plumber near me</t>
  </si>
  <si>
    <t>plumber rate per hour south africa</t>
  </si>
  <si>
    <t>0, 0, 0, 0, 0, 0, 0, 0, 0, 0, 0, 2, 0, 0, 0, 0, 1, 0, 1, 0, 0, 0, 0, 2</t>
  </si>
  <si>
    <t>plumber free quote near me</t>
  </si>
  <si>
    <t>AI Overview,People also ask</t>
  </si>
  <si>
    <t>0, 0, 0, 3, 0, 0, 0, 2, 8, 2, 0, 0, 0, 0, 0, 0, 0, 0, 0, 0, 0, 0, 1, 1</t>
  </si>
  <si>
    <t>plumber near me florissant</t>
  </si>
  <si>
    <t>book a plumber near me</t>
  </si>
  <si>
    <t>63, 63, 69, 104, 62, 37, 62, 68, 57, 71, 70, 32, 48, 16, 14, 22, 22, 21, 17, 25, 39, 39, 15, 5</t>
  </si>
  <si>
    <t>plumbing prices</t>
  </si>
  <si>
    <t>0, 0, 0, 0, 0, 1, 0, 1, 0, 2, 0, 0, 0, 0, 0, 0, 0, 0, 0, 0, 0, 0, 0, 1</t>
  </si>
  <si>
    <t>plumber job near me</t>
  </si>
  <si>
    <t>0, 0, 0, 0, 0, 0, 1, 0, 5, 0, 1, 0, 0, 0, 0, 0, 0, 2, 5, 3, 0, 6, 5, 2</t>
  </si>
  <si>
    <t>sanitary plumber near me</t>
  </si>
  <si>
    <t>1, 0, 0, 0, 0, 0, 0, 0, 0, 0, 0, 0, 0, 0, 0, 0, 0, 0, 0, 0, 0, 1, 0, 1</t>
  </si>
  <si>
    <t>restaurant plumber near me</t>
  </si>
  <si>
    <t>32, 23, 30, 40, 24, 16, 35, 33, 35, 42, 37, 41, 56, 48, 34, 39, 21, 29, 32, 18, 23, 28, 33, 28</t>
  </si>
  <si>
    <t>residential plumber service near me</t>
  </si>
  <si>
    <t>pretoria north plumbers</t>
  </si>
  <si>
    <t>0, 0, 0, 1, 0, 2, 0, 0, 0, 0, 0, 0, 0, 0, 0, 0, 0, 0, 0, 0, 0, 0, 0, 1</t>
  </si>
  <si>
    <t>plumber near me germantown</t>
  </si>
  <si>
    <t>plumber 24 hour near me</t>
  </si>
  <si>
    <t>0, 1, 0, 1, 0, 0, 0, 0, 2, 0, 0, 2, 2, 0, 1, 6, 3, 1, 0, 2, 0, 1, 0, 1</t>
  </si>
  <si>
    <t>20, 22, 30, 8, 9, 13, 7, 13, 10, 21, 102, 91, 80, 62, 17, 15, 2, 0, 21, 23, 10, 12, 0, 8</t>
  </si>
  <si>
    <t>canyon lake plumber near me</t>
  </si>
  <si>
    <t>plumbing prices list</t>
  </si>
  <si>
    <t>0, 0, 0, 0, 1, 1, 0, 0, 0, 1, 0, 0, 0, 0, 0, 0, 0, 0, 0, 0, 0, 0, 0, 1</t>
  </si>
  <si>
    <t>plumber and carpenter near me</t>
  </si>
  <si>
    <t>2, 0, 0, 0, 0, 0, 1, 1, 2, 0, 1, 0, 0, 1, 0, 1, 1, 0, 0, 1, 0, 0, 0, 1</t>
  </si>
  <si>
    <t>plumber near me frederick co</t>
  </si>
  <si>
    <t>top plumber near me</t>
  </si>
  <si>
    <t>89, 71, 70, 61, 64, 63, 69, 44, 39, 44, 52, 55, 49, 48, 57, 15, 13, 23, 20, 17, 8, 50, 28, 28</t>
  </si>
  <si>
    <t>2, 0, 0, 0, 1, 3, 2, 0, 0, 1, 1, 0, 0, 0, 0, 0, 0, 1, 0, 1, 0, 0, 0, 1</t>
  </si>
  <si>
    <t>plumber and hvac near me</t>
  </si>
  <si>
    <t>0, 1, 1, 0, 0, 1, 2, 1, 1, 1, 0, 0, 0, 0, 0, 0, 0, 0, 0, 0, 0, 0, 0, 1</t>
  </si>
  <si>
    <t>plumbing rates per point</t>
  </si>
  <si>
    <t>gas leak plumber near me</t>
  </si>
  <si>
    <t>0, 0, 2, 3, 4, 1, 1, 4, 3, 2, 6, 0, 2, 0, 0, 0, 0, 0, 0, 0, 0, 0, 0, 1</t>
  </si>
  <si>
    <t>plumber shop near me open today</t>
  </si>
  <si>
    <t>0, 0, 0, 1, 0, 0, 0, 1, 1, 0, 0, 0, 0, 0, 0, 0, 0, 0, 0, 0, 1, 0, 0, 1</t>
  </si>
  <si>
    <t>plumber near me west milford</t>
  </si>
  <si>
    <t>0, 0, 0, 0, 0, 1, 0, 0, 1, 0, 1, 0, 0, 0, 0, 0, 0, 0, 0, 0, 0, 0, 0, 1</t>
  </si>
  <si>
    <t>70, 101, 100, 75, 47, 53, 45, 53, 50, 62, 33, 40, 54, 73, 44, 37, 22, 26, 29, 41, 16, 16, 8, 14</t>
  </si>
  <si>
    <t>plumber training near me</t>
  </si>
  <si>
    <t>good plumbers near me</t>
  </si>
  <si>
    <t>2, 3, 4, 3, 3, 8, 4, 3, 2, 2, 5, 1, 9, 6, 6, 1, 3, 5, 3, 9, 3, 3, 5, 5</t>
  </si>
  <si>
    <t>plumber after hours near me</t>
  </si>
  <si>
    <t>qualified</t>
  </si>
  <si>
    <t>Local pack,People also ask,Discussions,Video preview</t>
  </si>
  <si>
    <t>0, 0, 0, 3, 1, 0, 1, 1, 3, 1, 2, 0, 1, 6, 0, 1, 0, 1, 0, 1, 1, 0, 0, 1</t>
  </si>
  <si>
    <t>contact number of plumber near me</t>
  </si>
  <si>
    <t>1, 0, 0, 0, 1, 0, 0, 0, 0, 1, 0, 0, 0, 1, 0, 0, 1, 0, 0, 0, 0, 0, 0, 1</t>
  </si>
  <si>
    <t>18, 10, 15, 22, 11, 20, 18, 33, 24, 27, 26, 34, 18, 14, 13, 9, 52, 68, 26, 20, 15, 15, 12, 15</t>
  </si>
  <si>
    <t>maintenance plumber jobs near me</t>
  </si>
  <si>
    <t>0, 0, 0, 0, 0, 3, 0, 0, 0, 1, 3, 0, 0, 0, 0, 0, 0, 0, 0, 0, 0, 0, 0, 1</t>
  </si>
  <si>
    <t>plumber southern suburbs</t>
  </si>
  <si>
    <t>louis plumber near me</t>
  </si>
  <si>
    <t>handyman plumber near me</t>
  </si>
  <si>
    <t>2, 5, 4, 4, 2, 4, 8, 6, 8, 6, 7, 1, 0, 4, 1, 4, 2, 0, 0, 6, 1, 3, 1, 3</t>
  </si>
  <si>
    <t>out of hours plumber near me</t>
  </si>
  <si>
    <t>5, 1, 1, 5, 8, 8, 17, 13, 8, 3, 5, 12, 13, 20, 19, 17, 10, 53, 64, 51, 33, 26, 35, 27</t>
  </si>
  <si>
    <t>0, 0, 2, 1, 2, 2, 0, 1, 0, 0, 1, 0, 0, 0, 0, 0, 0, 0, 0, 0, 0, 0, 0, 1</t>
  </si>
  <si>
    <t>plumbers near me cheap</t>
  </si>
  <si>
    <t>plumber with leak detection equipment near me</t>
  </si>
  <si>
    <t>0, 0, 0, 0, 0, 0, 0, 0, 1, 5, 2, 4, 4, 1, 1, 2, 1, 2, 2, 4, 4, 1, 1, 4</t>
  </si>
  <si>
    <t>bathroom tiler and plumber near me</t>
  </si>
  <si>
    <t>People also ask,Knowledge panel,Discussions,Video preview,Sitelinks</t>
  </si>
  <si>
    <t>murrieta plumber near me</t>
  </si>
  <si>
    <t>34, 41, 53, 36, 41, 37, 28, 26, 19, 34, 26, 45, 63, 39, 45, 31, 8, 13, 18, 31, 13, 9, 3, 9</t>
  </si>
  <si>
    <t>0, 0, 0, 0, 0, 0, 0, 0, 0, 0, 0, 2, 1, 0, 0, 0, 0, 0, 0, 0, 0, 0, 0, 1</t>
  </si>
  <si>
    <t>best plumber near me mckeesport pa</t>
  </si>
  <si>
    <t>24/7 plumbers near me</t>
  </si>
  <si>
    <t>plumber handyman near me prices</t>
  </si>
  <si>
    <t>1, 0, 0, 0, 0, 3, 1, 0, 0, 0, 0, 0, 1, 0, 0, 0, 0, 0, 0, 0, 0, 0, 0, 1</t>
  </si>
  <si>
    <t>Local pack,People also ask,Bottom ads</t>
  </si>
  <si>
    <t>plumber near me gilbert az</t>
  </si>
  <si>
    <t>plumber near me contact number 24 hours</t>
  </si>
  <si>
    <t>41, 34, 40, 30, 39, 36, 35, 14, 21, 22, 33, 30, 44, 21, 27, 26, 22, 36, 32, 39, 26, 30, 28, 23</t>
  </si>
  <si>
    <t>0, 0, 1, 0, 0, 0, 0, 0, 0, 0, 0, 0, 0, 1, 0, 0, 1, 0, 0, 0, 5, 0, 0, 1</t>
  </si>
  <si>
    <t>find an emergency plumber near me</t>
  </si>
  <si>
    <t>plumber call out fee</t>
  </si>
  <si>
    <t>plumber near me springs</t>
  </si>
  <si>
    <t>People also ask,Sitelinks</t>
  </si>
  <si>
    <t>plumber open today near me</t>
  </si>
  <si>
    <t>0, 0, 0, 0, 0, 0, 0, 1, 0, 0, 1, 0, 0, 2, 0, 0, 1, 0, 0, 0, 0, 0, 1, 1</t>
  </si>
  <si>
    <t>i need a plumber near me</t>
  </si>
  <si>
    <t>47, 40, 43, 50, 36, 49, 38, 44, 34, 41, 50, 37, 42, 43, 30, 29, 36, 33, 26, 28, 25, 21, 19, 22</t>
  </si>
  <si>
    <t>2, 3, 3, 3, 6, 4, 4, 2, 9, 2, 4, 3, 0, 2, 0, 1, 0, 9, 6, 4, 1, 1, 4, 3</t>
  </si>
  <si>
    <t>plumbing rates in south africa</t>
  </si>
  <si>
    <t>24 hour plumber near me richmond hill ga</t>
  </si>
  <si>
    <t>discount plumber near me</t>
  </si>
  <si>
    <t>AI Overview,Thumbnail,People also ask,Discussions,Video preview</t>
  </si>
  <si>
    <t>0, 0, 1, 0, 2, 1, 1, 0, 2, 1, 1, 0, 1, 0, 0, 0, 0, 0, 0, 0, 0, 0, 0, 1</t>
  </si>
  <si>
    <t>vietnamese plumber near me</t>
  </si>
  <si>
    <t>13, 25, 25, 8, 6, 0, 0, 17, 13, 20, 0, 0, 13, 12, 5, 27, 19, 21, 15, 25, 15, 24, 13, 18</t>
  </si>
  <si>
    <t>plumber cheap near me</t>
  </si>
  <si>
    <t>heat pump installers</t>
  </si>
  <si>
    <t>1, 0, 0, 0, 1, 0, 1, 1, 0, 0, 0, 0, 1, 0, 0, 2, 0, 0, 0, 0, 0, 1, 0, 1</t>
  </si>
  <si>
    <t>heat pump installer</t>
  </si>
  <si>
    <t>best emergency plumber near me</t>
  </si>
  <si>
    <t>Local pack,People also ask,Sitelinks,Video preview</t>
  </si>
  <si>
    <t>2, 3, 2, 2, 4, 1, 6, 2, 4, 1, 4, 5, 1, 0, 1, 0, 1, 0, 0, 0, 0, 0, 2, 2</t>
  </si>
  <si>
    <t>plumber near me san marcos</t>
  </si>
  <si>
    <t>14, 19, 19, 20, 30, 21, 24, 22, 35, 33, 34, 18, 17, 23, 22, 21, 21, 43, 46, 15, 8, 8, 6, 8</t>
  </si>
  <si>
    <t>0, 0, 0, 0, 0, 0, 0, 0, 1, 0, 0, 1, 0, 0, 0, 0, 0, 0, 0, 0, 0, 0, 0, 1</t>
  </si>
  <si>
    <t>Heaters</t>
  </si>
  <si>
    <t>chris plumber near me</t>
  </si>
  <si>
    <t>call out fee for plumbers</t>
  </si>
  <si>
    <t>0, 0, 0, 1, 2, 0, 0, 1, 1, 0, 0, 0, 2, 0, 0, 0, 0, 3, 0, 0, 0, 0, 0, 1</t>
  </si>
  <si>
    <t>People also ask,Discussions,Sitelinks</t>
  </si>
  <si>
    <t>plumber shop near by me</t>
  </si>
  <si>
    <t>27, 24, 34, 7, 6, 18, 32, 33, 19, 26, 30, 28, 33, 39, 20, 25, 28, 7, 8, 17, 7, 9, 7, 8</t>
  </si>
  <si>
    <t>plumber near me boston</t>
  </si>
  <si>
    <t>0, 1, 0, 0, 0, 0, 1, 0, 1, 0, 0, 0, 0, 0, 0, 0, 0, 0, 0, 0, 0, 0, 0, 1</t>
  </si>
  <si>
    <t>plumber near me?</t>
  </si>
  <si>
    <t>plumber rates per hour</t>
  </si>
  <si>
    <t>0, 0, 0, 1, 0, 0, 0, 0, 0, 0, 2, 0, 0, 0, 0, 0, 0, 0, 0, 0, 0, 6, 2, 4</t>
  </si>
  <si>
    <t>49, 32, 40, 30, 30, 20, 28, 13, 11, 11, 16, 24, 13, 18, 10, 8, 11, 7, 16, 24, 15, 29, 14, 21</t>
  </si>
  <si>
    <t>johannesburg plumbing</t>
  </si>
  <si>
    <t>licensed</t>
  </si>
  <si>
    <t>Local pack,Thumbnail,People also ask</t>
  </si>
  <si>
    <t>a1 plumber near me</t>
  </si>
  <si>
    <t>15, 20, 18, 15, 13, 24, 17, 16, 23, 38, 14, 16, 9, 4, 2, 13, 75, 114, 52, 2, 3, 2, 2, 3</t>
  </si>
  <si>
    <t>0, 0, 0, 2, 0, 0, 2, 0, 0, 0, 0, 0, 0, 0, 0, 0, 0, 0, 0, 0, 0, 0, 0, 1</t>
  </si>
  <si>
    <t>cost of plumbing a 3 bedroom house in south africa</t>
  </si>
  <si>
    <t>leak detection plumber near me</t>
  </si>
  <si>
    <t>0, 1, 0, 0, 1, 2, 1, 2, 1, 3, 5, 0, 2, 1, 3, 0, 1, 0, 2, 3, 2, 2, 6, 6</t>
  </si>
  <si>
    <t>my plumber near me</t>
  </si>
  <si>
    <t>1, 1, 2, 0, 0, 0, 0, 0, 0, 0, 1, 0, 0, 0, 0, 0, 0, 0, 0, 0, 0, 0, 0, 1</t>
  </si>
  <si>
    <t>46, 48, 48, 49, 33, 38, 34, 28, 16, 14, 14, 22, 29, 25, 16, 16, 20, 23, 14, 13, 10, 0, 0, 4</t>
  </si>
  <si>
    <t>best rated plumber near me</t>
  </si>
  <si>
    <t>plumber call out fee south africa</t>
  </si>
  <si>
    <t>2, 1, 0, 1, 2, 1, 2, 1, 2, 1, 1, 2, 0, 0, 0, 1, 0, 1, 0, 0, 1, 0, 0, 1</t>
  </si>
  <si>
    <t>home plumber company near me</t>
  </si>
  <si>
    <t>AI Overview,Thumbnail,People also ask,Sitelinks,Discussions</t>
  </si>
  <si>
    <t>woman plumber near me</t>
  </si>
  <si>
    <t>0, 3, 0, 0, 0, 0, 3, 0, 0, 0, 0, 1, 2, 0, 0, 0, 0, 0, 0, 0, 0, 0, 0, 1</t>
  </si>
  <si>
    <t>immediate plumber near me</t>
  </si>
  <si>
    <t>41, 43, 44, 54, 34, 54, 60, 43, 58, 57, 28, 47, 36, 23, 25, 20, 12, 15, 9, 21, 21, 33, 22, 25</t>
  </si>
  <si>
    <t>0, 0, 0, 1, 2, 0, 0, 1, 2, 4, 0, 0, 0, 0, 1, 0, 0, 0, 0, 0, 0, 0, 0, 1</t>
  </si>
  <si>
    <t>best plumber</t>
  </si>
  <si>
    <t>plumber near me honolulu</t>
  </si>
  <si>
    <t>plumber near me sutton</t>
  </si>
  <si>
    <t>local plumber near me johns creek</t>
  </si>
  <si>
    <t>0, 0, 0, 0, 2, 0, 0, 0, 1, 0, 0, 0, 0, 0, 0, 0, 0, 0, 0, 0, 0, 0, 0, 1</t>
  </si>
  <si>
    <t>home plumber service near me</t>
  </si>
  <si>
    <t>12, 23, 16, 14, 18, 22, 18, 23, 19, 23, 31, 33, 26, 11, 4, 8, 41, 51, 26, 7, 3, 9, 7, 7</t>
  </si>
  <si>
    <t>24x7 plumber service near me</t>
  </si>
  <si>
    <t>plumbing materials price list</t>
  </si>
  <si>
    <t>0, 2, 0, 0, 2, 0, 0, 0, 1, 0, 2, 3, 0, 0, 0, 0, 0, 0, 1, 0, 0, 0, 0, 1</t>
  </si>
  <si>
    <t>garland tx emergency plumber near me</t>
  </si>
  <si>
    <t>sink pipes</t>
  </si>
  <si>
    <t>Image pack,AI Overview,Thumbnail,People also ask,Video preview</t>
  </si>
  <si>
    <t>0, 0, 0, 1, 0, 0, 0, 0, 0, 1, 0, 0, 0, 0, 0, 0, 0, 0, 0, 0, 0, 0, 0, 1</t>
  </si>
  <si>
    <t>hire plumber near me</t>
  </si>
  <si>
    <t>2, 1, 3, 0, 1, 0, 1, 0, 2, 0, 1, 2, 0, 1, 0, 1, 0, 0, 0, 0, 0, 0, 0, 1</t>
  </si>
  <si>
    <t>emergency plumber services near me</t>
  </si>
  <si>
    <t>80, 62, 60, 93, 47, 56, 74, 45, 53, 50, 18, 25, 25, 29, 14, 17, 8, 16, 6, 19, 10, 11, 1, 8</t>
  </si>
  <si>
    <t>1, 0, 2, 2, 0, 2, 0, 1, 3, 0, 2, 0, 0, 0, 0, 1, 1, 0, 0, 1, 0, 0, 0, 1</t>
  </si>
  <si>
    <t>plumbers price list</t>
  </si>
  <si>
    <t>plumber near me moreno valley</t>
  </si>
  <si>
    <t>plumber near me kissimmee</t>
  </si>
  <si>
    <t>People also ask,Bottom ads,Paid sitelinks</t>
  </si>
  <si>
    <t>24hr plumber near me open now</t>
  </si>
  <si>
    <t>0, 0, 0, 0, 0, 0, 0, 0, 0, 0, 0, 3, 2, 0, 0, 0, 0, 0, 0, 0, 0, 0, 1, 1</t>
  </si>
  <si>
    <t>9, 3, 13, 6, 3, 16, 11, 8, 10, 3, 5, 5, 17, 7, 4, 8, 7, 5, 2, 3, 4, 6, 3, 5</t>
  </si>
  <si>
    <t>plumber near me bellevue</t>
  </si>
  <si>
    <t>plumber company</t>
  </si>
  <si>
    <t>0, 0, 0, 0, 0, 0, 1, 1, 0, 1, 0, 0, 0, 0, 0, 0, 0, 0, 0, 0, 0, 0, 0, 1</t>
  </si>
  <si>
    <t>plumber and handyman near me</t>
  </si>
  <si>
    <t>0, 0, 0, 0, 0, 0, 0, 1, 0, 1, 0, 0, 0, 3, 0, 1, 1, 2, 0, 1, 0, 0, 1, 1</t>
  </si>
  <si>
    <t>master plumber jobs near me</t>
  </si>
  <si>
    <t>emergency plumber near me grapevine</t>
  </si>
  <si>
    <t>10, 6, 15, 9, 6, 8, 17, 18, 10, 22, 16, 8, 6, 3, 13, 13, 7, 18, 4, 16, 4, 6, 4, 6</t>
  </si>
  <si>
    <t>0, 0, 0, 0, 0, 0, 0, 1, 0, 0, 3, 0, 0, 0, 0, 0, 0, 0, 0, 0, 0, 0, 0, 1</t>
  </si>
  <si>
    <t>plumbing companies pretoria</t>
  </si>
  <si>
    <t>plumber near me bristol</t>
  </si>
  <si>
    <t>0, 0, 0, 0, 0, 0, 0, 0, 0, 2, 1, 0, 0, 0, 0, 0, 0, 0, 0, 0, 0, 0, 0, 1</t>
  </si>
  <si>
    <t>gas registered plumber near me</t>
  </si>
  <si>
    <t>0, 0, 0, 0, 0, 0, 0, 0, 0, 1, 1, 0, 0, 0, 0, 0, 0, 0, 0, 0, 0, 0, 0, 1</t>
  </si>
  <si>
    <t>plumber looking for work near me</t>
  </si>
  <si>
    <t>0, 0, 0, 0, 0, 0, 0, 0, 1, 0, 0, 0, 0, 0, 0, 0, 0, 4, 2, 0, 0, 0, 0, 1</t>
  </si>
  <si>
    <t>22, 40, 34, 20, 8, 27, 38, 27, 32, 25, 17, 39, 19, 6, 13, 5, 5, 6, 11, 19, 20, 13, 7, 14</t>
  </si>
  <si>
    <t>plumber near me lake worth</t>
  </si>
  <si>
    <t>drain surgeon prices</t>
  </si>
  <si>
    <t>plumber specials near me</t>
  </si>
  <si>
    <t>0, 0, 0, 1, 0, 0, 0, 0, 0, 1, 0, 0, 0, 0, 0, 0, 0, 0, 1, 0, 0, 0, 0, 1</t>
  </si>
  <si>
    <t>Top ads,Paid sitelinks,People also ask,Bottom ads</t>
  </si>
  <si>
    <t>plumber near me lawrence</t>
  </si>
  <si>
    <t>0, 0, 2, 0, 1, 0, 0, 2, 0, 1, 0, 0, 0, 0, 0, 0, 0, 0, 0, 0, 0, 0, 0, 1</t>
  </si>
  <si>
    <t>plumber near me free estimate cypress tx</t>
  </si>
  <si>
    <t>18, 8, 19, 4, 4, 3, 4, 13, 6, 10, 5, 29, 24, 13, 23, 22, 18, 15, 3, 0, 0, 0, 0, 1</t>
  </si>
  <si>
    <t>0, 0, 0, 0, 2, 1, 0, 1, 0, 0, 0, 0, 0, 0, 0, 0, 0, 0, 0, 0, 0, 0, 0, 1</t>
  </si>
  <si>
    <t>plumbers in kimberley</t>
  </si>
  <si>
    <t>plumber vacancy near me</t>
  </si>
  <si>
    <t>0, 2, 6, 0, 0, 3, 0, 0, 1, 0, 8, 3, 0, 2, 0, 0, 2, 1, 0, 0, 0, 0, 0, 1</t>
  </si>
  <si>
    <t>licensed plumber jobs near me</t>
  </si>
  <si>
    <t>0, 0, 0, 0, 0, 0, 0, 0, 0, 0, 0, 4, 0, 0, 0, 0, 0, 0, 0, 1, 0, 0, 0, 1</t>
  </si>
  <si>
    <t>brooklyn plumber near me</t>
  </si>
  <si>
    <t>8, 13, 15, 18, 15, 19, 15, 16, 8, 15, 0, 56, 30, 38, 7, 3, 2, 2, 2, 3, 4, 4, 2, 4</t>
  </si>
  <si>
    <t>insured</t>
  </si>
  <si>
    <t>0, 0, 0, 0, 0, 1, 0, 1, 1, 2, 0, 0, 0, 0, 0, 0, 0, 0, 0, 0, 0, 0, 0, 1</t>
  </si>
  <si>
    <t>affordable emergency plumber near me</t>
  </si>
  <si>
    <t>plumbing rates</t>
  </si>
  <si>
    <t>0, 0, 0, 0, 0, 0, 2, 2, 3, 1, 0, 2, 0, 0, 0, 0, 0, 0, 0, 0, 0, 2, 0, 1</t>
  </si>
  <si>
    <t>richardson plumber near me</t>
  </si>
  <si>
    <t>Top ads,Paid sitelinks,People also ask,Image pack,Bottom ads</t>
  </si>
  <si>
    <t>tap plumber near me</t>
  </si>
  <si>
    <t>0, 0, 0, 0, 0, 0, 1, 0, 1, 0, 0, 0, 0, 4, 1, 0, 0, 2, 1, 0, 0, 0, 0, 1</t>
  </si>
  <si>
    <t>8, 12, 8, 9, 8, 16, 13, 6, 13, 14, 16, 13, 18, 9, 9, 7, 6, 16, 4, 11, 13, 6, 9, 10</t>
  </si>
  <si>
    <t>plumber near me stanmore</t>
  </si>
  <si>
    <t>plumber prices</t>
  </si>
  <si>
    <t>plumber near me columbus</t>
  </si>
  <si>
    <t>0, 4, 0, 0, 0, 0, 1, 1, 2, 0, 0, 0, 0, 0, 0, 0, 0, 0, 0, 0, 0, 0, 0, 1</t>
  </si>
  <si>
    <t>marine plumber near me</t>
  </si>
  <si>
    <t>12, 16, 15, 10, 10, 14, 11, 8, 14, 17, 18, 12, 13, 24, 17, 13, 11, 8, 13, 10, 7, 13, 16, 13</t>
  </si>
  <si>
    <t>0, 1, 0, 0, 0, 0, 0, 0, 1, 0, 0, 1, 0, 0, 0, 0, 0, 0, 0, 1, 0, 0, 0, 1</t>
  </si>
  <si>
    <t>plumber to unblock drain near me</t>
  </si>
  <si>
    <t>plumbing rates per hour south africa</t>
  </si>
  <si>
    <t>0, 0, 0, 0, 0, 0, 0, 0, 0, 0, 0, 0, 1, 0, 6, 2, 1, 2, 0, 0, 0, 0, 0, 1</t>
  </si>
  <si>
    <t>plumber deals near me</t>
  </si>
  <si>
    <t>AI Overview,Thumbnail,People also ask,Discussions</t>
  </si>
  <si>
    <t>electrician/plumber near me</t>
  </si>
  <si>
    <t>0, 0, 0, 0, 1, 2, 1, 0, 4, 0, 0, 0, 3, 0, 0, 0, 2, 0, 0, 0, 0, 0, 0, 1</t>
  </si>
  <si>
    <t>plumber drain cleaner near me</t>
  </si>
  <si>
    <t>24, 22, 13, 14, 7, 25, 19, 28, 25, 19, 20, 16, 26, 21, 17, 1, 0, 0, 0, 0, 0, 0, 0, 1</t>
  </si>
  <si>
    <t>0, 0, 0, 1, 0, 1, 0, 3, 1, 1, 3, 2, 1, 1, 0, 0, 0, 0, 1, 1, 2, 0, 0, 3</t>
  </si>
  <si>
    <t>plumbing place near me</t>
  </si>
  <si>
    <t>plumber near me katy tx</t>
  </si>
  <si>
    <t>gas safe plumber near me</t>
  </si>
  <si>
    <t>0, 0, 1, 0, 0, 0, 0, 1, 0, 0, 0, 1, 0, 0, 0, 0, 0, 0, 0, 0, 1, 0, 0, 1</t>
  </si>
  <si>
    <t>lady plumber near me</t>
  </si>
  <si>
    <t>27, 17, 11, 10, 8, 16, 15, 8, 15, 14, 20, 15, 17, 17, 13, 17, 15, 18, 11, 12, 9, 12, 5, 10</t>
  </si>
  <si>
    <t>1, 0, 1, 0, 0, 5, 0, 1, 1, 5, 0, 1, 3, 0, 0, 3, 2, 0, 2, 0, 0, 1, 0, 1</t>
  </si>
  <si>
    <t>plumber near me baltimore</t>
  </si>
  <si>
    <t>forensic plumber near me</t>
  </si>
  <si>
    <t>1, 0, 0, 1, 0, 0, 0, 0, 0, 0, 0, 0, 0, 0, 0, 0, 2, 0, 0, 0, 1, 1, 0, 2</t>
  </si>
  <si>
    <t>plumber material shop near me</t>
  </si>
  <si>
    <t>1, 2, 1, 0, 5, 1, 3, 2, 0, 1, 2, 5, 1, 0, 2, 0, 0, 1, 0, 0, 1, 0, 0, 1</t>
  </si>
  <si>
    <t>plumber in area near me</t>
  </si>
  <si>
    <t>0, 0, 0, 0, 0, 1, 0, 4, 0, 0, 0, 1, 0, 0, 0, 1, 0, 0, 0, 0, 0, 0, 0, 1</t>
  </si>
  <si>
    <t>24 hour plumbing</t>
  </si>
  <si>
    <t>professional plumber services near me</t>
  </si>
  <si>
    <t>24 7 plumbing</t>
  </si>
  <si>
    <t>1, 0, 0, 0, 0, 0, 0, 0, 0, 2, 0, 0, 0, 0, 0, 0, 0, 0, 0, 0, 0, 1, 0, 1</t>
  </si>
  <si>
    <t>plumber near me los angeles</t>
  </si>
  <si>
    <t>emergency plumber near me cheap lexington</t>
  </si>
  <si>
    <t>29, 37, 41, 33, 47, 49, 38, 57, 52, 64, 62, 15, 9, 19, 26, 9, 9, 8, 9, 7, 13, 11, 7, 11</t>
  </si>
  <si>
    <t>0, 0, 0, 0, 0, 0, 1, 1, 1, 2, 1, 1, 0, 0, 0, 0, 0, 0, 0, 0, 0, 0, 0, 1</t>
  </si>
  <si>
    <t>plumber supplier near me</t>
  </si>
  <si>
    <t>plumbing services price list</t>
  </si>
  <si>
    <t>0, 2, 1, 0, 6, 3, 0, 0, 2, 1, 1, 0, 0, 0, 1, 3, 1, 0, 0, 0, 2, 0, 0, 1</t>
  </si>
  <si>
    <t>midtown atlanta plumber near me</t>
  </si>
  <si>
    <t>24 hour emergency plumber service near me</t>
  </si>
  <si>
    <t>0, 0, 1, 0, 1, 2, 1, 2, 3, 6, 2, 2, 2, 4, 5, 2, 0, 0, 0, 0, 0, 0, 0, 1</t>
  </si>
  <si>
    <t>4, 2, 6, 3, 1, 1, 5, 1, 9, 7, 5, 3, 6, 1, 5, 5, 8, 4, 2, 7, 3, 3, 1, 3</t>
  </si>
  <si>
    <t>roofing plumber near me</t>
  </si>
  <si>
    <t>shower installation prices south africa</t>
  </si>
  <si>
    <t>1, 1, 0, 0, 3, 1, 1, 3, 1, 2, 4, 0, 0, 0, 0, 0, 0, 1, 0, 0, 0, 0, 0, 1</t>
  </si>
  <si>
    <t>toilet plumber near me cypress tx</t>
  </si>
  <si>
    <t>shower installation cost</t>
  </si>
  <si>
    <t>2, 0, 0, 0, 0, 0, 0, 0, 0, 0, 1, 0, 0, 0, 0, 0, 0, 0, 0, 0, 0, 0, 0, 1</t>
  </si>
  <si>
    <t>certified gas plumber near me</t>
  </si>
  <si>
    <t>0, 0, 0, 0, 0, 0, 0, 0, 0, 0, 0, 0, 7, 13, 9, 5, 1, 0, 0, 0, 0, 0, 0, 1</t>
  </si>
  <si>
    <t>0, 2, 0, 0, 0, 1, 0, 0, 3, 3, 2, 1, 0, 0, 0, 0, 1, 0, 0, 2, 0, 0, 0, 1</t>
  </si>
  <si>
    <t>plumber open now near me</t>
  </si>
  <si>
    <t>plumbers southern suburbs</t>
  </si>
  <si>
    <t>0, 0, 0, 1, 0, 0, 1, 0, 0, 0, 0, 0, 1, 1, 0, 0, 1, 0, 0, 2, 0, 0, 1, 2</t>
  </si>
  <si>
    <t>gas heating plumber near me</t>
  </si>
  <si>
    <t>24 hour</t>
  </si>
  <si>
    <t>plumber rates near me</t>
  </si>
  <si>
    <t>1, 1, 0, 1, 1, 1, 2, 1, 0, 0, 1, 1, 0, 0, 1, 0, 2, 3, 0, 0, 0, 0, 0, 1</t>
  </si>
  <si>
    <t>0, 0, 0, 0, 0, 0, 0, 0, 0, 0, 0, 0, 0, 0, 0, 0, 0, 0, 6, 15, 8, 7, 0, 2</t>
  </si>
  <si>
    <t>plumber near me twin falls id</t>
  </si>
  <si>
    <t>"plumber cape town"</t>
  </si>
  <si>
    <t>emergency plumber near me castle rock co</t>
  </si>
  <si>
    <t>Local pack,Thumbnail,Image pack,Bottom ads,Paid sitelinks</t>
  </si>
  <si>
    <t>plumber and tiler near me</t>
  </si>
  <si>
    <t>0, 3, 3, 4, 2, 2, 4, 1, 4, 2, 1, 2, 0, 2, 0, 1, 5, 4, 0, 2, 0, 1, 0, 1</t>
  </si>
  <si>
    <t>emergency plumber near me 24 7 phoenix</t>
  </si>
  <si>
    <t>0, 0, 0, 0, 0, 0, 0, 2, 1, 0, 4, 0, 0, 0, 0, 0, 0, 0, 0, 0, 0, 0, 0, 1</t>
  </si>
  <si>
    <t>len the plumber near me</t>
  </si>
  <si>
    <t>0, 0, 2, 0, 0, 2, 0, 0, 1, 0, 0, 0, 0, 0, 0, 0, 0, 0, 0, 0, 0, 0, 0, 1</t>
  </si>
  <si>
    <t>plumber for gas line near me</t>
  </si>
  <si>
    <t>0, 0, 0, 0, 0, 0, 0, 1, 0, 1, 1, 0, 0, 0, 0, 0, 0, 0, 0, 0, 0, 0, 0, 1</t>
  </si>
  <si>
    <t>plumber hvac near me</t>
  </si>
  <si>
    <t>0, 2, 0, 0, 0, 0, 0, 0, 1, 0, 1, 0, 0, 0, 0, 0, 0, 0, 0, 0, 0, 0, 0, 1</t>
  </si>
  <si>
    <t>city plumber near me</t>
  </si>
  <si>
    <t>1, 0, 1, 1, 0, 0, 1, 1, 0, 0, 0, 0, 0, 1, 2, 0, 0, 0, 0, 0, 2, 0, 0, 2</t>
  </si>
  <si>
    <t>plumber near me riverside</t>
  </si>
  <si>
    <t>0, 0, 0, 0, 0, 0, 0, 0, 0, 2, 0, 0, 0, 0, 0, 0, 0, 0, 0, 0, 0, 0, 0, 1</t>
  </si>
  <si>
    <t>plumber wholesale near me</t>
  </si>
  <si>
    <t>1, 2, 1, 0, 1, 2, 0, 1, 0, 0, 1, 0, 1, 1, 1, 0, 0, 0, 1, 1, 0, 1, 0, 1</t>
  </si>
  <si>
    <t>plumber on sunday near me</t>
  </si>
  <si>
    <t>1, 1, 0, 0, 1, 0, 0, 0, 0, 0, 0, 0, 0, 0, 0, 0, 0, 0, 0, 0, 0, 0, 1, 1</t>
  </si>
  <si>
    <t>logo plumber near me</t>
  </si>
  <si>
    <t>plumber near me atlanta</t>
  </si>
  <si>
    <t>0, 1, 0, 0, 1, 1, 0, 1, 1, 2, 0, 0, 1, 0, 0, 0, 0, 0, 0, 0, 0, 0, 0, 1</t>
  </si>
  <si>
    <t>emergency plumber near me garland</t>
  </si>
  <si>
    <t>0, 0, 0, 0, 0, 0, 2, 1, 0, 1, 0, 2, 0, 0, 0, 0, 0, 0, 0, 0, 0, 0, 0, 1</t>
  </si>
  <si>
    <t>gas and plumber near me</t>
  </si>
  <si>
    <t>anaheim plumber near me</t>
  </si>
  <si>
    <t>milwaukee plumber near me</t>
  </si>
  <si>
    <t>0, 0, 0, 0, 0, 0, 0, 0, 1, 2, 1, 0, 0, 0, 0, 0, 0, 0, 0, 0, 0, 0, 0, 1</t>
  </si>
  <si>
    <t>gas plumber near me social circle</t>
  </si>
  <si>
    <t>0, 1, 0, 0, 0, 1, 0, 2, 0, 0, 1, 0, 0, 0, 0, 0, 0, 0, 0, 0, 0, 0, 0, 1</t>
  </si>
  <si>
    <t>irrigation plumber near me</t>
  </si>
  <si>
    <t>3, 1, 3, 1, 0, 5, 3, 0, 1, 5, 2, 3, 1, 1, 4, 3, 1, 2, 1, 0, 0, 0, 0, 1</t>
  </si>
  <si>
    <t>plumber fitting near me</t>
  </si>
  <si>
    <t>0, 0, 0, 0, 1, 0, 0, 2, 0, 0, 0, 0, 2, 0, 0, 0, 0, 1, 1, 0, 0, 1, 0, 1</t>
  </si>
  <si>
    <t>toilet repair plumber near me</t>
  </si>
  <si>
    <t>1, 1, 2, 0, 0, 0, 1, 1, 1, 2, 4, 0, 0, 0, 0, 0, 0, 0, 0, 0, 0, 1, 0, 1</t>
  </si>
  <si>
    <t>plumber job vacancy near me</t>
  </si>
  <si>
    <t>0, 0, 0, 0, 0, 0, 2, 0, 0, 0, 11, 0, 0, 1, 0, 0, 0, 0, 0, 0, 4, 0, 0, 1</t>
  </si>
  <si>
    <t>plumber near me magnolia tx</t>
  </si>
  <si>
    <t>0, 0, 0, 0, 0, 0, 0, 0, 0, 1, 3, 0, 0, 0, 0, 0, 0, 0, 0, 0, 0, 0, 0, 1</t>
  </si>
  <si>
    <t>trainee plumber jobs near me</t>
  </si>
  <si>
    <t>emergency call out plumber near me</t>
  </si>
  <si>
    <t>1, 2, 0, 1, 1, 1, 1, 0, 1, 0, 1, 2, 0, 0, 0, 0, 0, 0, 0, 0, 0, 1, 0, 1</t>
  </si>
  <si>
    <t>local plumber near me atlanta</t>
  </si>
  <si>
    <t>0, 0, 0, 0, 0, 1, 0, 2, 1, 1, 0, 0, 0, 0, 0, 0, 0, 0, 0, 0, 0, 0, 0, 1</t>
  </si>
  <si>
    <t>plumber supplies shop near me</t>
  </si>
  <si>
    <t>0, 0, 1, 0, 0, 0, 0, 0, 1, 0, 0, 1, 0, 0, 1, 1, 2, 0, 1, 1, 1, 1, 2, 2</t>
  </si>
  <si>
    <t>plumber near me chesterfield</t>
  </si>
  <si>
    <t>water pump plumber near me</t>
  </si>
  <si>
    <t>0, 0, 0, 1, 1, 0, 0, 1, 0, 0, 0, 1, 0, 0, 0, 0, 1, 0, 0, 0, 0, 0, 0, 1</t>
  </si>
  <si>
    <t>plumber near me unclog toilet</t>
  </si>
  <si>
    <t>0, 0, 1, 1, 1, 0, 0, 0, 0, 1, 0, 0, 0, 0, 0, 0, 1, 0, 0, 0, 0, 0, 0, 1</t>
  </si>
  <si>
    <t>plumber near me dayton</t>
  </si>
  <si>
    <t>same day</t>
  </si>
  <si>
    <t>plumber to snake drain near me</t>
  </si>
  <si>
    <t>plumber near me wildomar</t>
  </si>
  <si>
    <t>construction plumber near me</t>
  </si>
  <si>
    <t>0, 0, 0, 0, 0, 0, 0, 0, 0, 0, 0, 0, 0, 0, 0, 0, 1, 0, 1, 0, 0, 1, 0, 1</t>
  </si>
  <si>
    <t>gas certified plumber near me</t>
  </si>
  <si>
    <t>0, 1, 1, 0, 0, 0, 0, 0, 0, 0, 0, 0, 0, 0, 0, 1, 0, 0, 1, 1, 0, 0, 0, 1</t>
  </si>
  <si>
    <t>plumber near me dallas</t>
  </si>
  <si>
    <t>plumber supply near me</t>
  </si>
  <si>
    <t>5, 6, 6, 4, 12, 10, 5, 10, 10, 6, 5, 3, 3, 3, 0, 6, 7, 3, 4, 0, 2, 1, 6, 4</t>
  </si>
  <si>
    <t>plumber programs near me</t>
  </si>
  <si>
    <t>plumber near me phone number please</t>
  </si>
  <si>
    <t>0, 0, 0, 3, 0, 0, 1, 1, 0, 0, 1, 0, 0, 0, 0, 0, 0, 0, 0, 0, 0, 0, 0, 1</t>
  </si>
  <si>
    <t>plumber apprenticeships near me</t>
  </si>
  <si>
    <t>plumber supply company near me</t>
  </si>
  <si>
    <t>online plumber service near me</t>
  </si>
  <si>
    <t>0, 1, 0, 0, 0, 0, 0, 0, 2, 0, 1, 0, 0, 1, 0, 0, 0, 0, 0, 0, 0, 0, 0, 1</t>
  </si>
  <si>
    <t>chinese plumber near me</t>
  </si>
  <si>
    <t>0, 0, 0, 0, 0, 0, 0, 0, 1, 0, 0, 0, 1, 0, 0, 0, 0, 0, 0, 0, 0, 0, 0, 1</t>
  </si>
  <si>
    <t>ottawa emergency plumber near me</t>
  </si>
  <si>
    <t>plumber near me dfw</t>
  </si>
  <si>
    <t>0, 0, 0, 0, 0, 0, 0, 0, 0, 1, 0, 0, 0, 2, 2, 0, 0, 0, 0, 0, 0, 0, 0, 1</t>
  </si>
  <si>
    <t>emergency plumber near me 24/7</t>
  </si>
  <si>
    <t>plumber near me to install dishwasher</t>
  </si>
  <si>
    <t>2, 3, 0, 0, 0, 0, 0, 0, 0, 0, 0, 0, 0, 0, 2, 0, 0, 0, 0, 0, 0, 0, 0, 1</t>
  </si>
  <si>
    <t>cheap plumber near me home service</t>
  </si>
  <si>
    <t>0, 0, 1, 0, 0, 0, 0, 1, 0, 0, 0, 2, 1, 0, 1, 1, 0, 0, 0, 0, 0, 0, 0, 1</t>
  </si>
  <si>
    <t>plumber plumbers near me</t>
  </si>
  <si>
    <t>24 hour call out plumber near me</t>
  </si>
  <si>
    <t>0, 2, 0, 1, 0, 1, 0, 0, 0, 0, 0, 0, 0, 1, 0, 0, 0, 0, 0, 0, 0, 0, 0, 1</t>
  </si>
  <si>
    <t>plumber near me aberdeen</t>
  </si>
  <si>
    <t>plumber repair near me</t>
  </si>
  <si>
    <t>3, 3, 3, 3, 10, 7, 10, 12, 12, 10, 4, 1, 1, 1, 0, 1, 0, 1, 0, 0, 0, 3, 2, 3</t>
  </si>
  <si>
    <t>licensed plumber near me decatur</t>
  </si>
  <si>
    <t>0, 1, 1, 0, 0, 0, 2, 0, 3, 0, 0, 0, 0, 0, 0, 0, 0, 0, 0, 0, 0, 0, 0, 1</t>
  </si>
  <si>
    <t>bathroom sink clog plumber near me</t>
  </si>
  <si>
    <t>0, 1, 0, 0, 1, 0, 1, 0, 0, 0, 0, 0, 0, 0, 0, 0, 0, 0, 0, 0, 0, 0, 0, 1</t>
  </si>
  <si>
    <t>cheap plumber near me prices</t>
  </si>
  <si>
    <t>0, 0, 0, 5, 6, 4, 4, 3, 1, 4, 2, 2, 1, 2, 5, 0, 2, 1, 2, 4, 11, 6, 8, 9</t>
  </si>
  <si>
    <t>plumber near me tomball tx</t>
  </si>
  <si>
    <t>plumber near me winchester</t>
  </si>
  <si>
    <t>plumber near me pueblo co</t>
  </si>
  <si>
    <t>home plumber near me</t>
  </si>
  <si>
    <t>0, 1, 0, 0, 1, 0, 0, 2, 0, 0, 1, 1, 0, 0, 0, 0, 0, 0, 0, 0, 0, 0, 0, 1</t>
  </si>
  <si>
    <t>plumber near me dishwasher</t>
  </si>
  <si>
    <t>plumber near me erie co</t>
  </si>
  <si>
    <t>1, 1, 0, 0, 0, 0, 0, 0, 0, 0, 0, 1, 0, 0, 0, 0, 0, 0, 0, 0, 0, 0, 0, 1</t>
  </si>
  <si>
    <t>gas plumber near me decatur</t>
  </si>
  <si>
    <t>0, 0, 1, 0, 0, 0, 2, 0, 1, 0, 0, 0, 0, 0, 0, 0, 0, 0, 0, 0, 0, 0, 0, 1</t>
  </si>
  <si>
    <t>local plumber near me evansville</t>
  </si>
  <si>
    <t>plumber near me in baltimore</t>
  </si>
  <si>
    <t>newport news plumber near me</t>
  </si>
  <si>
    <t>plumber near me doraville</t>
  </si>
  <si>
    <t>0, 0, 0, 0, 1, 0, 1, 1, 1, 0, 0, 2, 0, 0, 0, 0, 0, 0, 0, 0, 0, 0, 0, 1</t>
  </si>
  <si>
    <t>plumber near me quotes</t>
  </si>
  <si>
    <t>0, 2, 0, 0, 0, 0, 0, 0, 0, 0, 0, 0, 0, 0, 0, 0, 0, 0, 0, 0, 0, 0, 0, 1</t>
  </si>
  <si>
    <t>any plumber near me home service</t>
  </si>
  <si>
    <t>0, 0, 0, 0, 0, 0, 0, 1, 0, 0, 0, 0, 0, 0, 0, 2, 1, 1, 3, 0, 0, 0, 3, 1</t>
  </si>
  <si>
    <t>emergency plumber near me fulham</t>
  </si>
  <si>
    <t>0, 0, 0, 1, 1, 0, 0, 0, 0, 0, 0, 0, 0, 0, 0, 0, 0, 0, 0, 0, 0, 0, 0, 1</t>
  </si>
  <si>
    <t>emergency plumber near me open now</t>
  </si>
  <si>
    <t>1, 6, 5, 1, 1, 3, 3, 1, 0, 0, 0, 0, 2, 2, 0, 2, 0, 7, 3, 0, 0, 0, 0, 1</t>
  </si>
  <si>
    <t>phoenix plumber near me</t>
  </si>
  <si>
    <t>plumber near me open now 24 7</t>
  </si>
  <si>
    <t>0, 0, 0, 0, 0, 0, 0, 0, 0, 0, 0, 2, 2, 0, 0, 0, 0, 0, 0, 0, 0, 0, 0, 1</t>
  </si>
  <si>
    <t>chattanooga plumber near me</t>
  </si>
  <si>
    <t>0, 0, 0, 0, 1, 0, 0, 0, 1, 1, 0, 0, 0, 0, 0, 0, 0, 0, 0, 0, 0, 0, 0, 1</t>
  </si>
  <si>
    <t>plumber classes near me</t>
  </si>
  <si>
    <t>1, 0, 0, 0, 0, 0, 0, 0, 0, 0, 1, 0, 0, 0, 2, 0, 0, 0, 3, 0, 0, 0, 0, 1</t>
  </si>
  <si>
    <t>plumber link near me</t>
  </si>
  <si>
    <t>0, 0, 0, 0, 0, 0, 0, 7, 7, 4, 0, 1, 0, 0, 0, 0, 0, 0, 0, 0, 0, 0, 0, 1</t>
  </si>
  <si>
    <t>plumber &amp; electrician near me</t>
  </si>
  <si>
    <t>0, 0, 0, 0, 0, 0, 0, 2, 0, 1, 4, 0, 1, 2, 1, 0, 0, 0, 0, 0, 0, 0, 0, 1</t>
  </si>
  <si>
    <t>24 hrs plumber near me</t>
  </si>
  <si>
    <t>4, 6, 4, 1, 3, 2, 2, 5, 3, 2, 1, 3, 2, 4, 2, 2, 11, 10, 6, 0, 3, 0, 4, 1</t>
  </si>
  <si>
    <t>top plumber companies near me</t>
  </si>
  <si>
    <t>plumber edmonton near me</t>
  </si>
  <si>
    <t>plumber near me longmont co</t>
  </si>
  <si>
    <t>0, 0, 1, 1, 0, 0, 0, 0, 1, 0, 1, 0, 0, 0, 0, 0, 0, 0, 0, 0, 0, 0, 0, 1</t>
  </si>
  <si>
    <t>plumber near me everett</t>
  </si>
  <si>
    <t>0, 0, 0, 0, 0, 1, 1, 0, 1, 0, 0, 0, 0, 0, 0, 0, 0, 0, 0, 0, 0, 0, 0, 1</t>
  </si>
  <si>
    <t>jim's plumber near me</t>
  </si>
  <si>
    <t>1, 0, 0, 0, 1, 0, 0, 0, 0, 0, 0, 0, 0, 0, 0, 0, 0, 0, 0, 0, 0, 0, 0, 1</t>
  </si>
  <si>
    <t>plumber toilet repair near me</t>
  </si>
  <si>
    <t>0, 0, 0, 0, 0, 2, 0, 0, 0, 0, 0, 1, 1, 0, 1, 0, 0, 1, 0, 0, 0, 0, 0, 1</t>
  </si>
  <si>
    <t>plumber no call out fee near me</t>
  </si>
  <si>
    <t>1, 0, 2, 1, 0, 0, 2, 1, 0, 0, 1, 0, 0, 6, 1, 0, 1, 1, 0, 2, 3, 1, 0, 3</t>
  </si>
  <si>
    <t>plumber near me water heater</t>
  </si>
  <si>
    <t>1, 1, 0, 1, 1, 1, 3, 5, 4, 2, 3, 0, 0, 0, 0, 0, 0, 0, 0, 0, 0, 0, 0, 1</t>
  </si>
  <si>
    <t>plumber 24/7 near me</t>
  </si>
  <si>
    <t>16, 13, 10, 2, 11, 7, 3, 8, 7, 5, 7, 6, 3, 2, 8, 1, 1, 4, 5, 0, 3, 10, 4, 7</t>
  </si>
  <si>
    <t>plumber required near me</t>
  </si>
  <si>
    <t>0, 1, 0, 0, 0, 2, 0, 0, 1, 0, 1, 0, 2, 0, 0, 1, 0, 0, 1, 0, 2, 1, 0, 2</t>
  </si>
  <si>
    <t>plumber warehouse near me</t>
  </si>
  <si>
    <t>0, 1, 2, 1, 0, 3, 1, 4, 4, 1, 0, 0, 0, 1, 0, 3, 1, 0, 5, 1, 1, 1, 0, 2</t>
  </si>
  <si>
    <t>g3 plumber near me</t>
  </si>
  <si>
    <t>0, 0, 0, 0, 0, 0, 0, 0, 0, 0, 1, 0, 0, 0, 0, 0, 0, 0, 0, 0, 0, 0, 3, 2</t>
  </si>
  <si>
    <t>frozen pipe plumber near me</t>
  </si>
  <si>
    <t>0, 0, 0, 0, 0, 0, 0, 0, 0, 0, 3, 0, 0, 0, 0, 0, 0, 0, 0, 0, 0, 0, 0, 1</t>
  </si>
  <si>
    <t>find me a plumber near me</t>
  </si>
  <si>
    <t>0, 0, 0, 2, 0, 2, 0, 1, 0, 1, 1, 1, 0, 0, 0, 0, 0, 0, 0, 1, 0, 1, 0, 2</t>
  </si>
  <si>
    <t>plumber near me bonsall</t>
  </si>
  <si>
    <t>kitchen plumber near me</t>
  </si>
  <si>
    <t>2, 2, 3, 4, 2, 5, 0, 1, 3, 1, 2, 1, 0, 0, 0, 0, 0, 0, 0, 0, 0, 0, 0, 1</t>
  </si>
  <si>
    <t>plumber near me phoenix</t>
  </si>
  <si>
    <t>0, 0, 0, 0, 0, 0, 0, 1, 0, 0, 0, 0, 1, 0, 0, 0, 0, 0, 1, 0, 0, 0, 0, 1</t>
  </si>
  <si>
    <t>plumber near me orlando</t>
  </si>
  <si>
    <t>top plumber service near me</t>
  </si>
  <si>
    <t>plumber contractor near me</t>
  </si>
  <si>
    <t>7, 3, 3, 3, 2, 2, 1, 0, 3, 3, 2, 4, 0, 2, 3, 6, 1, 0, 1, 0, 0, 2, 2, 1</t>
  </si>
  <si>
    <t>plumber near me san diego</t>
  </si>
  <si>
    <t>0, 0, 0, 0, 0, 0, 0, 0, 0, 0, 0, 0, 0, 0, 0, 0, 1, 0, 0, 1, 0, 0, 0, 1</t>
  </si>
  <si>
    <t>kohler plumber near me</t>
  </si>
  <si>
    <t>0, 1, 0, 0, 0, 1, 0, 0, 1, 0, 0, 0, 0, 0, 0, 0, 0, 0, 0, 0, 0, 1, 0, 1</t>
  </si>
  <si>
    <t>reputable plumber near me</t>
  </si>
  <si>
    <t>3, 1, 0, 1, 5, 0, 1, 0, 0, 0, 1, 1, 0, 1, 1, 0, 1, 5, 1, 3, 0, 0, 0, 1</t>
  </si>
  <si>
    <t>free estimate plumber near me</t>
  </si>
  <si>
    <t>residential plumber near me hamilton</t>
  </si>
  <si>
    <t>emergency plumber near me atlanta</t>
  </si>
  <si>
    <t>0, 0, 0, 2, 2, 0, 0, 0, 0, 0, 0, 0, 0, 0, 0, 0, 0, 0, 0, 0, 0, 0, 0, 1</t>
  </si>
  <si>
    <t>book plumber near me</t>
  </si>
  <si>
    <t>0, 0, 0, 0, 0, 0, 1, 0, 0, 0, 0, 0, 0, 0, 0, 0, 1, 0, 0, 0, 0, 0, 0, 1</t>
  </si>
  <si>
    <t>plumber near me miami beach</t>
  </si>
  <si>
    <t>plumber in near me</t>
  </si>
  <si>
    <t>0, 0, 2, 1, 3, 4, 3, 1, 5, 4, 3, 2, 1, 1, 3, 3, 8, 1, 3, 2, 6, 2, 3, 5</t>
  </si>
  <si>
    <t>plumber near me highland park</t>
  </si>
  <si>
    <t>0, 1, 0, 0, 0, 1, 0, 0, 0, 0, 0, 0, 0, 0, 0, 0, 0, 0, 0, 0, 0, 0, 0, 1</t>
  </si>
  <si>
    <t>emergency outdoor plumber near me</t>
  </si>
  <si>
    <t>plumber near me bhopal</t>
  </si>
  <si>
    <t>toilet plumber near me magnolia tx</t>
  </si>
  <si>
    <t>0, 0, 0, 0, 0, 0, 0, 0, 2, 1, 1, 0, 0, 0, 0, 0, 0, 0, 0, 0, 0, 0, 0, 1</t>
  </si>
  <si>
    <t>plumber rates per hour near me</t>
  </si>
  <si>
    <t>0, 1, 1, 1, 0, 1, 1, 2, 2, 1, 3, 0, 0, 0, 0, 1, 0, 0, 2, 0, 0, 0, 0, 1</t>
  </si>
  <si>
    <t>plumber near me yeovil</t>
  </si>
  <si>
    <t>plumber hardware store near me</t>
  </si>
  <si>
    <t>0, 1, 1, 0, 0, 0, 0, 0, 0, 1, 0, 0, 0, 0, 0, 0, 0, 0, 2, 0, 0, 0, 0, 1</t>
  </si>
  <si>
    <t>plumber in my area near me</t>
  </si>
  <si>
    <t>1, 7, 1, 4, 0, 2, 0, 0, 2, 0, 1, 0, 1, 2, 0, 1, 0, 1, 0, 4, 2, 1, 2, 3</t>
  </si>
  <si>
    <t>a good plumber near me</t>
  </si>
  <si>
    <t>0, 1, 0, 0, 1, 0, 1, 1, 2, 2, 3, 0, 2, 0, 0, 0, 0, 0, 0, 2, 0, 0, 0, 1</t>
  </si>
  <si>
    <t>freelance plumber near me</t>
  </si>
  <si>
    <t>0, 1, 0, 0, 0, 1, 0, 0, 0, 0, 0, 0, 0, 0, 0, 0, 0, 0, 0, 0, 0, 2, 0, 1</t>
  </si>
  <si>
    <t>best plumber near me within 1.6 km</t>
  </si>
  <si>
    <t>0, 0, 0, 0, 0, 0, 0, 0, 0, 1, 0, 3, 1, 0, 0, 0, 0, 0, 0, 0, 0, 0, 0, 1</t>
  </si>
  <si>
    <t>plumber. near me</t>
  </si>
  <si>
    <t>0, 1, 8, 0, 0, 2, 2, 1, 2, 2, 1, 4, 1, 1, 0, 1, 2, 0, 3, 0, 1, 1, 1, 2</t>
  </si>
  <si>
    <t>top rated plumber near me open now</t>
  </si>
  <si>
    <t>0, 0, 0, 0, 0, 2, 0, 0, 2, 0, 0, 10, 0, 3, 1, 0, 1, 0, 0, 0, 1, 0, 0, 1</t>
  </si>
  <si>
    <t>plumber shower repair near me</t>
  </si>
  <si>
    <t>1, 1, 0, 0, 2, 1, 0, 0, 0, 0, 1, 0, 0, 0, 0, 0, 0, 0, 0, 0, 0, 0, 0, 1</t>
  </si>
  <si>
    <t>commercial plumber near me monument</t>
  </si>
  <si>
    <t>water tank plumber near me</t>
  </si>
  <si>
    <t>0, 0, 1, 0, 2, 0, 0, 1, 0, 0, 0, 0, 1, 0, 0, 0, 0, 0, 1, 0, 0, 0, 0, 1</t>
  </si>
  <si>
    <t>plumber near me'</t>
  </si>
  <si>
    <t>0, 0, 0, 0, 0, 0, 0, 0, 0, 1, 2, 0, 0, 1, 0, 0, 0, 0, 1, 0, 0, 0, 0, 1</t>
  </si>
  <si>
    <t>plumber supply house near me</t>
  </si>
  <si>
    <t>emergency plumber near me 24 7</t>
  </si>
  <si>
    <t>0, 0, 1, 1, 0, 0, 2, 1, 3, 0, 2, 9, 1, 0, 0, 0, 1, 0, 0, 0, 0, 0, 0, 1</t>
  </si>
  <si>
    <t>the plumber near me</t>
  </si>
  <si>
    <t>0, 0, 1, 4, 1, 0, 0, 0, 1, 0, 0, 0, 2, 0, 0, 0, 0, 0, 0, 0, 1, 1, 0, 1</t>
  </si>
  <si>
    <t>plumber near me sun city</t>
  </si>
  <si>
    <t>25 hour plumber near me</t>
  </si>
  <si>
    <t>1, 2, 0, 3, 0, 1, 0, 4, 2, 4, 1, 3, 0, 1, 0, 2, 1, 0, 2, 1, 0, 0, 1, 2</t>
  </si>
  <si>
    <t>plumber to install dishwasher near me</t>
  </si>
  <si>
    <t>0, 1, 0, 1, 1, 3, 0, 3, 2, 0, 5, 0, 0, 1, 0, 1, 0, 0, 0, 0, 0, 0, 0, 1</t>
  </si>
  <si>
    <t>mike plumber near me</t>
  </si>
  <si>
    <t>0, 0, 0, 0, 0, 0, 1, 0, 0, 0, 2, 0, 0, 1, 0, 0, 0, 0, 0, 0, 0, 0, 0, 1</t>
  </si>
  <si>
    <t>plumber drain cleaning near me</t>
  </si>
  <si>
    <t>0, 0, 0, 0, 0, 0, 0, 0, 0, 1, 0, 0, 0, 0, 0, 0, 0, 0, 1, 3, 0, 0, 0, 1</t>
  </si>
  <si>
    <t>local plumber near me lawrenceville</t>
  </si>
  <si>
    <t>0, 0, 0, 0, 0, 0, 0, 2, 0, 1, 1, 2, 0, 0, 0, 0, 0, 0, 0, 0, 0, 0, 0, 1</t>
  </si>
  <si>
    <t>license plumber near me</t>
  </si>
  <si>
    <t>0, 1, 1, 2, 2, 2, 1, 0, 2, 0, 2, 0, 0, 0, 0, 0, 2, 0, 3, 0, 1, 0, 1, 2</t>
  </si>
  <si>
    <t>service plumber near me</t>
  </si>
  <si>
    <t>plumber near me vista</t>
  </si>
  <si>
    <t>electrician &amp; plumber near me</t>
  </si>
  <si>
    <t>0, 0, 0, 0, 0, 0, 0, 0, 1, 1, 0, 0, 0, 0, 0, 0, 0, 0, 0, 2, 0, 0, 0, 1</t>
  </si>
  <si>
    <t>plumber 24 7 near me</t>
  </si>
  <si>
    <t>2, 1, 1, 2, 4, 7, 3, 2, 5, 3, 6, 5, 1, 1, 0, 2, 0, 2, 0, 0, 0, 1, 1, 3</t>
  </si>
  <si>
    <t>plumber near me miami</t>
  </si>
  <si>
    <t>emergency plumber near me cape town</t>
  </si>
  <si>
    <t>0, 0, 0, 0, 0, 0, 0, 0, 0, 0, 0, 0, 0, 0, 0, 0, 0, 0, 0, 9, 25, 12, 0, 13</t>
  </si>
  <si>
    <t>plumber near me olympia</t>
  </si>
  <si>
    <t>emergency 24 hour plumber near me</t>
  </si>
  <si>
    <t>0, 0, 1, 0, 0, 0, 0, 1, 0, 0, 0, 1, 0, 1, 0, 0, 0, 0, 0, 1, 0, 1, 1, 2</t>
  </si>
  <si>
    <t>plumber near me within 5 mi</t>
  </si>
  <si>
    <t>0, 0, 0, 0, 0, 0, 4, 1, 0, 0, 0, 0, 0, 0, 0, 0, 0, 0, 0, 0, 1, 0, 0, 1</t>
  </si>
  <si>
    <t>plumber near me central coast</t>
  </si>
  <si>
    <t>0, 0, 0, 1, 0, 0, 1, 0, 0, 0, 1, 0, 0, 0, 0, 0, 0, 0, 0, 0, 0, 0, 0, 1</t>
  </si>
  <si>
    <t>plumber tiler near me</t>
  </si>
  <si>
    <t>2, 0, 1, 0, 0, 0, 0, 0, 1, 0, 5, 1, 0, 0, 2, 4, 1, 0, 1, 1, 1, 0, 0, 1</t>
  </si>
  <si>
    <t>plumber near me druid hills</t>
  </si>
  <si>
    <t>0, 1, 0, 0, 0, 0, 1, 0, 0, 1, 0, 1, 0, 0, 0, 0, 0, 0, 0, 0, 0, 0, 0, 1</t>
  </si>
  <si>
    <t>septic tank plumber near me</t>
  </si>
  <si>
    <t>0, 1, 0, 0, 0, 0, 0, 0, 1, 0, 1, 0, 0, 0, 0, 0, 0, 0, 5, 0, 0, 3, 0, 2</t>
  </si>
  <si>
    <t>sam plumber near me</t>
  </si>
  <si>
    <t>0, 0, 0, 0, 0, 0, 0, 0, 0, 1, 1, 1, 1, 0, 0, 0, 0, 0, 0, 0, 0, 0, 0, 1</t>
  </si>
  <si>
    <t>low cost plumber near me</t>
  </si>
  <si>
    <t>0, 0, 0, 0, 0, 1, 0, 0, 0, 0, 1, 0, 0, 0, 0, 1, 0, 0, 0, 0, 0, 0, 0, 1</t>
  </si>
  <si>
    <t>find local plumber near me</t>
  </si>
  <si>
    <t>0, 0, 0, 0, 0, 0, 0, 0, 0, 0, 0, 0, 0, 0, 0, 0, 0, 0, 0, 0, 0, 0, 1, 1</t>
  </si>
  <si>
    <t>plumber near me sheffield</t>
  </si>
  <si>
    <t>plumber near me toco hills</t>
  </si>
  <si>
    <t>0, 0, 1, 0, 2, 1, 0, 1, 5, 0, 0, 0, 0, 0, 0, 0, 0, 0, 0, 0, 0, 0, 0, 1</t>
  </si>
  <si>
    <t>plumber available now near me</t>
  </si>
  <si>
    <t>0, 0, 0, 0, 0, 1, 0, 0, 0, 1, 1, 0, 0, 0, 0, 0, 0, 0, 0, 0, 0, 0, 2, 1</t>
  </si>
  <si>
    <t>natural gas line plumber near me</t>
  </si>
  <si>
    <t>0, 1, 0, 2, 1, 0, 2, 2, 3, 1, 2, 0, 0, 0, 0, 0, 0, 0, 0, 0, 0, 0, 0, 1</t>
  </si>
  <si>
    <t>plumber near me colorado springs</t>
  </si>
  <si>
    <t>emergency plumber near me cheap louisville</t>
  </si>
  <si>
    <t>0, 0, 0, 0, 0, 0, 0, 0, 2, 0, 0, 4, 0, 0, 0, 0, 0, 0, 0, 0, 0, 0, 0, 1</t>
  </si>
  <si>
    <t>plumber business near me</t>
  </si>
  <si>
    <t>0, 0, 0, 1, 0, 0, 1, 2, 1, 0, 0, 0, 4, 0, 0, 0, 0, 0, 0, 0, 1, 2, 0, 1</t>
  </si>
  <si>
    <t>rheem plumber near me</t>
  </si>
  <si>
    <t>plumber for toilet near me</t>
  </si>
  <si>
    <t>2, 0, 1, 2, 1, 0, 1, 4, 2, 3, 0, 0, 0, 0, 0, 0, 0, 0, 0, 1, 0, 0, 0, 1</t>
  </si>
  <si>
    <t>plumber near me canton</t>
  </si>
  <si>
    <t>contractor plumber near me</t>
  </si>
  <si>
    <t>3, 2, 2, 2, 2, 2, 3, 2, 0, 3, 0, 0, 1, 0, 1, 0, 2, 0, 0, 0, 0, 0, 0, 1</t>
  </si>
  <si>
    <t>oil plumber near me</t>
  </si>
  <si>
    <t>0, 0, 0, 0, 0, 0, 0, 2, 0, 0, 1, 0, 0, 0, 0, 0, 0, 0, 0, 0, 0, 0, 0, 1</t>
  </si>
  <si>
    <t>plumber union near me</t>
  </si>
  <si>
    <t>0, 0, 0, 0, 0, 2, 0, 4, 0, 1, 0, 0, 0, 0, 0, 0, 0, 0, 0, 0, 0, 0, 0, 1</t>
  </si>
  <si>
    <t>plumber near me st. charles</t>
  </si>
  <si>
    <t>house plumber near me</t>
  </si>
  <si>
    <t>0, 2, 1, 1, 3, 2, 4, 2, 1, 1, 5, 4, 1, 2, 0, 2, 0, 0, 0, 0, 0, 0, 3, 1</t>
  </si>
  <si>
    <t>plumber repair service near me</t>
  </si>
  <si>
    <t>1, 1, 2, 3, 7, 1, 0, 0, 1, 5, 1, 0, 1, 0, 0, 0, 0, 0, 0, 0, 0, 0, 0, 1</t>
  </si>
  <si>
    <t>sunday plumber near me</t>
  </si>
  <si>
    <t>0, 1, 1, 1, 0, 0, 0, 3, 0, 2, 2, 0, 0, 0, 4, 0, 0, 0, 0, 0, 0, 0, 0, 1</t>
  </si>
  <si>
    <t>plumber short course near me</t>
  </si>
  <si>
    <t>0, 0, 0, 0, 0, 0, 0, 0, 0, 0, 0, 2, 0, 0, 0, 1, 0, 0, 1, 0, 1, 0, 0, 1</t>
  </si>
  <si>
    <t>weekend plumber near me los angeles</t>
  </si>
  <si>
    <t>24 hour plumber near me open now</t>
  </si>
  <si>
    <t>1, 0, 0, 1, 0, 2, 2, 3, 1, 3, 0, 3, 0, 0, 0, 1, 4, 1, 0, 0, 4, 0, 3, 1</t>
  </si>
  <si>
    <t>plumber near me council bluffs</t>
  </si>
  <si>
    <t>0, 0, 0, 0, 0, 1, 0, 1, 2, 1, 0, 0, 0, 0, 0, 0, 0, 0, 0, 0, 0, 0, 0, 1</t>
  </si>
  <si>
    <t>drain cleaner plumber near me</t>
  </si>
  <si>
    <t>0, 2, 0, 0, 0, 0, 0, 0, 1, 1, 3, 0, 0, 0, 0, 0, 0, 0, 4, 1, 0, 0, 0, 1</t>
  </si>
  <si>
    <t>plumber near me lake elsinore</t>
  </si>
  <si>
    <t>dishwasher plumber near me</t>
  </si>
  <si>
    <t>1, 1, 1, 0, 0, 1, 0, 0, 1, 1, 0, 2, 0, 1, 0, 0, 2, 0, 0, 0, 0, 0, 0, 1</t>
  </si>
  <si>
    <t>plumber services near me india</t>
  </si>
  <si>
    <t>0, 0, 0, 0, 0, 0, 0, 0, 0, 0, 0, 0, 0, 0, 0, 0, 0, 1, 7, 0, 0, 0, 0, 1</t>
  </si>
  <si>
    <t>i need a plumber now near me</t>
  </si>
  <si>
    <t>1, 1, 0, 0, 0, 0, 0, 1, 0, 0, 0, 1, 0, 0, 0, 0, 0, 0, 0, 0, 0, 0, 0, 1</t>
  </si>
  <si>
    <t>cheap plumber near me open now</t>
  </si>
  <si>
    <t>2, 2, 9, 5, 2, 7, 5, 4, 7, 3, 4, 4, 8, 4, 5, 7, 0, 5, 2, 3, 1, 6, 6, 5</t>
  </si>
  <si>
    <t>plumber near me luton</t>
  </si>
  <si>
    <t>gas line plumber near me</t>
  </si>
  <si>
    <t>3, 1, 5, 7, 3, 3, 4, 3, 11, 2, 8, 10, 0, 0, 0, 0, 0, 1, 0, 0, 0, 0, 1, 1</t>
  </si>
  <si>
    <t>gas plumber near me houston tx</t>
  </si>
  <si>
    <t>0, 1, 1, 1, 0, 0, 0, 1, 0, 1, 0, 0, 0, 0, 0, 0, 0, 0, 0, 0, 0, 0, 0, 1</t>
  </si>
  <si>
    <t>plumber hot water heater near me</t>
  </si>
  <si>
    <t>1, 1, 0, 0, 0, 0, 0, 2, 1, 1, 1, 0, 0, 0, 0, 0, 0, 0, 0, 0, 0, 0, 0, 1</t>
  </si>
  <si>
    <t>plumber near me free estimates</t>
  </si>
  <si>
    <t>0, 0, 0, 0, 0, 0, 0, 1, 1, 1, 2, 0, 0, 0, 0, 0, 0, 0, 0, 0, 0, 0, 0, 1</t>
  </si>
  <si>
    <t>24 hr emergency plumber near me</t>
  </si>
  <si>
    <t>5, 2, 1, 4, 1, 0, 3, 2, 0, 1, 2, 0, 0, 0, 1, 0, 1, 0, 0, 0, 0, 0, 0, 1</t>
  </si>
  <si>
    <t>underfloor heating plumber near me</t>
  </si>
  <si>
    <t>0, 0, 0, 1, 0, 0, 2, 0, 1, 0, 0, 0, 0, 0, 0, 0, 0, 0, 0, 0, 0, 0, 0, 1</t>
  </si>
  <si>
    <t>closest plumber near me</t>
  </si>
  <si>
    <t>1, 2, 0, 0, 1, 0, 4, 1, 0, 0, 1, 1, 1, 0, 0, 0, 1, 2, 0, 0, 0, 1, 0, 1</t>
  </si>
  <si>
    <t>plumber near me hernando beach</t>
  </si>
  <si>
    <t>plumber accessories near me</t>
  </si>
  <si>
    <t>1, 1, 0, 1, 2, 0, 0, 0, 0, 0, 0, 0, 1, 0, 2, 0, 1, 0, 0, 0, 0, 0, 0, 1</t>
  </si>
  <si>
    <t>plumber, electrician near me</t>
  </si>
  <si>
    <t>plumber world near me</t>
  </si>
  <si>
    <t>sinus plumber near me</t>
  </si>
  <si>
    <t>0, 0, 0, 0, 0, 0, 0, 1, 0, 0, 0, 0, 1, 0, 1, 0, 1, 0, 0, 0, 0, 0, 0, 1</t>
  </si>
  <si>
    <t>plumber recommendations near me</t>
  </si>
  <si>
    <t>3, 0, 0, 0, 1, 2, 1, 0, 0, 0, 1, 0, 0, 0, 0, 0, 0, 0, 0, 0, 0, 0, 0, 1</t>
  </si>
  <si>
    <t>emergency plumber near me cost</t>
  </si>
  <si>
    <t>plumber for water heater near me</t>
  </si>
  <si>
    <t>emergency plumber near me savannah ga</t>
  </si>
  <si>
    <t>plumber near me austin</t>
  </si>
  <si>
    <t>plumber near me catonsville</t>
  </si>
  <si>
    <t>plumber cost per hour near me</t>
  </si>
  <si>
    <t>0, 0, 0, 0, 1, 0, 0, 0, 1, 1, 0, 0, 1, 0, 0, 0, 1, 0, 0, 0, 0, 0, 0, 1</t>
  </si>
  <si>
    <t>near me plumber contact number</t>
  </si>
  <si>
    <t>0, 0, 0, 0, 1, 0, 0, 1, 0, 0, 1, 1, 0, 0, 0, 0, 0, 0, 0, 0, 0, 0, 0, 1</t>
  </si>
  <si>
    <t>sprinkler plumber near me</t>
  </si>
  <si>
    <t>0, 0, 0, 0, 0, 0, 0, 0, 0, 0, 0, 0, 0, 2, 0, 0, 0, 0, 0, 0, 0, 0, 0, 1</t>
  </si>
  <si>
    <t>free plumber near me</t>
  </si>
  <si>
    <t>1, 0, 1, 0, 0, 0, 0, 0, 0, 0, 0, 0, 0, 0, 0, 0, 1, 0, 0, 0, 0, 0, 0, 1</t>
  </si>
  <si>
    <t>plumber supply near me open now</t>
  </si>
  <si>
    <t>plumber and gas fitter near me</t>
  </si>
  <si>
    <t>0, 0, 2, 0, 2, 2, 0, 2, 0, 2, 0, 1, 0, 0, 0, 0, 0, 1, 0, 0, 0, 0, 0, 1</t>
  </si>
  <si>
    <t>fridge plumber near me</t>
  </si>
  <si>
    <t>0, 1, 2, 1, 0, 1, 2, 0, 0, 0, 0, 0, 0, 0, 0, 2, 0, 0, 0, 0, 0, 0, 0, 1</t>
  </si>
  <si>
    <t>plumber near me hollywood</t>
  </si>
  <si>
    <t>toilet plumber near me tomball tx</t>
  </si>
  <si>
    <t>metropolitan plumber near me</t>
  </si>
  <si>
    <t>0, 0, 0, 0, 0, 2, 0, 0, 0, 1, 0, 0, 0, 0, 0, 0, 0, 0, 0, 0, 0, 0, 0, 1</t>
  </si>
  <si>
    <t>24 hour local plumber near me</t>
  </si>
  <si>
    <t>1, 0, 0, 0, 0, 0, 0, 1, 2, 0, 0, 0, 0, 0, 0, 0, 0, 0, 0, 0, 0, 0, 0, 1</t>
  </si>
  <si>
    <t>plumber near me silver spring</t>
  </si>
  <si>
    <t>plumber near me newbury</t>
  </si>
  <si>
    <t>plumber near me gumtree</t>
  </si>
  <si>
    <t>local plumber near me alpharetta</t>
  </si>
  <si>
    <t>0, 0, 0, 0, 0, 1, 1, 1, 0, 0, 1, 0, 0, 0, 0, 0, 0, 0, 0, 0, 0, 0, 0, 1</t>
  </si>
  <si>
    <t>plumber near me pembroke pines</t>
  </si>
  <si>
    <t>top plumber company near me</t>
  </si>
  <si>
    <t>jason plumber near me</t>
  </si>
  <si>
    <t>0, 0, 0, 0, 0, 0, 0, 0, 0, 0, 0, 0, 0, 0, 0, 4, 0, 2, 0, 0, 1, 0, 0, 2</t>
  </si>
  <si>
    <t>gas plumber service near me</t>
  </si>
  <si>
    <t>2, 2, 2, 3, 5, 0, 1, 2, 3, 2, 3, 0, 0, 0, 0, 3, 0, 1, 0, 0, 0, 0, 0, 1</t>
  </si>
  <si>
    <t>hot water plumber near me</t>
  </si>
  <si>
    <t>0, 0, 3, 1, 1, 0, 3, 3, 1, 4, 4, 1, 0, 0, 0, 1, 1, 1, 1, 0, 1, 1, 1, 2</t>
  </si>
  <si>
    <t>leak plumber near me</t>
  </si>
  <si>
    <t>0, 0, 0, 0, 2, 0, 0, 0, 0, 0, 0, 0, 0, 0, 0, 0, 0, 0, 2, 2, 4, 0, 0, 1</t>
  </si>
  <si>
    <t>plumber near me weston</t>
  </si>
  <si>
    <t>plumber near me severna park</t>
  </si>
  <si>
    <t>emergency plumber near me 24 7 detroit</t>
  </si>
  <si>
    <t>0, 0, 0, 0, 0, 0, 1, 0, 1, 0, 3, 0, 0, 0, 0, 0, 0, 0, 0, 0, 0, 0, 0, 1</t>
  </si>
  <si>
    <t>plumber near me free estimate</t>
  </si>
  <si>
    <t>1, 4, 1, 3, 4, 2, 2, 1, 7, 6, 5, 1, 1, 2, 2, 2, 0, 0, 0, 1, 0, 0, 0, 1</t>
  </si>
  <si>
    <t>plumber for small jobs near me</t>
  </si>
  <si>
    <t>0, 0, 0, 0, 0, 0, 0, 0, 1, 0, 0, 0, 0, 0, 0, 0, 0, 4, 0, 0, 1, 0, 0, 1</t>
  </si>
  <si>
    <t>plumber to install toilet near me</t>
  </si>
  <si>
    <t>1, 1, 1, 1, 2, 0, 2, 1, 1, 4, 1, 0, 0, 1, 0, 0, 0, 0, 0, 0, 0, 1, 0, 1</t>
  </si>
  <si>
    <t>plumber shop near me open now</t>
  </si>
  <si>
    <t>4, 2, 1, 0, 3, 4, 2, 1, 4, 8, 6, 3, 9, 5, 0, 2, 3, 2, 3, 2, 2, 3, 5, 4</t>
  </si>
  <si>
    <t>hvac plumber near me</t>
  </si>
  <si>
    <t>0, 0, 0, 0, 1, 0, 0, 0, 0, 1, 2, 2, 0, 0, 0, 0, 0, 0, 0, 0, 0, 0, 0, 1</t>
  </si>
  <si>
    <t>private plumber near me</t>
  </si>
  <si>
    <t>1, 1, 1, 1, 0, 0, 4, 2, 0, 0, 0, 2, 0, 3, 1, 2, 5, 1, 5, 0, 4, 0, 2, 3</t>
  </si>
  <si>
    <t>call out plumber near me</t>
  </si>
  <si>
    <t>0, 0, 0, 0, 1, 2, 1, 1, 1, 0, 1, 0, 6, 0, 0, 5, 1, 4, 15, 0, 1, 0, 1, 3</t>
  </si>
  <si>
    <t>plumber near me french valley</t>
  </si>
  <si>
    <t>plumber near me evansville</t>
  </si>
  <si>
    <t>local plumber near me savannah ga</t>
  </si>
  <si>
    <t>self employed plumber near me</t>
  </si>
  <si>
    <t>plumber college near me</t>
  </si>
  <si>
    <t>0, 2, 2, 1, 1, 2, 0, 0, 0, 0, 0, 0, 0, 0, 0, 0, 0, 0, 0, 0, 0, 0, 0, 1</t>
  </si>
  <si>
    <t>plumber and bathroom fitter near me</t>
  </si>
  <si>
    <t>hydrojet plumber near me</t>
  </si>
  <si>
    <t>2, 0, 0, 0, 0, 0, 1, 0, 1, 2, 2, 0, 0, 0, 0, 0, 0, 0, 0, 0, 1, 0, 0, 1</t>
  </si>
  <si>
    <t>plumber near me fauquier county va</t>
  </si>
  <si>
    <t>plumber hardware near me</t>
  </si>
  <si>
    <t>1, 0, 1, 0, 0, 1, 1, 0, 1, 1, 0, 1, 2, 1, 1, 0, 1, 0, 1, 0, 0, 2, 0, 2</t>
  </si>
  <si>
    <t>gas pipe plumber near me sherman oaks</t>
  </si>
  <si>
    <t>emergency plumber near me 24 7 new york city</t>
  </si>
  <si>
    <t>0, 0, 0, 0, 0, 0, 0, 1, 0, 1, 2, 0, 0, 0, 0, 0, 0, 0, 0, 0, 0, 0, 0, 1</t>
  </si>
  <si>
    <t>local plumber near me dayton ohio</t>
  </si>
  <si>
    <t>emergency plumber near me denver</t>
  </si>
  <si>
    <t>0, 0, 0, 0, 0, 0, 0, 0, 0, 1, 0, 1, 0, 0, 0, 0, 0, 0, 0, 0, 0, 0, 0, 1</t>
  </si>
  <si>
    <t>plumber near me university city</t>
  </si>
  <si>
    <t>menifee plumber near me</t>
  </si>
  <si>
    <t>0, 0, 1, 0, 1, 0, 0, 0, 1, 1, 1, 3, 0, 0, 0, 0, 0, 0, 0, 0, 0, 0, 0, 1</t>
  </si>
  <si>
    <t>call plumber near me</t>
  </si>
  <si>
    <t>2, 0, 1, 1, 2, 0, 1, 1, 1, 1, 2, 0, 1, 0, 0, 0, 0, 1, 1, 0, 0, 0, 1, 2</t>
  </si>
  <si>
    <t>maintenance plumber near me</t>
  </si>
  <si>
    <t>0, 0, 0, 0, 0, 0, 0, 0, 0, 1, 0, 1, 0, 0, 0, 0, 3, 1, 0, 0, 1, 0, 0, 1</t>
  </si>
  <si>
    <t>plumber near me cypress tx</t>
  </si>
  <si>
    <t>0, 0, 0, 0, 0, 1, 0, 0, 2, 0, 0, 0, 0, 0, 0, 0, 0, 0, 0, 0, 0, 0, 0, 1</t>
  </si>
  <si>
    <t>licensed plumber near me lawrenceville</t>
  </si>
  <si>
    <t>0, 0, 0, 0, 0, 1, 0, 1, 0, 0, 0, 0, 0, 0, 0, 0, 0, 0, 0, 0, 0, 0, 0, 1</t>
  </si>
  <si>
    <t>plumber dishwasher installation near me</t>
  </si>
  <si>
    <t>0, 1, 0, 0, 0, 0, 0, 0, 0, 1, 0, 0, 1, 0, 0, 0, 0, 1, 0, 0, 0, 0, 0, 1</t>
  </si>
  <si>
    <t>local plumber companies near me</t>
  </si>
  <si>
    <t>heat pump plumber near me</t>
  </si>
  <si>
    <t>0, 0, 0, 0, 0, 0, 2, 1, 0, 1, 0, 0, 0, 0, 0, 0, 1, 0, 1, 0, 0, 1, 0, 1</t>
  </si>
  <si>
    <t>find a good plumber near me</t>
  </si>
  <si>
    <t>0, 0, 0, 0, 0, 0, 0, 0, 1, 0, 0, 0, 0, 2, 0, 0, 0, 0, 0, 0, 0, 0, 0, 1</t>
  </si>
  <si>
    <t>24 emergency plumber near me</t>
  </si>
  <si>
    <t>2, 2, 3, 2, 2, 3, 2, 2, 3, 1, 3, 0, 1, 0, 1, 0, 0, 0, 0, 0, 0, 0, 0, 1</t>
  </si>
  <si>
    <t>emergency plumber near me social circle</t>
  </si>
  <si>
    <t>plumber singapore near me</t>
  </si>
  <si>
    <t>0, 0, 1, 0, 0, 0, 1, 0, 0, 1, 0, 0, 0, 1, 0, 0, 0, 0, 0, 0, 0, 0, 0, 1</t>
  </si>
  <si>
    <t>commercial gas plumber near me</t>
  </si>
  <si>
    <t>1, 0, 0, 0, 1, 0, 0, 0, 2, 1, 0, 1, 0, 0, 0, 0, 0, 0, 0, 0, 1, 0, 0, 1</t>
  </si>
  <si>
    <t>water leak detection plumber near me</t>
  </si>
  <si>
    <t>0, 2, 0, 1, 2, 0, 1, 5, 3, 0, 1, 8, 0, 0, 1, 1, 0, 0, 0, 2, 0, 2, 1, 1</t>
  </si>
  <si>
    <t>toilet plumber near me spring tx</t>
  </si>
  <si>
    <t>0, 0, 0, 0, 0, 0, 0, 4, 2, 2, 2, 0, 0, 0, 0, 0, 0, 0, 0, 0, 0, 0, 0, 1</t>
  </si>
  <si>
    <t>builder and plumber near me</t>
  </si>
  <si>
    <t>0, 0, 0, 0, 0, 0, 0, 0, 0, 0, 0, 0, 0, 0, 0, 1, 0, 1, 0, 0, 0, 0, 0, 1</t>
  </si>
  <si>
    <t>plumber near me st. louis</t>
  </si>
  <si>
    <t>plumber near me irving</t>
  </si>
  <si>
    <t>0, 1, 0, 0, 0, 0, 0, 2, 1, 0, 0, 0, 0, 0, 0, 0, 0, 0, 0, 0, 0, 0, 0, 1</t>
  </si>
  <si>
    <t>plumber hourly rates near me</t>
  </si>
  <si>
    <t>1, 1, 0, 1, 0, 0, 0, 1, 0, 0, 0, 0, 2, 0, 0, 2, 1, 0, 1, 0, 0, 0, 0, 1</t>
  </si>
  <si>
    <t>plumber ratings near me</t>
  </si>
  <si>
    <t>1, 0, 0, 0, 0, 0, 0, 0, 0, 1, 0, 0, 0, 2, 0, 0, 0, 0, 0, 0, 0, 0, 0, 1</t>
  </si>
  <si>
    <t>tony plumber near me</t>
  </si>
  <si>
    <t>0, 0, 0, 0, 0, 0, 0, 0, 0, 0, 0, 0, 0, 0, 1, 0, 3, 1, 0, 0, 0, 0, 0, 1</t>
  </si>
  <si>
    <t>filipino plumber near me</t>
  </si>
  <si>
    <t>0, 1, 0, 0, 0, 0, 0, 0, 1, 0, 0, 0, 0, 0, 0, 0, 0, 0, 0, 0, 0, 0, 0, 1</t>
  </si>
  <si>
    <t>plumber near me kennesaw</t>
  </si>
  <si>
    <t>get plumber near me</t>
  </si>
  <si>
    <t>plumber training course near me</t>
  </si>
  <si>
    <t>0, 0, 0, 0, 0, 0, 0, 0, 1, 0, 0, 0, 0, 0, 0, 1, 0, 0, 0, 0, 0, 0, 0, 1</t>
  </si>
  <si>
    <t>emergency plumber near me hinesville ga</t>
  </si>
  <si>
    <t>plumber stores near me</t>
  </si>
  <si>
    <t>8, 7, 1, 6, 9, 3, 1, 0, 1, 1, 1, 0, 0, 1, 0, 0, 1, 0, 1, 1, 2, 0, 1, 2</t>
  </si>
  <si>
    <t>24 hour plumber near me cheap</t>
  </si>
  <si>
    <t>las vegas plumber near me</t>
  </si>
  <si>
    <t>licensed plumber and electrician near me</t>
  </si>
  <si>
    <t>0, 0, 1, 0, 0, 0, 0, 0, 0, 0, 0, 0, 0, 1, 0, 1, 0, 0, 0, 0, 0, 0, 0, 1</t>
  </si>
  <si>
    <t>licensed master plumber near me</t>
  </si>
  <si>
    <t>contact plumber near me</t>
  </si>
  <si>
    <t>0, 0, 0, 0, 1, 0, 0, 0, 0, 0, 0, 0, 0, 0, 1, 0, 0, 0, 0, 0, 0, 0, 0, 1</t>
  </si>
  <si>
    <t>plumber near by me</t>
  </si>
  <si>
    <t>1, 1, 3, 0, 1, 5, 2, 0, 2, 4, 0, 0, 2, 2, 1, 0, 1, 1, 3, 1, 0, 1, 0, 1</t>
  </si>
  <si>
    <t>near by me plumber</t>
  </si>
  <si>
    <t>0, 0, 0, 0, 0, 0, 0, 0, 1, 0, 1, 0, 0, 1, 1, 0, 0, 0, 0, 0, 0, 0, 0, 1</t>
  </si>
  <si>
    <t>licensed plumber near me tomball tx</t>
  </si>
  <si>
    <t>0, 1, 0, 0, 1, 1, 0, 0, 0, 0, 0, 0, 0, 0, 0, 0, 0, 0, 0, 0, 0, 0, 0, 1</t>
  </si>
  <si>
    <t>plumber near me free estimate magnolia tx</t>
  </si>
  <si>
    <t>0, 1, 2, 0, 0, 0, 0, 0, 0, 0, 0, 0, 0, 0, 0, 0, 0, 0, 0, 0, 0, 0, 0, 1</t>
  </si>
  <si>
    <t>on call plumber near me</t>
  </si>
  <si>
    <t>0, 3, 3, 2, 3, 3, 4, 2, 2, 1, 1, 1, 1, 0, 0, 1, 0, 1, 1, 2, 0, 1, 0, 1</t>
  </si>
  <si>
    <t>plumber dealers near me</t>
  </si>
  <si>
    <t>plumber bathroom fitter near me</t>
  </si>
  <si>
    <t>weatherford plumber near me</t>
  </si>
  <si>
    <t>central heating plumber near me</t>
  </si>
  <si>
    <t>best plumber service near me</t>
  </si>
  <si>
    <t>1, 2, 2, 4, 1, 1, 4, 1, 1, 0, 0, 4, 3, 3, 0, 4, 0, 0, 0, 0, 0, 0, 1, 1</t>
  </si>
  <si>
    <t>plumber in parkinson near me</t>
  </si>
  <si>
    <t>trace and access plumber near me</t>
  </si>
  <si>
    <t>0, 0, 0, 0, 1, 2, 0, 0, 0, 0, 0, 1, 0, 0, 0, 0, 0, 0, 0, 0, 0, 0, 0, 1</t>
  </si>
  <si>
    <t>plumber mistry near me</t>
  </si>
  <si>
    <t>plumber near me sun lakes</t>
  </si>
  <si>
    <t>0, 0, 0, 0, 0, 0, 0, 1, 1, 0, 0, 2, 0, 0, 0, 0, 0, 0, 0, 0, 0, 0, 0, 1</t>
  </si>
  <si>
    <t>google plumber near me</t>
  </si>
  <si>
    <t>1, 0, 0, 0, 0, 1, 0, 5, 0, 0, 0, 0, 0, 0, 1, 0, 0, 2, 0, 1, 0, 0, 0, 1</t>
  </si>
  <si>
    <t>home plumber companies near me</t>
  </si>
  <si>
    <t>apprentice plumber near me</t>
  </si>
  <si>
    <t>0, 0, 0, 0, 0, 0, 1, 0, 0, 0, 0, 0, 0, 0, 0, 0, 0, 1, 0, 0, 0, 0, 0, 1</t>
  </si>
  <si>
    <t>plumber near me to fix toilet</t>
  </si>
  <si>
    <t>0, 1, 0, 0, 1, 0, 0, 1, 0, 0, 0, 1, 0, 0, 0, 0, 0, 0, 0, 0, 0, 0, 0, 1</t>
  </si>
  <si>
    <t>spa plumber near me</t>
  </si>
  <si>
    <t>0, 0, 0, 0, 0, 0, 1, 2, 1, 0, 0, 0, 0, 0, 0, 0, 0, 0, 0, 0, 0, 0, 0, 1</t>
  </si>
  <si>
    <t>plumber near me plano</t>
  </si>
  <si>
    <t>0, 0, 0, 1, 0, 0, 0, 1, 1, 2, 0, 0, 0, 0, 0, 0, 0, 0, 0, 0, 0, 0, 0, 1</t>
  </si>
  <si>
    <t>pink plumber near me</t>
  </si>
  <si>
    <t>1, 0, 0, 0, 0, 0, 0, 0, 0, 0, 0, 1, 0, 1, 0, 0, 0, 0, 0, 0, 1, 0, 0, 1</t>
  </si>
  <si>
    <t>geberit plumber near me</t>
  </si>
  <si>
    <t>0, 1, 2, 0, 3, 2, 1, 0, 1, 0, 0, 0, 0, 1, 1, 0, 0, 0, 0, 0, 1, 0, 1, 2</t>
  </si>
  <si>
    <t>24-hour cheap plumber near me</t>
  </si>
  <si>
    <t>cheap plumber near me phone number</t>
  </si>
  <si>
    <t>0, 0, 0, 0, 0, 0, 0, 1, 0, 0, 0, 1, 1, 0, 0, 0, 0, 0, 0, 0, 0, 0, 0, 1</t>
  </si>
  <si>
    <t>emergency plumber near me louisville</t>
  </si>
  <si>
    <t>0, 0, 0, 0, 0, 0, 3, 1, 1, 0, 2, 0, 0, 0, 0, 0, 0, 0, 0, 0, 0, 0, 0, 1</t>
  </si>
  <si>
    <t>plumber near me ellicott city</t>
  </si>
  <si>
    <t>plumber quotes near me</t>
  </si>
  <si>
    <t>0, 1, 3, 3, 2, 0, 2, 1, 0, 2, 1, 0, 5, 0, 1, 1, 0, 1, 1, 2, 0, 0, 0, 1</t>
  </si>
  <si>
    <t>plumber near me.</t>
  </si>
  <si>
    <t>1, 0, 1, 3, 6, 2, 1, 2, 1, 4, 1, 0, 1, 0, 3, 0, 1, 4, 2, 0, 1, 0, 0, 1</t>
  </si>
  <si>
    <t>plumber equipment near me</t>
  </si>
  <si>
    <t>1, 4, 1, 1, 2, 6, 0, 2, 0, 0, 0, 2, 0, 1, 0, 1, 0, 0, 1, 0, 0, 0, 0, 1</t>
  </si>
  <si>
    <t>24 hour plumber near me decatur</t>
  </si>
  <si>
    <t>0, 1, 1, 1, 1, 0, 1, 0, 0, 0, 0, 0, 0, 0, 0, 0, 0, 0, 0, 0, 0, 0, 0, 1</t>
  </si>
  <si>
    <t>plumber with camera snake near me</t>
  </si>
  <si>
    <t>0, 0, 0, 0, 1, 1, 0, 1, 0, 1, 1, 0, 0, 0, 0, 0, 0, 0, 0, 0, 0, 0, 0, 1</t>
  </si>
  <si>
    <t>plumber urgent near me</t>
  </si>
  <si>
    <t>0, 0, 0, 0, 0, 0, 0, 2, 0, 0, 0, 0, 0, 0, 0, 0, 0, 0, 0, 0, 11, 0, 0, 5</t>
  </si>
  <si>
    <t>plumber tools near me</t>
  </si>
  <si>
    <t>3, 0, 0, 1, 1, 0, 0, 0, 0, 0, 0, 0, 0, 2, 0, 3, 0, 0, 1, 0, 0, 0, 0, 1</t>
  </si>
  <si>
    <t>mt. washington plumber near me</t>
  </si>
  <si>
    <t>plumber near me manchester</t>
  </si>
  <si>
    <t>plumber near me sydney</t>
  </si>
  <si>
    <t>0, 0, 0, 0, 0, 0, 0, 2, 1, 1, 0, 4, 0, 0, 0, 0, 0, 0, 0, 0, 0, 0, 0, 1</t>
  </si>
  <si>
    <t>plumber needed near me</t>
  </si>
  <si>
    <t>1, 1, 0, 2, 0, 4, 3, 4, 3, 1, 0, 1, 2, 2, 3, 4, 2, 2, 3, 3, 5, 2, 3, 4</t>
  </si>
  <si>
    <t>highest rated plumber near me</t>
  </si>
  <si>
    <t>1, 0, 0, 0, 0, 1, 0, 0, 1, 0, 0, 1, 0, 0, 0, 0, 0, 1, 0, 0, 1, 0, 0, 1</t>
  </si>
  <si>
    <t>reliable plumber near me</t>
  </si>
  <si>
    <t>1, 3, 7, 2, 9, 3, 2, 6, 2, 3, 6, 1, 4, 1, 2, 1, 2, 3, 0, 1, 6, 2, 2, 4</t>
  </si>
  <si>
    <t>steve plumber near me</t>
  </si>
  <si>
    <t>0, 0, 1, 0, 0, 0, 1, 0, 0, 0, 0, 0, 0, 0, 0, 0, 1, 0, 0, 0, 0, 0, 0, 1</t>
  </si>
  <si>
    <t>clogged toilet plumber near me</t>
  </si>
  <si>
    <t>0, 2, 0, 1, 1, 0, 2, 1, 4, 4, 4, 1, 0, 0, 1, 0, 0, 0, 0, 0, 0, 0, 0, 1</t>
  </si>
  <si>
    <t>24/7 emergency plumber near me</t>
  </si>
  <si>
    <t>2, 0, 0, 0, 2, 2, 1, 2, 1, 2, 1, 0, 0, 0, 0, 0, 0, 0, 0, 0, 2, 0, 0, 1</t>
  </si>
  <si>
    <t>plumber near me deerfield beach</t>
  </si>
  <si>
    <t>plumber online near me</t>
  </si>
  <si>
    <t>2, 1, 1, 3, 0, 0, 1, 0, 0, 4, 0, 0, 1, 0, 1, 0, 0, 1, 0, 0, 0, 0, 0, 1</t>
  </si>
  <si>
    <t>best local plumber near me</t>
  </si>
  <si>
    <t>2, 0, 0, 0, 0, 2, 1, 0, 2, 2, 1, 0, 0, 0, 0, 0, 1, 0, 0, 0, 1, 0, 0, 1</t>
  </si>
  <si>
    <t>free quote plumber near me</t>
  </si>
  <si>
    <t>0, 0, 0, 2, 0, 1, 0, 0, 0, 1, 1, 0, 0, 1, 3, 1, 2, 0, 1, 0, 2, 1, 0, 2</t>
  </si>
  <si>
    <t>plumber near me mesa</t>
  </si>
  <si>
    <t>0, 0, 0, 0, 0, 0, 2, 2, 0, 0, 0, 0, 0, 0, 0, 0, 0, 0, 0, 0, 0, 0, 0, 1</t>
  </si>
  <si>
    <t>jims plumber near me</t>
  </si>
  <si>
    <t>0, 0, 0, 0, 0, 0, 0, 0, 1, 0, 0, 0, 0, 0, 0, 0, 0, 0, 0, 0, 0, 0, 0, 1</t>
  </si>
  <si>
    <t>plumber near me free estimate katy tx</t>
  </si>
  <si>
    <t>0, 0, 0, 0, 0, 0, 0, 1, 2, 0, 0, 0, 0, 0, 0, 0, 0, 0, 0, 0, 0, 0, 0, 1</t>
  </si>
  <si>
    <t>mike the plumber near me</t>
  </si>
  <si>
    <t>2, 0, 0, 1, 0, 0, 0, 0, 0, 1, 0, 1, 1, 0, 0, 0, 0, 0, 0, 0, 0, 0, 0, 1</t>
  </si>
  <si>
    <t>licenced plumber near me</t>
  </si>
  <si>
    <t>1, 0, 1, 2, 2, 1, 2, 5, 2, 1, 3, 1, 0, 0, 0, 0, 0, 3, 1, 0, 1, 0, 0, 1</t>
  </si>
  <si>
    <t>emergency plumber near me pooler ga</t>
  </si>
  <si>
    <t>garland tx plumber near me</t>
  </si>
  <si>
    <t>24 hour plumber service near me</t>
  </si>
  <si>
    <t>1, 0, 2, 0, 2, 1, 0, 3, 5, 2, 6, 2, 0, 0, 1, 2, 0, 1, 10, 0, 0, 3, 1, 2</t>
  </si>
  <si>
    <t>cheap plumber to unclog toilet near me</t>
  </si>
  <si>
    <t>0, 1, 1, 0, 0, 0, 0, 0, 0, 0, 0, 0, 0, 0, 0, 0, 2, 1, 0, 0, 0, 0, 0, 1</t>
  </si>
  <si>
    <t>tempe plumber near me</t>
  </si>
  <si>
    <t>0, 0, 0, 0, 1, 0, 0, 0, 0, 1, 0, 0, 0, 0, 0, 0, 0, 0, 0, 0, 0, 0, 0, 1</t>
  </si>
  <si>
    <t>reasonable plumber near me</t>
  </si>
  <si>
    <t>2, 0, 0, 0, 1, 4, 1, 1, 1, 0, 0, 1, 0, 0, 1, 2, 0, 0, 2, 0, 0, 0, 0, 1</t>
  </si>
  <si>
    <t>best residential plumber near me</t>
  </si>
  <si>
    <t>1, 0, 0, 1, 0, 0, 1, 1, 1, 0, 0, 0, 0, 0, 0, 0, 0, 0, 0, 0, 0, 0, 0, 1</t>
  </si>
  <si>
    <t>journeyman plumber jobs near me</t>
  </si>
  <si>
    <t>0, 0, 0, 0, 0, 0, 0, 0, 0, 0, 2, 1, 2, 0, 0, 1, 0, 1, 1, 1, 0, 3, 0, 2</t>
  </si>
  <si>
    <t>need a plumber near me</t>
  </si>
  <si>
    <t>1, 3, 7, 8, 3, 5, 7, 7, 5, 4, 9, 3, 2, 0, 1, 1, 6, 4, 1, 7, 1, 4, 1, 3</t>
  </si>
  <si>
    <t>plumber near me manassas va</t>
  </si>
  <si>
    <t>0, 1, 0, 1, 0, 0, 0, 0, 0, 0, 0, 0, 0, 0, 0, 0, 0, 0, 0, 0, 0, 0, 0, 1</t>
  </si>
  <si>
    <t>good plumber near me</t>
  </si>
  <si>
    <t>0, 6, 2, 6, 5, 0, 2, 3, 4, 2, 0, 6, 1, 2, 1, 6, 5, 5, 1, 3, 1, 6, 5, 5</t>
  </si>
  <si>
    <t>pipe plumber near me</t>
  </si>
  <si>
    <t>1, 0, 1, 0, 0, 0, 4, 0, 1, 1, 1, 0, 0, 0, 0, 5, 0, 0, 1, 0, 0, 1, 0, 1</t>
  </si>
  <si>
    <t>mobile home plumber near me</t>
  </si>
  <si>
    <t>0, 0, 1, 0, 0, 0, 0, 0, 0, 0, 0, 0, 0, 0, 0, 0, 0, 1, 0, 0, 0, 0, 0, 1</t>
  </si>
  <si>
    <t>ottawa plumber near me</t>
  </si>
  <si>
    <t>plumber near me north druid hills</t>
  </si>
  <si>
    <t>0, 0, 0, 0, 0, 1, 1, 1, 0, 0, 0, 0, 0, 0, 0, 0, 0, 0, 0, 0, 0, 0, 0, 1</t>
  </si>
  <si>
    <t>local plumber company near me</t>
  </si>
  <si>
    <t>0, 0, 0, 0, 0, 0, 0, 0, 0, 0, 0, 0, 0, 0, 0, 0, 0, 0, 1, 0, 0, 0, 0, 1</t>
  </si>
  <si>
    <t>247 plumber near me</t>
  </si>
  <si>
    <t>3, 3, 4, 5, 8, 6, 4, 7, 7, 6, 11, 3, 4, 5, 6, 1, 0, 1, 1, 1, 1, 4, 2, 1</t>
  </si>
  <si>
    <t>poquoson plumber near me</t>
  </si>
  <si>
    <t>plumber near me toilet</t>
  </si>
  <si>
    <t>1, 0, 0, 1, 1, 0, 0, 1, 0, 1, 2, 0, 1, 0, 0, 0, 0, 1, 0, 0, 1, 1, 2, 2</t>
  </si>
  <si>
    <t>electrician plumber near me</t>
  </si>
  <si>
    <t>3, 1, 4, 2, 2, 4, 0, 2, 1, 1, 2, 0, 0, 0, 1, 2, 1, 1, 1, 0, 2, 1, 2, 3</t>
  </si>
  <si>
    <t>plumber near me alpharetta</t>
  </si>
  <si>
    <t>0, 1, 0, 0, 0, 0, 1, 0, 0, 0, 0, 0, 0, 0, 0, 0, 0, 0, 0, 0, 0, 0, 0, 1</t>
  </si>
  <si>
    <t>plumber near me guildford</t>
  </si>
  <si>
    <t>quick plumber near me</t>
  </si>
  <si>
    <t>0, 1, 0, 1, 0, 2, 0, 0, 0, 0, 0, 1, 2, 1, 1, 1, 0, 0, 2, 0, 0, 1, 1, 1</t>
  </si>
  <si>
    <t>plumber near me 24 7</t>
  </si>
  <si>
    <t>0, 0, 1, 0, 0, 2, 0, 3, 1, 4, 3, 1, 3, 0, 0, 2, 1, 1, 0, 0, 0, 1, 0, 1</t>
  </si>
  <si>
    <t>toilet plumber near me</t>
  </si>
  <si>
    <t>6, 3, 4, 7, 5, 5, 3, 8, 8, 4, 5, 8, 6, 4, 4, 4, 2, 1, 3, 1, 1, 2, 3, 3</t>
  </si>
  <si>
    <t>plumber near me weldon spring</t>
  </si>
  <si>
    <t>0, 0, 0, 0, 0, 0, 0, 1, 0, 0, 0, 0, 0, 0, 0, 0, 0, 0, 0, 0, 0, 0, 0, 1</t>
  </si>
  <si>
    <t>plumber and heating engineer near me</t>
  </si>
  <si>
    <t>paul plumber near me</t>
  </si>
  <si>
    <t>1, 0, 2, 0, 0, 1, 0, 0, 0, 0, 2, 0, 1, 0, 0, 0, 0, 0, 0, 0, 0, 0, 0, 1</t>
  </si>
  <si>
    <t>gas hot water plumber near me</t>
  </si>
  <si>
    <t>plumber store near me open now</t>
  </si>
  <si>
    <t>0, 0, 0, 0, 1, 0, 0, 0, 0, 0, 0, 0, 0, 1, 0, 0, 0, 1, 0, 2, 0, 1, 0, 1</t>
  </si>
  <si>
    <t>roof plumber near me</t>
  </si>
  <si>
    <t>3, 1, 5, 1, 0, 1, 1, 2, 3, 0, 2, 7, 1, 1, 0, 0, 1, 3, 2, 0, 0, 2, 0, 1</t>
  </si>
  <si>
    <t>hot water heater plumber near me</t>
  </si>
  <si>
    <t>0, 1, 1, 4, 3, 0, 1, 1, 1, 0, 2, 0, 0, 0, 0, 0, 0, 0, 0, 0, 0, 0, 0, 1</t>
  </si>
  <si>
    <t>plumber near me near me santa rosa</t>
  </si>
  <si>
    <t>gas plumber near me atlanta</t>
  </si>
  <si>
    <t>0, 0, 1, 0, 0, 0, 0, 1, 0, 0, 0, 0, 0, 0, 0, 0, 0, 0, 0, 0, 0, 0, 0, 1</t>
  </si>
  <si>
    <t>plumber to replace toilet near me</t>
  </si>
  <si>
    <t>1, 0, 0, 0, 0, 0, 0, 0, 0, 0, 1, 2, 0, 0, 1, 0, 0, 0, 0, 0, 0, 0, 0, 1</t>
  </si>
  <si>
    <t>builder plumber near me</t>
  </si>
  <si>
    <t>1, 1, 1, 2, 0, 0, 3, 1, 0, 0, 0, 0, 0, 2, 0, 0, 0, 1, 0, 0, 0, 0, 0, 1</t>
  </si>
  <si>
    <t>plumber tape near me</t>
  </si>
  <si>
    <t>0, 0, 0, 0, 0, 0, 0, 0, 0, 1, 0, 0, 0, 0, 0, 0, 0, 0, 0, 0, 1, 0, 0, 1</t>
  </si>
  <si>
    <t>experienced plumber near me</t>
  </si>
  <si>
    <t>0, 0, 0, 0, 1, 0, 1, 0, 1, 0, 1, 1, 3, 0, 0, 0, 0, 0, 0, 0, 0, 0, 0, 1</t>
  </si>
  <si>
    <t>licensed plumber near me spring tx</t>
  </si>
  <si>
    <t>0, 0, 0, 1, 2, 3, 3, 1, 0, 0, 0, 0, 0, 0, 0, 0, 0, 0, 0, 0, 0, 0, 0, 1</t>
  </si>
  <si>
    <t>solar plumber near me</t>
  </si>
  <si>
    <t>5, 3, 4, 0, 1, 3, 2, 5, 0, 0, 0, 2, 3, 5, 3, 3, 3, 2, 3, 0, 1, 0, 1, 1</t>
  </si>
  <si>
    <t>plumber near me birmingham</t>
  </si>
  <si>
    <t>0, 1, 0, 0, 1, 1, 1, 0, 1, 0, 0, 0, 0, 0, 0, 0, 0, 0, 0, 0, 0, 0, 0, 1</t>
  </si>
  <si>
    <t>plumber wanted near me</t>
  </si>
  <si>
    <t>0, 0, 0, 0, 2, 0, 0, 0, 0, 0, 0, 8, 0, 0, 0, 0, 0, 0, 0, 1, 0, 0, 0, 1</t>
  </si>
  <si>
    <t>best price plumber near me</t>
  </si>
  <si>
    <t>1, 2, 0, 1, 0, 1, 0, 0, 0, 0, 2, 0, 0, 0, 0, 0, 0, 0, 0, 0, 0, 0, 0, 1</t>
  </si>
  <si>
    <t>french drain plumber near me</t>
  </si>
  <si>
    <t>honest plumber near me</t>
  </si>
  <si>
    <t>mobile plumber near me</t>
  </si>
  <si>
    <t>2, 10, 1, 2, 2, 6, 7, 5, 9, 9, 10, 8, 1, 4, 3, 3, 1, 2, 3, 0, 0, 3, 0, 2</t>
  </si>
  <si>
    <t>plumber center near me</t>
  </si>
  <si>
    <t>plumber near me wolverhampton</t>
  </si>
  <si>
    <t>plumber near me washing machine</t>
  </si>
  <si>
    <t>plumber repairs near me</t>
  </si>
  <si>
    <t>3, 1, 3, 3, 2, 3, 5, 3, 6, 10, 6, 6, 4, 0, 0, 0, 0, 0, 0, 0, 0, 0, 0, 1</t>
  </si>
  <si>
    <t>licensed plumber near me houston tx</t>
  </si>
  <si>
    <t>0, 2, 1, 0, 0, 0, 0, 0, 0, 1, 0, 0, 0, 0, 0, 0, 0, 0, 0, 0, 0, 0, 0, 1</t>
  </si>
  <si>
    <t>24-hour plumber near me</t>
  </si>
  <si>
    <t>0, 1, 0, 1, 0, 0, 0, 0, 2, 7, 2, 0, 0, 1, 0, 0, 1, 0, 0, 0, 1, 0, 0, 1</t>
  </si>
  <si>
    <t>toilet plumber near me katy tx</t>
  </si>
  <si>
    <t>0, 1, 0, 0, 0, 0, 0, 1, 1, 0, 0, 0, 0, 0, 0, 0, 0, 0, 0, 0, 0, 0, 0, 1</t>
  </si>
  <si>
    <t>plumber near me chicago</t>
  </si>
  <si>
    <t>0, 1, 0, 0, 0, 0, 1, 1, 0, 0, 0, 0, 0, 0, 0, 0, 0, 0, 0, 0, 0, 0, 0, 1</t>
  </si>
  <si>
    <t>reasonable price plumber near me</t>
  </si>
  <si>
    <t>24 hour plumber near me hinesville ga</t>
  </si>
  <si>
    <t>plumber near me west palm beach</t>
  </si>
  <si>
    <t>plumber near me copperton</t>
  </si>
  <si>
    <t>plumber snake drain near me</t>
  </si>
  <si>
    <t>plumber near me within 400m</t>
  </si>
  <si>
    <t>0, 1, 1, 2, 4, 1, 0, 3, 0, 0, 0, 1, 3, 1, 0, 1, 2, 0, 1, 2, 1, 0, 0, 1</t>
  </si>
  <si>
    <t>joe plumber near me</t>
  </si>
  <si>
    <t>0, 0, 0, 0, 0, 0, 0, 0, 0, 0, 0, 0, 0, 1, 2, 1, 0, 0, 0, 0, 0, 0, 0, 1</t>
  </si>
  <si>
    <t>plumber or electrician near me</t>
  </si>
  <si>
    <t>residential plumber near me</t>
  </si>
  <si>
    <t>8, 16, 9, 15, 18, 10, 7, 15, 11, 13, 11, 0, 0, 0, 1, 0, 1, 3, 1, 1, 1, 0, 0, 1</t>
  </si>
  <si>
    <t>plumber near me kent</t>
  </si>
  <si>
    <t>0, 0, 0, 1, 0, 0, 1, 0, 1, 0, 0, 0, 0, 0, 0, 0, 0, 2, 0, 0, 0, 0, 0, 1</t>
  </si>
  <si>
    <t>plumber near me morningside-lenox park</t>
  </si>
  <si>
    <t>0, 0, 0, 0, 0, 0, 0, 0, 1, 1, 1, 0, 0, 0, 0, 0, 0, 0, 0, 0, 0, 0, 0, 1</t>
  </si>
  <si>
    <t>plumber and heating near me</t>
  </si>
  <si>
    <t>1, 0, 1, 1, 2, 1, 3, 3, 6, 1, 2, 1, 0, 0, 0, 0, 0, 0, 0, 0, 1, 1, 0, 2</t>
  </si>
  <si>
    <t>residential plumber companies near me</t>
  </si>
  <si>
    <t>0, 0, 0, 1, 0, 0, 0, 0, 0, 0, 0, 0, 0, 0, 0, 0, 1, 0, 0, 0, 0, 0, 0, 1</t>
  </si>
  <si>
    <t>general plumber near me</t>
  </si>
  <si>
    <t>0, 1, 4, 2, 0, 1, 0, 6, 3, 4, 1, 0, 0, 0, 0, 0, 1, 0, 0, 1, 1, 1, 0, 2</t>
  </si>
  <si>
    <t>plumber helper jobs near me</t>
  </si>
  <si>
    <t>0, 2, 1, 0, 0, 0, 0, 0, 0, 0, 0, 0, 0, 0, 0, 0, 0, 0, 0, 0, 0, 0, 0, 1</t>
  </si>
  <si>
    <t>thumbtack plumber near me</t>
  </si>
  <si>
    <t>hampton plumber near me</t>
  </si>
  <si>
    <t>plumber near me tempe</t>
  </si>
  <si>
    <t>martin plumber near me</t>
  </si>
  <si>
    <t>0, 0, 0, 0, 0, 2, 1, 0, 0, 1, 0, 0, 0, 0, 0, 0, 0, 0, 0, 0, 0, 0, 0, 1</t>
  </si>
  <si>
    <t>emergency plumber near me keller</t>
  </si>
  <si>
    <t>0, 0, 0, 0, 0, 0, 0, 0, 0, 1, 0, 4, 0, 0, 0, 0, 0, 0, 0, 0, 0, 0, 0, 1</t>
  </si>
  <si>
    <t>plumber near me vadodara</t>
  </si>
  <si>
    <t>plumber man near me</t>
  </si>
  <si>
    <t>0, 0, 0, 0, 0, 0, 2, 0, 0, 0, 0, 4, 1, 0, 0, 1, 0, 0, 0, 0, 0, 1, 0, 1</t>
  </si>
  <si>
    <t>plumber near me lawrenceville</t>
  </si>
  <si>
    <t>1, 0, 0, 0, 0, 2, 1, 0, 0, 1, 1, 0, 0, 1, 0, 0, 0, 0, 0, 0, 0, 0, 0, 1</t>
  </si>
  <si>
    <t>24 hr plumber near me</t>
  </si>
  <si>
    <t>6, 9, 4, 7, 4, 5, 6, 9, 10, 8, 15, 3, 3, 0, 1, 3, 1, 0, 0, 0, 0, 3, 1, 2</t>
  </si>
  <si>
    <t>plumber near me johns creek</t>
  </si>
  <si>
    <t>1, 1, 0, 0, 1, 2, 0, 3, 2, 0, 0, 0, 0, 0, 0, 0, 0, 0, 0, 0, 0, 0, 0, 1</t>
  </si>
  <si>
    <t>gas plumber near me prices</t>
  </si>
  <si>
    <t>0, 0, 0, 0, 1, 3, 2, 0, 0, 0, 0, 0, 0, 0, 3, 0, 0, 0, 0, 1, 0, 0, 0, 1</t>
  </si>
  <si>
    <t>plumber to fit outside tap near me</t>
  </si>
  <si>
    <t>0, 0, 2, 0, 0, 1, 2, 1, 1, 0, 1, 1, 0, 0, 0, 0, 0, 0, 0, 0, 0, 0, 0, 1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</si>
</sst>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3" t="s">
        <v>20</v>
      </c>
      <c r="C1" s="3" t="s">
        <v>23</v>
      </c>
      <c r="D1" s="3" t="s">
        <v>25</v>
      </c>
      <c r="E1" s="3" t="s">
        <v>26</v>
      </c>
      <c r="F1" s="3" t="s">
        <v>31</v>
      </c>
      <c r="G1" s="3" t="s">
        <v>36</v>
      </c>
      <c r="H1" s="3" t="s">
        <v>37</v>
      </c>
      <c r="I1" s="3" t="s">
        <v>19</v>
      </c>
      <c r="J1" s="3" t="s">
        <v>42</v>
      </c>
      <c r="K1" s="3" t="s">
        <v>43</v>
      </c>
      <c r="L1" s="6" t="s">
        <v>49</v>
      </c>
      <c r="M1" s="7"/>
      <c r="N1" s="3" t="s">
        <v>20</v>
      </c>
      <c r="O1" s="3" t="s">
        <v>23</v>
      </c>
      <c r="P1" s="3" t="s">
        <v>25</v>
      </c>
      <c r="Q1" s="3" t="s">
        <v>26</v>
      </c>
      <c r="R1" s="3" t="s">
        <v>31</v>
      </c>
      <c r="S1" s="3" t="s">
        <v>36</v>
      </c>
      <c r="T1" s="3" t="s">
        <v>37</v>
      </c>
      <c r="U1" s="3" t="s">
        <v>19</v>
      </c>
      <c r="V1" s="3" t="s">
        <v>42</v>
      </c>
      <c r="W1" s="3" t="s">
        <v>43</v>
      </c>
      <c r="X1" s="8" t="s">
        <v>81</v>
      </c>
      <c r="Y1" s="9"/>
      <c r="Z1" s="9"/>
    </row>
    <row r="2">
      <c r="A2" s="10" t="s">
        <v>91</v>
      </c>
      <c r="B2" s="11" t="s">
        <v>96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113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133</v>
      </c>
      <c r="B3" s="16" t="str">
        <f t="shared" ref="B3:K3" si="1">IF($A3="","",IF(OR(ISNUMBER(SEARCH(LOWER($A3),LOWER(B$1))),AND(RIGHT(LOWER($A3),1)="s",ISNUMBER(SEARCH(LEFT(LOWER($A3),LEN($A3)-1),LOWER(B$1))))),B$1,B$1&amp;" "&amp;$A3))</f>
        <v>plumbers cape town best</v>
      </c>
      <c r="C3" s="16" t="str">
        <f t="shared" si="1"/>
        <v>plumbing company cape town best</v>
      </c>
      <c r="D3" s="16" t="str">
        <f t="shared" si="1"/>
        <v>emergency plumber cape town best</v>
      </c>
      <c r="E3" s="16" t="str">
        <f t="shared" si="1"/>
        <v>drain surgeon cape town best</v>
      </c>
      <c r="F3" s="16" t="str">
        <f t="shared" si="1"/>
        <v>absolute plumbing cape town best</v>
      </c>
      <c r="G3" s="16" t="str">
        <f t="shared" si="1"/>
        <v>schmidhauser plumbing best</v>
      </c>
      <c r="H3" s="16" t="str">
        <f t="shared" si="1"/>
        <v>bosman plumbers best</v>
      </c>
      <c r="I3" s="16" t="str">
        <f t="shared" si="1"/>
        <v>plumber near me best</v>
      </c>
      <c r="J3" s="16" t="str">
        <f t="shared" si="1"/>
        <v>electrician cape town best</v>
      </c>
      <c r="K3" s="16" t="str">
        <f t="shared" si="1"/>
        <v>aircon repair cape town best</v>
      </c>
      <c r="L3" s="17" t="str">
        <f>IFERROR(__xludf.DUMMYFUNCTION("SORT(UNIQUE(FILTER(FLATTEN(B3:K82),FLATTEN(B3:K82)&lt;&gt;"""")))"),"absolute plumbing cape town 24 hour")</f>
        <v>absolute plumbing cape town 24 hour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best plumbers cape town</v>
      </c>
      <c r="O3" s="16" t="str">
        <f t="shared" si="2"/>
        <v>best plumbing company cape town</v>
      </c>
      <c r="P3" s="16" t="str">
        <f t="shared" si="2"/>
        <v>best emergency plumber cape town</v>
      </c>
      <c r="Q3" s="16" t="str">
        <f t="shared" si="2"/>
        <v>best drain surgeon cape town</v>
      </c>
      <c r="R3" s="16" t="str">
        <f t="shared" si="2"/>
        <v>best absolute plumbing cape town</v>
      </c>
      <c r="S3" s="16" t="str">
        <f t="shared" si="2"/>
        <v>best schmidhauser plumbing</v>
      </c>
      <c r="T3" s="16" t="str">
        <f t="shared" si="2"/>
        <v>best bosman plumbers</v>
      </c>
      <c r="U3" s="16" t="str">
        <f t="shared" si="2"/>
        <v>best plumber near me</v>
      </c>
      <c r="V3" s="16" t="str">
        <f t="shared" si="2"/>
        <v>best electrician cape town</v>
      </c>
      <c r="W3" s="16" t="str">
        <f t="shared" si="2"/>
        <v>best aircon repair cape town</v>
      </c>
      <c r="X3" s="19" t="str">
        <f>IFERROR(__xludf.DUMMYFUNCTION("SORT(UNIQUE(FILTER(FLATTEN(N3:W82),FLATTEN(N3:W82)&lt;&gt;"""")))"),"24 hour absolute plumbing cape town")</f>
        <v>24 hour absolute plumbing cape town</v>
      </c>
      <c r="Y3" s="9"/>
      <c r="Z3" s="9"/>
    </row>
    <row r="4">
      <c r="A4" s="15" t="s">
        <v>290</v>
      </c>
      <c r="B4" s="16" t="str">
        <f t="shared" ref="B4:K4" si="3">IF($A4="","",IF(OR(ISNUMBER(SEARCH(LOWER($A4),LOWER(B$1))),AND(RIGHT(LOWER($A4),1)="s",ISNUMBER(SEARCH(LEFT(LOWER($A4),LEN($A4)-1),LOWER(B$1))))),B$1,B$1&amp;" "&amp;$A4))</f>
        <v>plumbers cape town top rated</v>
      </c>
      <c r="C4" s="16" t="str">
        <f t="shared" si="3"/>
        <v>plumbing company cape town top rated</v>
      </c>
      <c r="D4" s="16" t="str">
        <f t="shared" si="3"/>
        <v>emergency plumber cape town top rated</v>
      </c>
      <c r="E4" s="16" t="str">
        <f t="shared" si="3"/>
        <v>drain surgeon cape town top rated</v>
      </c>
      <c r="F4" s="16" t="str">
        <f t="shared" si="3"/>
        <v>absolute plumbing cape town top rated</v>
      </c>
      <c r="G4" s="16" t="str">
        <f t="shared" si="3"/>
        <v>schmidhauser plumbing top rated</v>
      </c>
      <c r="H4" s="16" t="str">
        <f t="shared" si="3"/>
        <v>bosman plumbers top rated</v>
      </c>
      <c r="I4" s="16" t="str">
        <f t="shared" si="3"/>
        <v>plumber near me top rated</v>
      </c>
      <c r="J4" s="16" t="str">
        <f t="shared" si="3"/>
        <v>electrician cape town top rated</v>
      </c>
      <c r="K4" s="16" t="str">
        <f t="shared" si="3"/>
        <v>aircon repair cape town top rated</v>
      </c>
      <c r="L4" s="17" t="str">
        <f>IFERROR(__xludf.DUMMYFUNCTION("""COMPUTED_VALUE"""),"absolute plumbing cape town affordable")</f>
        <v>absolute plumbing cape town affordable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top rated plumbers cape town</v>
      </c>
      <c r="O4" s="16" t="str">
        <f t="shared" si="4"/>
        <v>top rated plumbing company cape town</v>
      </c>
      <c r="P4" s="16" t="str">
        <f t="shared" si="4"/>
        <v>top rated emergency plumber cape town</v>
      </c>
      <c r="Q4" s="16" t="str">
        <f t="shared" si="4"/>
        <v>top rated drain surgeon cape town</v>
      </c>
      <c r="R4" s="16" t="str">
        <f t="shared" si="4"/>
        <v>top rated absolute plumbing cape town</v>
      </c>
      <c r="S4" s="16" t="str">
        <f t="shared" si="4"/>
        <v>top rated schmidhauser plumbing</v>
      </c>
      <c r="T4" s="16" t="str">
        <f t="shared" si="4"/>
        <v>top rated bosman plumbers</v>
      </c>
      <c r="U4" s="16" t="str">
        <f t="shared" si="4"/>
        <v>top rated plumber near me</v>
      </c>
      <c r="V4" s="16" t="str">
        <f t="shared" si="4"/>
        <v>top rated electrician cape town</v>
      </c>
      <c r="W4" s="16" t="str">
        <f t="shared" si="4"/>
        <v>top rated aircon repair cape town</v>
      </c>
      <c r="X4" s="19" t="str">
        <f>IFERROR(__xludf.DUMMYFUNCTION("""COMPUTED_VALUE"""),"24 hour aircon repair cape town")</f>
        <v>24 hour aircon repair cape town</v>
      </c>
      <c r="Y4" s="9"/>
      <c r="Z4" s="9"/>
    </row>
    <row r="5">
      <c r="A5" s="15" t="s">
        <v>371</v>
      </c>
      <c r="B5" s="16" t="str">
        <f t="shared" ref="B5:K5" si="5">IF($A5="","",IF(OR(ISNUMBER(SEARCH(LOWER($A5),LOWER(B$1))),AND(RIGHT(LOWER($A5),1)="s",ISNUMBER(SEARCH(LEFT(LOWER($A5),LEN($A5)-1),LOWER(B$1))))),B$1,B$1&amp;" "&amp;$A5))</f>
        <v>plumbers cape town reviews</v>
      </c>
      <c r="C5" s="16" t="str">
        <f t="shared" si="5"/>
        <v>plumbing company cape town reviews</v>
      </c>
      <c r="D5" s="16" t="str">
        <f t="shared" si="5"/>
        <v>emergency plumber cape town reviews</v>
      </c>
      <c r="E5" s="16" t="str">
        <f t="shared" si="5"/>
        <v>drain surgeon cape town reviews</v>
      </c>
      <c r="F5" s="16" t="str">
        <f t="shared" si="5"/>
        <v>absolute plumbing cape town reviews</v>
      </c>
      <c r="G5" s="16" t="str">
        <f t="shared" si="5"/>
        <v>schmidhauser plumbing reviews</v>
      </c>
      <c r="H5" s="16" t="str">
        <f t="shared" si="5"/>
        <v>bosman plumbers reviews</v>
      </c>
      <c r="I5" s="16" t="str">
        <f t="shared" si="5"/>
        <v>plumber near me reviews</v>
      </c>
      <c r="J5" s="16" t="str">
        <f t="shared" si="5"/>
        <v>electrician cape town reviews</v>
      </c>
      <c r="K5" s="16" t="str">
        <f t="shared" si="5"/>
        <v>aircon repair cape town reviews</v>
      </c>
      <c r="L5" s="17" t="str">
        <f>IFERROR(__xludf.DUMMYFUNCTION("""COMPUTED_VALUE"""),"absolute plumbing cape town alternatives")</f>
        <v>absolute plumbing cape town alternatives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reviews plumbers cape town</v>
      </c>
      <c r="O5" s="16" t="str">
        <f t="shared" si="6"/>
        <v>reviews plumbing company cape town</v>
      </c>
      <c r="P5" s="16" t="str">
        <f t="shared" si="6"/>
        <v>reviews emergency plumber cape town</v>
      </c>
      <c r="Q5" s="16" t="str">
        <f t="shared" si="6"/>
        <v>reviews drain surgeon cape town</v>
      </c>
      <c r="R5" s="16" t="str">
        <f t="shared" si="6"/>
        <v>reviews absolute plumbing cape town</v>
      </c>
      <c r="S5" s="16" t="str">
        <f t="shared" si="6"/>
        <v>reviews schmidhauser plumbing</v>
      </c>
      <c r="T5" s="16" t="str">
        <f t="shared" si="6"/>
        <v>reviews bosman plumbers</v>
      </c>
      <c r="U5" s="16" t="str">
        <f t="shared" si="6"/>
        <v>reviews plumber near me</v>
      </c>
      <c r="V5" s="16" t="str">
        <f t="shared" si="6"/>
        <v>reviews electrician cape town</v>
      </c>
      <c r="W5" s="16" t="str">
        <f t="shared" si="6"/>
        <v>reviews aircon repair cape town</v>
      </c>
      <c r="X5" s="19" t="str">
        <f>IFERROR(__xludf.DUMMYFUNCTION("""COMPUTED_VALUE"""),"24 hour bosman plumbers")</f>
        <v>24 hour bosman plumbers</v>
      </c>
      <c r="Y5" s="9"/>
      <c r="Z5" s="9"/>
    </row>
    <row r="6">
      <c r="A6" s="15" t="s">
        <v>463</v>
      </c>
      <c r="B6" s="16" t="str">
        <f t="shared" ref="B6:K6" si="7">IF($A6="","",IF(OR(ISNUMBER(SEARCH(LOWER($A6),LOWER(B$1))),AND(RIGHT(LOWER($A6),1)="s",ISNUMBER(SEARCH(LEFT(LOWER($A6),LEN($A6)-1),LOWER(B$1))))),B$1,B$1&amp;" "&amp;$A6))</f>
        <v>plumbers cape town review</v>
      </c>
      <c r="C6" s="16" t="str">
        <f t="shared" si="7"/>
        <v>plumbing company cape town review</v>
      </c>
      <c r="D6" s="16" t="str">
        <f t="shared" si="7"/>
        <v>emergency plumber cape town review</v>
      </c>
      <c r="E6" s="16" t="str">
        <f t="shared" si="7"/>
        <v>drain surgeon cape town review</v>
      </c>
      <c r="F6" s="16" t="str">
        <f t="shared" si="7"/>
        <v>absolute plumbing cape town review</v>
      </c>
      <c r="G6" s="16" t="str">
        <f t="shared" si="7"/>
        <v>schmidhauser plumbing review</v>
      </c>
      <c r="H6" s="16" t="str">
        <f t="shared" si="7"/>
        <v>bosman plumbers review</v>
      </c>
      <c r="I6" s="16" t="str">
        <f t="shared" si="7"/>
        <v>plumber near me review</v>
      </c>
      <c r="J6" s="16" t="str">
        <f t="shared" si="7"/>
        <v>electrician cape town review</v>
      </c>
      <c r="K6" s="16" t="str">
        <f t="shared" si="7"/>
        <v>aircon repair cape town review</v>
      </c>
      <c r="L6" s="17" t="str">
        <f>IFERROR(__xludf.DUMMYFUNCTION("""COMPUTED_VALUE"""),"absolute plumbing cape town best")</f>
        <v>absolute plumbing cape town best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review plumbers cape town</v>
      </c>
      <c r="O6" s="16" t="str">
        <f t="shared" si="8"/>
        <v>review plumbing company cape town</v>
      </c>
      <c r="P6" s="16" t="str">
        <f t="shared" si="8"/>
        <v>review emergency plumber cape town</v>
      </c>
      <c r="Q6" s="16" t="str">
        <f t="shared" si="8"/>
        <v>review drain surgeon cape town</v>
      </c>
      <c r="R6" s="16" t="str">
        <f t="shared" si="8"/>
        <v>review absolute plumbing cape town</v>
      </c>
      <c r="S6" s="16" t="str">
        <f t="shared" si="8"/>
        <v>review schmidhauser plumbing</v>
      </c>
      <c r="T6" s="16" t="str">
        <f t="shared" si="8"/>
        <v>review bosman plumbers</v>
      </c>
      <c r="U6" s="16" t="str">
        <f t="shared" si="8"/>
        <v>review plumber near me</v>
      </c>
      <c r="V6" s="16" t="str">
        <f t="shared" si="8"/>
        <v>review electrician cape town</v>
      </c>
      <c r="W6" s="16" t="str">
        <f t="shared" si="8"/>
        <v>review aircon repair cape town</v>
      </c>
      <c r="X6" s="19" t="str">
        <f>IFERROR(__xludf.DUMMYFUNCTION("""COMPUTED_VALUE"""),"24 hour drain surgeon cape town")</f>
        <v>24 hour drain surgeon cape town</v>
      </c>
      <c r="Y6" s="9"/>
      <c r="Z6" s="9"/>
    </row>
    <row r="7">
      <c r="A7" s="15" t="s">
        <v>560</v>
      </c>
      <c r="B7" s="16" t="str">
        <f t="shared" ref="B7:K7" si="9">IF($A7="","",IF(OR(ISNUMBER(SEARCH(LOWER($A7),LOWER(B$1))),AND(RIGHT(LOWER($A7),1)="s",ISNUMBER(SEARCH(LEFT(LOWER($A7),LEN($A7)-1),LOWER(B$1))))),B$1,B$1&amp;" "&amp;$A7))</f>
        <v>plumbers cape town reliable</v>
      </c>
      <c r="C7" s="16" t="str">
        <f t="shared" si="9"/>
        <v>plumbing company cape town reliable</v>
      </c>
      <c r="D7" s="16" t="str">
        <f t="shared" si="9"/>
        <v>emergency plumber cape town reliable</v>
      </c>
      <c r="E7" s="16" t="str">
        <f t="shared" si="9"/>
        <v>drain surgeon cape town reliable</v>
      </c>
      <c r="F7" s="16" t="str">
        <f t="shared" si="9"/>
        <v>absolute plumbing cape town reliable</v>
      </c>
      <c r="G7" s="16" t="str">
        <f t="shared" si="9"/>
        <v>schmidhauser plumbing reliable</v>
      </c>
      <c r="H7" s="16" t="str">
        <f t="shared" si="9"/>
        <v>bosman plumbers reliable</v>
      </c>
      <c r="I7" s="16" t="str">
        <f t="shared" si="9"/>
        <v>plumber near me reliable</v>
      </c>
      <c r="J7" s="16" t="str">
        <f t="shared" si="9"/>
        <v>electrician cape town reliable</v>
      </c>
      <c r="K7" s="16" t="str">
        <f t="shared" si="9"/>
        <v>aircon repair cape town reliable</v>
      </c>
      <c r="L7" s="17" t="str">
        <f>IFERROR(__xludf.DUMMYFUNCTION("""COMPUTED_VALUE"""),"absolute plumbing cape town certified")</f>
        <v>absolute plumbing cape town certified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reliable plumbers cape town</v>
      </c>
      <c r="O7" s="16" t="str">
        <f t="shared" si="10"/>
        <v>reliable plumbing company cape town</v>
      </c>
      <c r="P7" s="16" t="str">
        <f t="shared" si="10"/>
        <v>reliable emergency plumber cape town</v>
      </c>
      <c r="Q7" s="16" t="str">
        <f t="shared" si="10"/>
        <v>reliable drain surgeon cape town</v>
      </c>
      <c r="R7" s="16" t="str">
        <f t="shared" si="10"/>
        <v>reliable absolute plumbing cape town</v>
      </c>
      <c r="S7" s="16" t="str">
        <f t="shared" si="10"/>
        <v>reliable schmidhauser plumbing</v>
      </c>
      <c r="T7" s="16" t="str">
        <f t="shared" si="10"/>
        <v>reliable bosman plumbers</v>
      </c>
      <c r="U7" s="16" t="str">
        <f t="shared" si="10"/>
        <v>reliable plumber near me</v>
      </c>
      <c r="V7" s="16" t="str">
        <f t="shared" si="10"/>
        <v>reliable electrician cape town</v>
      </c>
      <c r="W7" s="16" t="str">
        <f t="shared" si="10"/>
        <v>reliable aircon repair cape town</v>
      </c>
      <c r="X7" s="19" t="str">
        <f>IFERROR(__xludf.DUMMYFUNCTION("""COMPUTED_VALUE"""),"24 hour electrician cape town")</f>
        <v>24 hour electrician cape town</v>
      </c>
      <c r="Y7" s="9"/>
      <c r="Z7" s="9"/>
    </row>
    <row r="8">
      <c r="A8" s="15" t="s">
        <v>645</v>
      </c>
      <c r="B8" s="16" t="str">
        <f t="shared" ref="B8:K8" si="11">IF($A8="","",IF(OR(ISNUMBER(SEARCH(LOWER($A8),LOWER(B$1))),AND(RIGHT(LOWER($A8),1)="s",ISNUMBER(SEARCH(LEFT(LOWER($A8),LEN($A8)-1),LOWER(B$1))))),B$1,B$1&amp;" "&amp;$A8))</f>
        <v>plumbers cape town trusted</v>
      </c>
      <c r="C8" s="16" t="str">
        <f t="shared" si="11"/>
        <v>plumbing company cape town trusted</v>
      </c>
      <c r="D8" s="16" t="str">
        <f t="shared" si="11"/>
        <v>emergency plumber cape town trusted</v>
      </c>
      <c r="E8" s="16" t="str">
        <f t="shared" si="11"/>
        <v>drain surgeon cape town trusted</v>
      </c>
      <c r="F8" s="16" t="str">
        <f t="shared" si="11"/>
        <v>absolute plumbing cape town trusted</v>
      </c>
      <c r="G8" s="16" t="str">
        <f t="shared" si="11"/>
        <v>schmidhauser plumbing trusted</v>
      </c>
      <c r="H8" s="16" t="str">
        <f t="shared" si="11"/>
        <v>bosman plumbers trusted</v>
      </c>
      <c r="I8" s="16" t="str">
        <f t="shared" si="11"/>
        <v>plumber near me trusted</v>
      </c>
      <c r="J8" s="16" t="str">
        <f t="shared" si="11"/>
        <v>electrician cape town trusted</v>
      </c>
      <c r="K8" s="16" t="str">
        <f t="shared" si="11"/>
        <v>aircon repair cape town trusted</v>
      </c>
      <c r="L8" s="17" t="str">
        <f>IFERROR(__xludf.DUMMYFUNCTION("""COMPUTED_VALUE"""),"absolute plumbing cape town compare")</f>
        <v>absolute plumbing cape town compare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trusted plumbers cape town</v>
      </c>
      <c r="O8" s="16" t="str">
        <f t="shared" si="12"/>
        <v>trusted plumbing company cape town</v>
      </c>
      <c r="P8" s="16" t="str">
        <f t="shared" si="12"/>
        <v>trusted emergency plumber cape town</v>
      </c>
      <c r="Q8" s="16" t="str">
        <f t="shared" si="12"/>
        <v>trusted drain surgeon cape town</v>
      </c>
      <c r="R8" s="16" t="str">
        <f t="shared" si="12"/>
        <v>trusted absolute plumbing cape town</v>
      </c>
      <c r="S8" s="16" t="str">
        <f t="shared" si="12"/>
        <v>trusted schmidhauser plumbing</v>
      </c>
      <c r="T8" s="16" t="str">
        <f t="shared" si="12"/>
        <v>trusted bosman plumbers</v>
      </c>
      <c r="U8" s="16" t="str">
        <f t="shared" si="12"/>
        <v>trusted plumber near me</v>
      </c>
      <c r="V8" s="16" t="str">
        <f t="shared" si="12"/>
        <v>trusted electrician cape town</v>
      </c>
      <c r="W8" s="16" t="str">
        <f t="shared" si="12"/>
        <v>trusted aircon repair cape town</v>
      </c>
      <c r="X8" s="19" t="str">
        <f>IFERROR(__xludf.DUMMYFUNCTION("""COMPUTED_VALUE"""),"24 hour emergency plumber cape town")</f>
        <v>24 hour emergency plumber cape town</v>
      </c>
      <c r="Y8" s="9"/>
      <c r="Z8" s="9"/>
    </row>
    <row r="9">
      <c r="A9" s="15" t="s">
        <v>711</v>
      </c>
      <c r="B9" s="16" t="str">
        <f t="shared" ref="B9:K9" si="13">IF($A9="","",IF(OR(ISNUMBER(SEARCH(LOWER($A9),LOWER(B$1))),AND(RIGHT(LOWER($A9),1)="s",ISNUMBER(SEARCH(LEFT(LOWER($A9),LEN($A9)-1),LOWER(B$1))))),B$1,B$1&amp;" "&amp;$A9))</f>
        <v>plumbers cape town reputable</v>
      </c>
      <c r="C9" s="16" t="str">
        <f t="shared" si="13"/>
        <v>plumbing company cape town reputable</v>
      </c>
      <c r="D9" s="16" t="str">
        <f t="shared" si="13"/>
        <v>emergency plumber cape town reputable</v>
      </c>
      <c r="E9" s="16" t="str">
        <f t="shared" si="13"/>
        <v>drain surgeon cape town reputable</v>
      </c>
      <c r="F9" s="16" t="str">
        <f t="shared" si="13"/>
        <v>absolute plumbing cape town reputable</v>
      </c>
      <c r="G9" s="16" t="str">
        <f t="shared" si="13"/>
        <v>schmidhauser plumbing reputable</v>
      </c>
      <c r="H9" s="16" t="str">
        <f t="shared" si="13"/>
        <v>bosman plumbers reputable</v>
      </c>
      <c r="I9" s="16" t="str">
        <f t="shared" si="13"/>
        <v>plumber near me reputable</v>
      </c>
      <c r="J9" s="16" t="str">
        <f t="shared" si="13"/>
        <v>electrician cape town reputable</v>
      </c>
      <c r="K9" s="16" t="str">
        <f t="shared" si="13"/>
        <v>aircon repair cape town reputable</v>
      </c>
      <c r="L9" s="17" t="str">
        <f>IFERROR(__xludf.DUMMYFUNCTION("""COMPUTED_VALUE"""),"absolute plumbing cape town complaints")</f>
        <v>absolute plumbing cape town complaints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reputable plumbers cape town</v>
      </c>
      <c r="O9" s="16" t="str">
        <f t="shared" si="14"/>
        <v>reputable plumbing company cape town</v>
      </c>
      <c r="P9" s="16" t="str">
        <f t="shared" si="14"/>
        <v>reputable emergency plumber cape town</v>
      </c>
      <c r="Q9" s="16" t="str">
        <f t="shared" si="14"/>
        <v>reputable drain surgeon cape town</v>
      </c>
      <c r="R9" s="16" t="str">
        <f t="shared" si="14"/>
        <v>reputable absolute plumbing cape town</v>
      </c>
      <c r="S9" s="16" t="str">
        <f t="shared" si="14"/>
        <v>reputable schmidhauser plumbing</v>
      </c>
      <c r="T9" s="16" t="str">
        <f t="shared" si="14"/>
        <v>reputable bosman plumbers</v>
      </c>
      <c r="U9" s="16" t="str">
        <f t="shared" si="14"/>
        <v>reputable plumber near me</v>
      </c>
      <c r="V9" s="16" t="str">
        <f t="shared" si="14"/>
        <v>reputable electrician cape town</v>
      </c>
      <c r="W9" s="16" t="str">
        <f t="shared" si="14"/>
        <v>reputable aircon repair cape town</v>
      </c>
      <c r="X9" s="19" t="str">
        <f>IFERROR(__xludf.DUMMYFUNCTION("""COMPUTED_VALUE"""),"24 hour plumber near me")</f>
        <v>24 hour plumber near me</v>
      </c>
      <c r="Y9" s="9"/>
      <c r="Z9" s="9"/>
    </row>
    <row r="10">
      <c r="A10" s="15" t="s">
        <v>780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plumbers cape town affordable</v>
      </c>
      <c r="C10" s="16" t="str">
        <f t="shared" si="15"/>
        <v>plumbing company cape town affordable</v>
      </c>
      <c r="D10" s="16" t="str">
        <f t="shared" si="15"/>
        <v>emergency plumber cape town affordable</v>
      </c>
      <c r="E10" s="16" t="str">
        <f t="shared" si="15"/>
        <v>drain surgeon cape town affordable</v>
      </c>
      <c r="F10" s="16" t="str">
        <f t="shared" si="15"/>
        <v>absolute plumbing cape town affordable</v>
      </c>
      <c r="G10" s="16" t="str">
        <f t="shared" si="15"/>
        <v>schmidhauser plumbing affordable</v>
      </c>
      <c r="H10" s="16" t="str">
        <f t="shared" si="15"/>
        <v>bosman plumbers affordable</v>
      </c>
      <c r="I10" s="16" t="str">
        <f t="shared" si="15"/>
        <v>plumber near me affordable</v>
      </c>
      <c r="J10" s="16" t="str">
        <f t="shared" si="15"/>
        <v>electrician cape town affordable</v>
      </c>
      <c r="K10" s="16" t="str">
        <f t="shared" si="15"/>
        <v>aircon repair cape town affordable</v>
      </c>
      <c r="L10" s="17" t="str">
        <f>IFERROR(__xludf.DUMMYFUNCTION("""COMPUTED_VALUE"""),"absolute plumbing cape town cost")</f>
        <v>absolute plumbing cape town cost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affordable plumbers cape town</v>
      </c>
      <c r="O10" s="16" t="str">
        <f t="shared" si="16"/>
        <v>affordable plumbing company cape town</v>
      </c>
      <c r="P10" s="16" t="str">
        <f t="shared" si="16"/>
        <v>affordable emergency plumber cape town</v>
      </c>
      <c r="Q10" s="16" t="str">
        <f t="shared" si="16"/>
        <v>affordable drain surgeon cape town</v>
      </c>
      <c r="R10" s="16" t="str">
        <f t="shared" si="16"/>
        <v>affordable absolute plumbing cape town</v>
      </c>
      <c r="S10" s="16" t="str">
        <f t="shared" si="16"/>
        <v>affordable schmidhauser plumbing</v>
      </c>
      <c r="T10" s="16" t="str">
        <f t="shared" si="16"/>
        <v>affordable bosman plumbers</v>
      </c>
      <c r="U10" s="16" t="str">
        <f t="shared" si="16"/>
        <v>affordable plumber near me</v>
      </c>
      <c r="V10" s="16" t="str">
        <f t="shared" si="16"/>
        <v>affordable electrician cape town</v>
      </c>
      <c r="W10" s="16" t="str">
        <f t="shared" si="16"/>
        <v>affordable aircon repair cape town</v>
      </c>
      <c r="X10" s="19" t="str">
        <f>IFERROR(__xludf.DUMMYFUNCTION("""COMPUTED_VALUE"""),"24 hour plumbers cape town")</f>
        <v>24 hour plumbers cape town</v>
      </c>
      <c r="Y10" s="9"/>
      <c r="Z10" s="9"/>
    </row>
    <row r="11">
      <c r="A11" s="15" t="s">
        <v>857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plumbers cape town prices</v>
      </c>
      <c r="C11" s="16" t="str">
        <f t="shared" si="17"/>
        <v>plumbing company cape town prices</v>
      </c>
      <c r="D11" s="16" t="str">
        <f t="shared" si="17"/>
        <v>emergency plumber cape town prices</v>
      </c>
      <c r="E11" s="16" t="str">
        <f t="shared" si="17"/>
        <v>drain surgeon cape town prices</v>
      </c>
      <c r="F11" s="16" t="str">
        <f t="shared" si="17"/>
        <v>absolute plumbing cape town prices</v>
      </c>
      <c r="G11" s="16" t="str">
        <f t="shared" si="17"/>
        <v>schmidhauser plumbing prices</v>
      </c>
      <c r="H11" s="16" t="str">
        <f t="shared" si="17"/>
        <v>bosman plumbers prices</v>
      </c>
      <c r="I11" s="16" t="str">
        <f t="shared" si="17"/>
        <v>plumber near me prices</v>
      </c>
      <c r="J11" s="16" t="str">
        <f t="shared" si="17"/>
        <v>electrician cape town prices</v>
      </c>
      <c r="K11" s="16" t="str">
        <f t="shared" si="17"/>
        <v>aircon repair cape town prices</v>
      </c>
      <c r="L11" s="17" t="str">
        <f>IFERROR(__xludf.DUMMYFUNCTION("""COMPUTED_VALUE"""),"absolute plumbing cape town insured")</f>
        <v>absolute plumbing cape town insured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prices plumbers cape town</v>
      </c>
      <c r="O11" s="16" t="str">
        <f t="shared" si="18"/>
        <v>prices plumbing company cape town</v>
      </c>
      <c r="P11" s="16" t="str">
        <f t="shared" si="18"/>
        <v>prices emergency plumber cape town</v>
      </c>
      <c r="Q11" s="16" t="str">
        <f t="shared" si="18"/>
        <v>prices drain surgeon cape town</v>
      </c>
      <c r="R11" s="16" t="str">
        <f t="shared" si="18"/>
        <v>prices absolute plumbing cape town</v>
      </c>
      <c r="S11" s="16" t="str">
        <f t="shared" si="18"/>
        <v>prices schmidhauser plumbing</v>
      </c>
      <c r="T11" s="16" t="str">
        <f t="shared" si="18"/>
        <v>prices bosman plumbers</v>
      </c>
      <c r="U11" s="16" t="str">
        <f t="shared" si="18"/>
        <v>prices plumber near me</v>
      </c>
      <c r="V11" s="16" t="str">
        <f t="shared" si="18"/>
        <v>prices electrician cape town</v>
      </c>
      <c r="W11" s="16" t="str">
        <f t="shared" si="18"/>
        <v>prices aircon repair cape town</v>
      </c>
      <c r="X11" s="19" t="str">
        <f>IFERROR(__xludf.DUMMYFUNCTION("""COMPUTED_VALUE"""),"24 hour plumbing company cape town")</f>
        <v>24 hour plumbing company cape town</v>
      </c>
      <c r="Y11" s="9"/>
      <c r="Z11" s="9"/>
    </row>
    <row r="12">
      <c r="A12" s="15" t="s">
        <v>924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plumbers cape town cost</v>
      </c>
      <c r="C12" s="16" t="str">
        <f t="shared" si="19"/>
        <v>plumbing company cape town cost</v>
      </c>
      <c r="D12" s="16" t="str">
        <f t="shared" si="19"/>
        <v>emergency plumber cape town cost</v>
      </c>
      <c r="E12" s="16" t="str">
        <f t="shared" si="19"/>
        <v>drain surgeon cape town cost</v>
      </c>
      <c r="F12" s="16" t="str">
        <f t="shared" si="19"/>
        <v>absolute plumbing cape town cost</v>
      </c>
      <c r="G12" s="16" t="str">
        <f t="shared" si="19"/>
        <v>schmidhauser plumbing cost</v>
      </c>
      <c r="H12" s="16" t="str">
        <f t="shared" si="19"/>
        <v>bosman plumbers cost</v>
      </c>
      <c r="I12" s="16" t="str">
        <f t="shared" si="19"/>
        <v>plumber near me cost</v>
      </c>
      <c r="J12" s="16" t="str">
        <f t="shared" si="19"/>
        <v>electrician cape town cost</v>
      </c>
      <c r="K12" s="16" t="str">
        <f t="shared" si="19"/>
        <v>aircon repair cape town cost</v>
      </c>
      <c r="L12" s="17" t="str">
        <f>IFERROR(__xludf.DUMMYFUNCTION("""COMPUTED_VALUE"""),"absolute plumbing cape town licensed")</f>
        <v>absolute plumbing cape town licensed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cost plumbers cape town</v>
      </c>
      <c r="O12" s="16" t="str">
        <f t="shared" si="20"/>
        <v>cost plumbing company cape town</v>
      </c>
      <c r="P12" s="16" t="str">
        <f t="shared" si="20"/>
        <v>cost emergency plumber cape town</v>
      </c>
      <c r="Q12" s="16" t="str">
        <f t="shared" si="20"/>
        <v>cost drain surgeon cape town</v>
      </c>
      <c r="R12" s="16" t="str">
        <f t="shared" si="20"/>
        <v>cost absolute plumbing cape town</v>
      </c>
      <c r="S12" s="16" t="str">
        <f t="shared" si="20"/>
        <v>cost schmidhauser plumbing</v>
      </c>
      <c r="T12" s="16" t="str">
        <f t="shared" si="20"/>
        <v>cost bosman plumbers</v>
      </c>
      <c r="U12" s="16" t="str">
        <f t="shared" si="20"/>
        <v>cost plumber near me</v>
      </c>
      <c r="V12" s="16" t="str">
        <f t="shared" si="20"/>
        <v>cost electrician cape town</v>
      </c>
      <c r="W12" s="16" t="str">
        <f t="shared" si="20"/>
        <v>cost aircon repair cape town</v>
      </c>
      <c r="X12" s="19" t="str">
        <f>IFERROR(__xludf.DUMMYFUNCTION("""COMPUTED_VALUE"""),"24 hour schmidhauser plumbing")</f>
        <v>24 hour schmidhauser plumbing</v>
      </c>
      <c r="Y12" s="9"/>
      <c r="Z12" s="9"/>
    </row>
    <row r="13">
      <c r="A13" s="15" t="s">
        <v>1004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plumbers cape town quote</v>
      </c>
      <c r="C13" s="16" t="str">
        <f t="shared" si="21"/>
        <v>plumbing company cape town quote</v>
      </c>
      <c r="D13" s="16" t="str">
        <f t="shared" si="21"/>
        <v>emergency plumber cape town quote</v>
      </c>
      <c r="E13" s="16" t="str">
        <f t="shared" si="21"/>
        <v>drain surgeon cape town quote</v>
      </c>
      <c r="F13" s="16" t="str">
        <f t="shared" si="21"/>
        <v>absolute plumbing cape town quote</v>
      </c>
      <c r="G13" s="16" t="str">
        <f t="shared" si="21"/>
        <v>schmidhauser plumbing quote</v>
      </c>
      <c r="H13" s="16" t="str">
        <f t="shared" si="21"/>
        <v>bosman plumbers quote</v>
      </c>
      <c r="I13" s="16" t="str">
        <f t="shared" si="21"/>
        <v>plumber near me quote</v>
      </c>
      <c r="J13" s="16" t="str">
        <f t="shared" si="21"/>
        <v>electrician cape town quote</v>
      </c>
      <c r="K13" s="16" t="str">
        <f t="shared" si="21"/>
        <v>aircon repair cape town quote</v>
      </c>
      <c r="L13" s="17" t="str">
        <f>IFERROR(__xludf.DUMMYFUNCTION("""COMPUTED_VALUE"""),"absolute plumbing cape town local")</f>
        <v>absolute plumbing cape town local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quote plumbers cape town</v>
      </c>
      <c r="O13" s="16" t="str">
        <f t="shared" si="22"/>
        <v>quote plumbing company cape town</v>
      </c>
      <c r="P13" s="16" t="str">
        <f t="shared" si="22"/>
        <v>quote emergency plumber cape town</v>
      </c>
      <c r="Q13" s="16" t="str">
        <f t="shared" si="22"/>
        <v>quote drain surgeon cape town</v>
      </c>
      <c r="R13" s="16" t="str">
        <f t="shared" si="22"/>
        <v>quote absolute plumbing cape town</v>
      </c>
      <c r="S13" s="16" t="str">
        <f t="shared" si="22"/>
        <v>quote schmidhauser plumbing</v>
      </c>
      <c r="T13" s="16" t="str">
        <f t="shared" si="22"/>
        <v>quote bosman plumbers</v>
      </c>
      <c r="U13" s="16" t="str">
        <f t="shared" si="22"/>
        <v>quote plumber near me</v>
      </c>
      <c r="V13" s="16" t="str">
        <f t="shared" si="22"/>
        <v>quote electrician cape town</v>
      </c>
      <c r="W13" s="16" t="str">
        <f t="shared" si="22"/>
        <v>quote aircon repair cape town</v>
      </c>
      <c r="X13" s="19" t="str">
        <f>IFERROR(__xludf.DUMMYFUNCTION("""COMPUTED_VALUE"""),"affordable absolute plumbing cape town")</f>
        <v>affordable absolute plumbing cape town</v>
      </c>
      <c r="Y13" s="9"/>
      <c r="Z13" s="9"/>
    </row>
    <row r="14">
      <c r="A14" s="15" t="s">
        <v>1067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plumbers cape town complaints</v>
      </c>
      <c r="C14" s="16" t="str">
        <f t="shared" si="23"/>
        <v>plumbing company cape town complaints</v>
      </c>
      <c r="D14" s="16" t="str">
        <f t="shared" si="23"/>
        <v>emergency plumber cape town complaints</v>
      </c>
      <c r="E14" s="16" t="str">
        <f t="shared" si="23"/>
        <v>drain surgeon cape town complaints</v>
      </c>
      <c r="F14" s="16" t="str">
        <f t="shared" si="23"/>
        <v>absolute plumbing cape town complaints</v>
      </c>
      <c r="G14" s="16" t="str">
        <f t="shared" si="23"/>
        <v>schmidhauser plumbing complaints</v>
      </c>
      <c r="H14" s="16" t="str">
        <f t="shared" si="23"/>
        <v>bosman plumbers complaints</v>
      </c>
      <c r="I14" s="16" t="str">
        <f t="shared" si="23"/>
        <v>plumber near me complaints</v>
      </c>
      <c r="J14" s="16" t="str">
        <f t="shared" si="23"/>
        <v>electrician cape town complaints</v>
      </c>
      <c r="K14" s="16" t="str">
        <f t="shared" si="23"/>
        <v>aircon repair cape town complaints</v>
      </c>
      <c r="L14" s="17" t="str">
        <f>IFERROR(__xludf.DUMMYFUNCTION("""COMPUTED_VALUE"""),"absolute plumbing cape town near me")</f>
        <v>absolute plumbing cape town near me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complaints plumbers cape town</v>
      </c>
      <c r="O14" s="16" t="str">
        <f t="shared" si="24"/>
        <v>complaints plumbing company cape town</v>
      </c>
      <c r="P14" s="16" t="str">
        <f t="shared" si="24"/>
        <v>complaints emergency plumber cape town</v>
      </c>
      <c r="Q14" s="16" t="str">
        <f t="shared" si="24"/>
        <v>complaints drain surgeon cape town</v>
      </c>
      <c r="R14" s="16" t="str">
        <f t="shared" si="24"/>
        <v>complaints absolute plumbing cape town</v>
      </c>
      <c r="S14" s="16" t="str">
        <f t="shared" si="24"/>
        <v>complaints schmidhauser plumbing</v>
      </c>
      <c r="T14" s="16" t="str">
        <f t="shared" si="24"/>
        <v>complaints bosman plumbers</v>
      </c>
      <c r="U14" s="16" t="str">
        <f t="shared" si="24"/>
        <v>complaints plumber near me</v>
      </c>
      <c r="V14" s="16" t="str">
        <f t="shared" si="24"/>
        <v>complaints electrician cape town</v>
      </c>
      <c r="W14" s="16" t="str">
        <f t="shared" si="24"/>
        <v>complaints aircon repair cape town</v>
      </c>
      <c r="X14" s="19" t="str">
        <f>IFERROR(__xludf.DUMMYFUNCTION("""COMPUTED_VALUE"""),"affordable aircon repair cape town")</f>
        <v>affordable aircon repair cape town</v>
      </c>
      <c r="Y14" s="9"/>
      <c r="Z14" s="9"/>
    </row>
    <row r="15">
      <c r="A15" s="15" t="s">
        <v>1144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plumbers cape town alternatives</v>
      </c>
      <c r="C15" s="16" t="str">
        <f t="shared" si="25"/>
        <v>plumbing company cape town alternatives</v>
      </c>
      <c r="D15" s="16" t="str">
        <f t="shared" si="25"/>
        <v>emergency plumber cape town alternatives</v>
      </c>
      <c r="E15" s="16" t="str">
        <f t="shared" si="25"/>
        <v>drain surgeon cape town alternatives</v>
      </c>
      <c r="F15" s="16" t="str">
        <f t="shared" si="25"/>
        <v>absolute plumbing cape town alternatives</v>
      </c>
      <c r="G15" s="16" t="str">
        <f t="shared" si="25"/>
        <v>schmidhauser plumbing alternatives</v>
      </c>
      <c r="H15" s="16" t="str">
        <f t="shared" si="25"/>
        <v>bosman plumbers alternatives</v>
      </c>
      <c r="I15" s="16" t="str">
        <f t="shared" si="25"/>
        <v>plumber near me alternatives</v>
      </c>
      <c r="J15" s="16" t="str">
        <f t="shared" si="25"/>
        <v>electrician cape town alternatives</v>
      </c>
      <c r="K15" s="16" t="str">
        <f t="shared" si="25"/>
        <v>aircon repair cape town alternatives</v>
      </c>
      <c r="L15" s="17" t="str">
        <f>IFERROR(__xludf.DUMMYFUNCTION("""COMPUTED_VALUE"""),"absolute plumbing cape town prices")</f>
        <v>absolute plumbing cape town prices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alternatives plumbers cape town</v>
      </c>
      <c r="O15" s="16" t="str">
        <f t="shared" si="26"/>
        <v>alternatives plumbing company cape town</v>
      </c>
      <c r="P15" s="16" t="str">
        <f t="shared" si="26"/>
        <v>alternatives emergency plumber cape town</v>
      </c>
      <c r="Q15" s="16" t="str">
        <f t="shared" si="26"/>
        <v>alternatives drain surgeon cape town</v>
      </c>
      <c r="R15" s="16" t="str">
        <f t="shared" si="26"/>
        <v>alternatives absolute plumbing cape town</v>
      </c>
      <c r="S15" s="16" t="str">
        <f t="shared" si="26"/>
        <v>alternatives schmidhauser plumbing</v>
      </c>
      <c r="T15" s="16" t="str">
        <f t="shared" si="26"/>
        <v>alternatives bosman plumbers</v>
      </c>
      <c r="U15" s="16" t="str">
        <f t="shared" si="26"/>
        <v>alternatives plumber near me</v>
      </c>
      <c r="V15" s="16" t="str">
        <f t="shared" si="26"/>
        <v>alternatives electrician cape town</v>
      </c>
      <c r="W15" s="16" t="str">
        <f t="shared" si="26"/>
        <v>alternatives aircon repair cape town</v>
      </c>
      <c r="X15" s="19" t="str">
        <f>IFERROR(__xludf.DUMMYFUNCTION("""COMPUTED_VALUE"""),"affordable bosman plumbers")</f>
        <v>affordable bosman plumbers</v>
      </c>
      <c r="Y15" s="9"/>
      <c r="Z15" s="9"/>
    </row>
    <row r="16">
      <c r="A16" s="15" t="s">
        <v>1211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plumbers cape town vs</v>
      </c>
      <c r="C16" s="16" t="str">
        <f t="shared" si="27"/>
        <v>plumbing company cape town vs</v>
      </c>
      <c r="D16" s="16" t="str">
        <f t="shared" si="27"/>
        <v>emergency plumber cape town vs</v>
      </c>
      <c r="E16" s="16" t="str">
        <f t="shared" si="27"/>
        <v>drain surgeon cape town vs</v>
      </c>
      <c r="F16" s="16" t="str">
        <f t="shared" si="27"/>
        <v>absolute plumbing cape town vs</v>
      </c>
      <c r="G16" s="16" t="str">
        <f t="shared" si="27"/>
        <v>schmidhauser plumbing vs</v>
      </c>
      <c r="H16" s="16" t="str">
        <f t="shared" si="27"/>
        <v>bosman plumbers vs</v>
      </c>
      <c r="I16" s="16" t="str">
        <f t="shared" si="27"/>
        <v>plumber near me vs</v>
      </c>
      <c r="J16" s="16" t="str">
        <f t="shared" si="27"/>
        <v>electrician cape town vs</v>
      </c>
      <c r="K16" s="16" t="str">
        <f t="shared" si="27"/>
        <v>aircon repair cape town vs</v>
      </c>
      <c r="L16" s="17" t="str">
        <f>IFERROR(__xludf.DUMMYFUNCTION("""COMPUTED_VALUE"""),"absolute plumbing cape town qualified")</f>
        <v>absolute plumbing cape town qualified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vs plumbers cape town</v>
      </c>
      <c r="O16" s="16" t="str">
        <f t="shared" si="28"/>
        <v>vs plumbing company cape town</v>
      </c>
      <c r="P16" s="16" t="str">
        <f t="shared" si="28"/>
        <v>vs emergency plumber cape town</v>
      </c>
      <c r="Q16" s="16" t="str">
        <f t="shared" si="28"/>
        <v>vs drain surgeon cape town</v>
      </c>
      <c r="R16" s="16" t="str">
        <f t="shared" si="28"/>
        <v>vs absolute plumbing cape town</v>
      </c>
      <c r="S16" s="16" t="str">
        <f t="shared" si="28"/>
        <v>vs schmidhauser plumbing</v>
      </c>
      <c r="T16" s="16" t="str">
        <f t="shared" si="28"/>
        <v>vs bosman plumbers</v>
      </c>
      <c r="U16" s="16" t="str">
        <f t="shared" si="28"/>
        <v>vs plumber near me</v>
      </c>
      <c r="V16" s="16" t="str">
        <f t="shared" si="28"/>
        <v>vs electrician cape town</v>
      </c>
      <c r="W16" s="16" t="str">
        <f t="shared" si="28"/>
        <v>vs aircon repair cape town</v>
      </c>
      <c r="X16" s="19" t="str">
        <f>IFERROR(__xludf.DUMMYFUNCTION("""COMPUTED_VALUE"""),"affordable drain surgeon cape town")</f>
        <v>affordable drain surgeon cape town</v>
      </c>
      <c r="Y16" s="9"/>
      <c r="Z16" s="9"/>
    </row>
    <row r="17">
      <c r="A17" s="15" t="s">
        <v>1281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plumbers cape town compare</v>
      </c>
      <c r="C17" s="16" t="str">
        <f t="shared" si="29"/>
        <v>plumbing company cape town compare</v>
      </c>
      <c r="D17" s="16" t="str">
        <f t="shared" si="29"/>
        <v>emergency plumber cape town compare</v>
      </c>
      <c r="E17" s="16" t="str">
        <f t="shared" si="29"/>
        <v>drain surgeon cape town compare</v>
      </c>
      <c r="F17" s="16" t="str">
        <f t="shared" si="29"/>
        <v>absolute plumbing cape town compare</v>
      </c>
      <c r="G17" s="16" t="str">
        <f t="shared" si="29"/>
        <v>schmidhauser plumbing compare</v>
      </c>
      <c r="H17" s="16" t="str">
        <f t="shared" si="29"/>
        <v>bosman plumbers compare</v>
      </c>
      <c r="I17" s="16" t="str">
        <f t="shared" si="29"/>
        <v>plumber near me compare</v>
      </c>
      <c r="J17" s="16" t="str">
        <f t="shared" si="29"/>
        <v>electrician cape town compare</v>
      </c>
      <c r="K17" s="16" t="str">
        <f t="shared" si="29"/>
        <v>aircon repair cape town compare</v>
      </c>
      <c r="L17" s="17" t="str">
        <f>IFERROR(__xludf.DUMMYFUNCTION("""COMPUTED_VALUE"""),"absolute plumbing cape town quote")</f>
        <v>absolute plumbing cape town quote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compare plumbers cape town</v>
      </c>
      <c r="O17" s="16" t="str">
        <f t="shared" si="30"/>
        <v>compare plumbing company cape town</v>
      </c>
      <c r="P17" s="16" t="str">
        <f t="shared" si="30"/>
        <v>compare emergency plumber cape town</v>
      </c>
      <c r="Q17" s="16" t="str">
        <f t="shared" si="30"/>
        <v>compare drain surgeon cape town</v>
      </c>
      <c r="R17" s="16" t="str">
        <f t="shared" si="30"/>
        <v>compare absolute plumbing cape town</v>
      </c>
      <c r="S17" s="16" t="str">
        <f t="shared" si="30"/>
        <v>compare schmidhauser plumbing</v>
      </c>
      <c r="T17" s="16" t="str">
        <f t="shared" si="30"/>
        <v>compare bosman plumbers</v>
      </c>
      <c r="U17" s="16" t="str">
        <f t="shared" si="30"/>
        <v>compare plumber near me</v>
      </c>
      <c r="V17" s="16" t="str">
        <f t="shared" si="30"/>
        <v>compare electrician cape town</v>
      </c>
      <c r="W17" s="16" t="str">
        <f t="shared" si="30"/>
        <v>compare aircon repair cape town</v>
      </c>
      <c r="X17" s="19" t="str">
        <f>IFERROR(__xludf.DUMMYFUNCTION("""COMPUTED_VALUE"""),"affordable electrician cape town")</f>
        <v>affordable electrician cape town</v>
      </c>
      <c r="Y17" s="9"/>
      <c r="Z17" s="9"/>
    </row>
    <row r="18">
      <c r="A18" s="15" t="s">
        <v>1348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plumbers cape town near me</v>
      </c>
      <c r="C18" s="16" t="str">
        <f t="shared" si="31"/>
        <v>plumbing company cape town near me</v>
      </c>
      <c r="D18" s="16" t="str">
        <f t="shared" si="31"/>
        <v>emergency plumber cape town near me</v>
      </c>
      <c r="E18" s="16" t="str">
        <f t="shared" si="31"/>
        <v>drain surgeon cape town near me</v>
      </c>
      <c r="F18" s="16" t="str">
        <f t="shared" si="31"/>
        <v>absolute plumbing cape town near me</v>
      </c>
      <c r="G18" s="16" t="str">
        <f t="shared" si="31"/>
        <v>schmidhauser plumbing near me</v>
      </c>
      <c r="H18" s="16" t="str">
        <f t="shared" si="31"/>
        <v>bosman plumbers near me</v>
      </c>
      <c r="I18" s="16" t="str">
        <f t="shared" si="31"/>
        <v>plumber near me</v>
      </c>
      <c r="J18" s="16" t="str">
        <f t="shared" si="31"/>
        <v>electrician cape town near me</v>
      </c>
      <c r="K18" s="16" t="str">
        <f t="shared" si="31"/>
        <v>aircon repair cape town near me</v>
      </c>
      <c r="L18" s="17" t="str">
        <f>IFERROR(__xludf.DUMMYFUNCTION("""COMPUTED_VALUE"""),"absolute plumbing cape town reliable")</f>
        <v>absolute plumbing cape town reliable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near me plumbers cape town</v>
      </c>
      <c r="O18" s="16" t="str">
        <f t="shared" si="32"/>
        <v>near me plumbing company cape town</v>
      </c>
      <c r="P18" s="16" t="str">
        <f t="shared" si="32"/>
        <v>near me emergency plumber cape town</v>
      </c>
      <c r="Q18" s="16" t="str">
        <f t="shared" si="32"/>
        <v>near me drain surgeon cape town</v>
      </c>
      <c r="R18" s="16" t="str">
        <f t="shared" si="32"/>
        <v>near me absolute plumbing cape town</v>
      </c>
      <c r="S18" s="16" t="str">
        <f t="shared" si="32"/>
        <v>near me schmidhauser plumbing</v>
      </c>
      <c r="T18" s="16" t="str">
        <f t="shared" si="32"/>
        <v>near me bosman plumbers</v>
      </c>
      <c r="U18" s="16" t="str">
        <f t="shared" si="32"/>
        <v>plumber near me</v>
      </c>
      <c r="V18" s="16" t="str">
        <f t="shared" si="32"/>
        <v>near me electrician cape town</v>
      </c>
      <c r="W18" s="16" t="str">
        <f t="shared" si="32"/>
        <v>near me aircon repair cape town</v>
      </c>
      <c r="X18" s="19" t="str">
        <f>IFERROR(__xludf.DUMMYFUNCTION("""COMPUTED_VALUE"""),"affordable emergency plumber cape town")</f>
        <v>affordable emergency plumber cape town</v>
      </c>
      <c r="Y18" s="9"/>
      <c r="Z18" s="9"/>
    </row>
    <row r="19">
      <c r="A19" s="15" t="s">
        <v>1416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plumbers cape town local</v>
      </c>
      <c r="C19" s="16" t="str">
        <f t="shared" si="33"/>
        <v>plumbing company cape town local</v>
      </c>
      <c r="D19" s="16" t="str">
        <f t="shared" si="33"/>
        <v>emergency plumber cape town local</v>
      </c>
      <c r="E19" s="16" t="str">
        <f t="shared" si="33"/>
        <v>drain surgeon cape town local</v>
      </c>
      <c r="F19" s="16" t="str">
        <f t="shared" si="33"/>
        <v>absolute plumbing cape town local</v>
      </c>
      <c r="G19" s="16" t="str">
        <f t="shared" si="33"/>
        <v>schmidhauser plumbing local</v>
      </c>
      <c r="H19" s="16" t="str">
        <f t="shared" si="33"/>
        <v>bosman plumbers local</v>
      </c>
      <c r="I19" s="16" t="str">
        <f t="shared" si="33"/>
        <v>plumber near me local</v>
      </c>
      <c r="J19" s="16" t="str">
        <f t="shared" si="33"/>
        <v>electrician cape town local</v>
      </c>
      <c r="K19" s="16" t="str">
        <f t="shared" si="33"/>
        <v>aircon repair cape town local</v>
      </c>
      <c r="L19" s="17" t="str">
        <f>IFERROR(__xludf.DUMMYFUNCTION("""COMPUTED_VALUE"""),"absolute plumbing cape town reputable")</f>
        <v>absolute plumbing cape town reputable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local plumbers cape town</v>
      </c>
      <c r="O19" s="16" t="str">
        <f t="shared" si="34"/>
        <v>local plumbing company cape town</v>
      </c>
      <c r="P19" s="16" t="str">
        <f t="shared" si="34"/>
        <v>local emergency plumber cape town</v>
      </c>
      <c r="Q19" s="16" t="str">
        <f t="shared" si="34"/>
        <v>local drain surgeon cape town</v>
      </c>
      <c r="R19" s="16" t="str">
        <f t="shared" si="34"/>
        <v>local absolute plumbing cape town</v>
      </c>
      <c r="S19" s="16" t="str">
        <f t="shared" si="34"/>
        <v>local schmidhauser plumbing</v>
      </c>
      <c r="T19" s="16" t="str">
        <f t="shared" si="34"/>
        <v>local bosman plumbers</v>
      </c>
      <c r="U19" s="16" t="str">
        <f t="shared" si="34"/>
        <v>local plumber near me</v>
      </c>
      <c r="V19" s="16" t="str">
        <f t="shared" si="34"/>
        <v>local electrician cape town</v>
      </c>
      <c r="W19" s="16" t="str">
        <f t="shared" si="34"/>
        <v>local aircon repair cape town</v>
      </c>
      <c r="X19" s="19" t="str">
        <f>IFERROR(__xludf.DUMMYFUNCTION("""COMPUTED_VALUE"""),"affordable plumber near me")</f>
        <v>affordable plumber near me</v>
      </c>
      <c r="Y19" s="9"/>
      <c r="Z19" s="9"/>
    </row>
    <row r="20">
      <c r="A20" s="15" t="s">
        <v>1496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plumbers cape town certified</v>
      </c>
      <c r="C20" s="16" t="str">
        <f t="shared" si="35"/>
        <v>plumbing company cape town certified</v>
      </c>
      <c r="D20" s="16" t="str">
        <f t="shared" si="35"/>
        <v>emergency plumber cape town certified</v>
      </c>
      <c r="E20" s="16" t="str">
        <f t="shared" si="35"/>
        <v>drain surgeon cape town certified</v>
      </c>
      <c r="F20" s="16" t="str">
        <f t="shared" si="35"/>
        <v>absolute plumbing cape town certified</v>
      </c>
      <c r="G20" s="16" t="str">
        <f t="shared" si="35"/>
        <v>schmidhauser plumbing certified</v>
      </c>
      <c r="H20" s="16" t="str">
        <f t="shared" si="35"/>
        <v>bosman plumbers certified</v>
      </c>
      <c r="I20" s="16" t="str">
        <f t="shared" si="35"/>
        <v>plumber near me certified</v>
      </c>
      <c r="J20" s="16" t="str">
        <f t="shared" si="35"/>
        <v>electrician cape town certified</v>
      </c>
      <c r="K20" s="16" t="str">
        <f t="shared" si="35"/>
        <v>aircon repair cape town certified</v>
      </c>
      <c r="L20" s="17" t="str">
        <f>IFERROR(__xludf.DUMMYFUNCTION("""COMPUTED_VALUE"""),"absolute plumbing cape town review")</f>
        <v>absolute plumbing cape town review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certified plumbers cape town</v>
      </c>
      <c r="O20" s="16" t="str">
        <f t="shared" si="36"/>
        <v>certified plumbing company cape town</v>
      </c>
      <c r="P20" s="16" t="str">
        <f t="shared" si="36"/>
        <v>certified emergency plumber cape town</v>
      </c>
      <c r="Q20" s="16" t="str">
        <f t="shared" si="36"/>
        <v>certified drain surgeon cape town</v>
      </c>
      <c r="R20" s="16" t="str">
        <f t="shared" si="36"/>
        <v>certified absolute plumbing cape town</v>
      </c>
      <c r="S20" s="16" t="str">
        <f t="shared" si="36"/>
        <v>certified schmidhauser plumbing</v>
      </c>
      <c r="T20" s="16" t="str">
        <f t="shared" si="36"/>
        <v>certified bosman plumbers</v>
      </c>
      <c r="U20" s="16" t="str">
        <f t="shared" si="36"/>
        <v>certified plumber near me</v>
      </c>
      <c r="V20" s="16" t="str">
        <f t="shared" si="36"/>
        <v>certified electrician cape town</v>
      </c>
      <c r="W20" s="16" t="str">
        <f t="shared" si="36"/>
        <v>certified aircon repair cape town</v>
      </c>
      <c r="X20" s="19" t="str">
        <f>IFERROR(__xludf.DUMMYFUNCTION("""COMPUTED_VALUE"""),"affordable plumbers cape town")</f>
        <v>affordable plumbers cape town</v>
      </c>
      <c r="Y20" s="9"/>
      <c r="Z20" s="9"/>
    </row>
    <row r="21">
      <c r="A21" s="15" t="s">
        <v>1551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plumbers cape town qualified</v>
      </c>
      <c r="C21" s="16" t="str">
        <f t="shared" si="37"/>
        <v>plumbing company cape town qualified</v>
      </c>
      <c r="D21" s="16" t="str">
        <f t="shared" si="37"/>
        <v>emergency plumber cape town qualified</v>
      </c>
      <c r="E21" s="16" t="str">
        <f t="shared" si="37"/>
        <v>drain surgeon cape town qualified</v>
      </c>
      <c r="F21" s="16" t="str">
        <f t="shared" si="37"/>
        <v>absolute plumbing cape town qualified</v>
      </c>
      <c r="G21" s="16" t="str">
        <f t="shared" si="37"/>
        <v>schmidhauser plumbing qualified</v>
      </c>
      <c r="H21" s="16" t="str">
        <f t="shared" si="37"/>
        <v>bosman plumbers qualified</v>
      </c>
      <c r="I21" s="16" t="str">
        <f t="shared" si="37"/>
        <v>plumber near me qualified</v>
      </c>
      <c r="J21" s="16" t="str">
        <f t="shared" si="37"/>
        <v>electrician cape town qualified</v>
      </c>
      <c r="K21" s="16" t="str">
        <f t="shared" si="37"/>
        <v>aircon repair cape town qualified</v>
      </c>
      <c r="L21" s="17" t="str">
        <f>IFERROR(__xludf.DUMMYFUNCTION("""COMPUTED_VALUE"""),"absolute plumbing cape town reviews")</f>
        <v>absolute plumbing cape town reviews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qualified plumbers cape town</v>
      </c>
      <c r="O21" s="16" t="str">
        <f t="shared" si="38"/>
        <v>qualified plumbing company cape town</v>
      </c>
      <c r="P21" s="16" t="str">
        <f t="shared" si="38"/>
        <v>qualified emergency plumber cape town</v>
      </c>
      <c r="Q21" s="16" t="str">
        <f t="shared" si="38"/>
        <v>qualified drain surgeon cape town</v>
      </c>
      <c r="R21" s="16" t="str">
        <f t="shared" si="38"/>
        <v>qualified absolute plumbing cape town</v>
      </c>
      <c r="S21" s="16" t="str">
        <f t="shared" si="38"/>
        <v>qualified schmidhauser plumbing</v>
      </c>
      <c r="T21" s="16" t="str">
        <f t="shared" si="38"/>
        <v>qualified bosman plumbers</v>
      </c>
      <c r="U21" s="16" t="str">
        <f t="shared" si="38"/>
        <v>qualified plumber near me</v>
      </c>
      <c r="V21" s="16" t="str">
        <f t="shared" si="38"/>
        <v>qualified electrician cape town</v>
      </c>
      <c r="W21" s="16" t="str">
        <f t="shared" si="38"/>
        <v>qualified aircon repair cape town</v>
      </c>
      <c r="X21" s="19" t="str">
        <f>IFERROR(__xludf.DUMMYFUNCTION("""COMPUTED_VALUE"""),"affordable plumbing company cape town")</f>
        <v>affordable plumbing company cape town</v>
      </c>
      <c r="Y21" s="9"/>
      <c r="Z21" s="9"/>
    </row>
    <row r="22">
      <c r="A22" s="15" t="s">
        <v>1623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plumbers cape town licensed</v>
      </c>
      <c r="C22" s="16" t="str">
        <f t="shared" si="39"/>
        <v>plumbing company cape town licensed</v>
      </c>
      <c r="D22" s="16" t="str">
        <f t="shared" si="39"/>
        <v>emergency plumber cape town licensed</v>
      </c>
      <c r="E22" s="16" t="str">
        <f t="shared" si="39"/>
        <v>drain surgeon cape town licensed</v>
      </c>
      <c r="F22" s="16" t="str">
        <f t="shared" si="39"/>
        <v>absolute plumbing cape town licensed</v>
      </c>
      <c r="G22" s="16" t="str">
        <f t="shared" si="39"/>
        <v>schmidhauser plumbing licensed</v>
      </c>
      <c r="H22" s="16" t="str">
        <f t="shared" si="39"/>
        <v>bosman plumbers licensed</v>
      </c>
      <c r="I22" s="16" t="str">
        <f t="shared" si="39"/>
        <v>plumber near me licensed</v>
      </c>
      <c r="J22" s="16" t="str">
        <f t="shared" si="39"/>
        <v>electrician cape town licensed</v>
      </c>
      <c r="K22" s="16" t="str">
        <f t="shared" si="39"/>
        <v>aircon repair cape town licensed</v>
      </c>
      <c r="L22" s="17" t="str">
        <f>IFERROR(__xludf.DUMMYFUNCTION("""COMPUTED_VALUE"""),"absolute plumbing cape town same day")</f>
        <v>absolute plumbing cape town same day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licensed plumbers cape town</v>
      </c>
      <c r="O22" s="16" t="str">
        <f t="shared" si="40"/>
        <v>licensed plumbing company cape town</v>
      </c>
      <c r="P22" s="16" t="str">
        <f t="shared" si="40"/>
        <v>licensed emergency plumber cape town</v>
      </c>
      <c r="Q22" s="16" t="str">
        <f t="shared" si="40"/>
        <v>licensed drain surgeon cape town</v>
      </c>
      <c r="R22" s="16" t="str">
        <f t="shared" si="40"/>
        <v>licensed absolute plumbing cape town</v>
      </c>
      <c r="S22" s="16" t="str">
        <f t="shared" si="40"/>
        <v>licensed schmidhauser plumbing</v>
      </c>
      <c r="T22" s="16" t="str">
        <f t="shared" si="40"/>
        <v>licensed bosman plumbers</v>
      </c>
      <c r="U22" s="16" t="str">
        <f t="shared" si="40"/>
        <v>licensed plumber near me</v>
      </c>
      <c r="V22" s="16" t="str">
        <f t="shared" si="40"/>
        <v>licensed electrician cape town</v>
      </c>
      <c r="W22" s="16" t="str">
        <f t="shared" si="40"/>
        <v>licensed aircon repair cape town</v>
      </c>
      <c r="X22" s="19" t="str">
        <f>IFERROR(__xludf.DUMMYFUNCTION("""COMPUTED_VALUE"""),"affordable schmidhauser plumbing")</f>
        <v>affordable schmidhauser plumbing</v>
      </c>
      <c r="Y22" s="9"/>
      <c r="Z22" s="9"/>
    </row>
    <row r="23">
      <c r="A23" s="15" t="s">
        <v>1704</v>
      </c>
      <c r="B23" s="16" t="str">
        <f t="shared" ref="B23:K23" si="41">IF($A23="","",IF(OR(ISNUMBER(SEARCH(LOWER($A23),LOWER(B$1))),AND(RIGHT(LOWER($A23),1)="s",ISNUMBER(SEARCH(LEFT(LOWER($A23),LEN($A23)-1),LOWER(B$1))))),B$1,B$1&amp;" "&amp;$A23))</f>
        <v>plumbers cape town insured</v>
      </c>
      <c r="C23" s="16" t="str">
        <f t="shared" si="41"/>
        <v>plumbing company cape town insured</v>
      </c>
      <c r="D23" s="16" t="str">
        <f t="shared" si="41"/>
        <v>emergency plumber cape town insured</v>
      </c>
      <c r="E23" s="16" t="str">
        <f t="shared" si="41"/>
        <v>drain surgeon cape town insured</v>
      </c>
      <c r="F23" s="16" t="str">
        <f t="shared" si="41"/>
        <v>absolute plumbing cape town insured</v>
      </c>
      <c r="G23" s="16" t="str">
        <f t="shared" si="41"/>
        <v>schmidhauser plumbing insured</v>
      </c>
      <c r="H23" s="16" t="str">
        <f t="shared" si="41"/>
        <v>bosman plumbers insured</v>
      </c>
      <c r="I23" s="16" t="str">
        <f t="shared" si="41"/>
        <v>plumber near me insured</v>
      </c>
      <c r="J23" s="16" t="str">
        <f t="shared" si="41"/>
        <v>electrician cape town insured</v>
      </c>
      <c r="K23" s="16" t="str">
        <f t="shared" si="41"/>
        <v>aircon repair cape town insured</v>
      </c>
      <c r="L23" s="17" t="str">
        <f>IFERROR(__xludf.DUMMYFUNCTION("""COMPUTED_VALUE"""),"absolute plumbing cape town top rated")</f>
        <v>absolute plumbing cape town top rated</v>
      </c>
      <c r="M23" s="18"/>
      <c r="N23" s="16" t="str">
        <f t="shared" ref="N23:W23" si="42">IF($A23="","",IF(OR(ISNUMBER(SEARCH(LOWER($A23),LOWER(N$1))),AND(RIGHT(LOWER($A23),1)="s",ISNUMBER(SEARCH(LEFT(LOWER($A23),LEN($A23)-1),LOWER(N$1))))),N$1,$A23&amp;" "&amp;N$1))</f>
        <v>insured plumbers cape town</v>
      </c>
      <c r="O23" s="16" t="str">
        <f t="shared" si="42"/>
        <v>insured plumbing company cape town</v>
      </c>
      <c r="P23" s="16" t="str">
        <f t="shared" si="42"/>
        <v>insured emergency plumber cape town</v>
      </c>
      <c r="Q23" s="16" t="str">
        <f t="shared" si="42"/>
        <v>insured drain surgeon cape town</v>
      </c>
      <c r="R23" s="16" t="str">
        <f t="shared" si="42"/>
        <v>insured absolute plumbing cape town</v>
      </c>
      <c r="S23" s="16" t="str">
        <f t="shared" si="42"/>
        <v>insured schmidhauser plumbing</v>
      </c>
      <c r="T23" s="16" t="str">
        <f t="shared" si="42"/>
        <v>insured bosman plumbers</v>
      </c>
      <c r="U23" s="16" t="str">
        <f t="shared" si="42"/>
        <v>insured plumber near me</v>
      </c>
      <c r="V23" s="16" t="str">
        <f t="shared" si="42"/>
        <v>insured electrician cape town</v>
      </c>
      <c r="W23" s="16" t="str">
        <f t="shared" si="42"/>
        <v>insured aircon repair cape town</v>
      </c>
      <c r="X23" s="19" t="str">
        <f>IFERROR(__xludf.DUMMYFUNCTION("""COMPUTED_VALUE"""),"alternatives absolute plumbing cape town")</f>
        <v>alternatives absolute plumbing cape town</v>
      </c>
      <c r="Y23" s="9"/>
      <c r="Z23" s="9"/>
    </row>
    <row r="24">
      <c r="A24" s="15" t="s">
        <v>1773</v>
      </c>
      <c r="B24" s="16" t="str">
        <f t="shared" ref="B24:K24" si="43">IF($A24="","",IF(OR(ISNUMBER(SEARCH(LOWER($A24),LOWER(B$1))),AND(RIGHT(LOWER($A24),1)="s",ISNUMBER(SEARCH(LEFT(LOWER($A24),LEN($A24)-1),LOWER(B$1))))),B$1,B$1&amp;" "&amp;$A24))</f>
        <v>plumbers cape town 24 hour</v>
      </c>
      <c r="C24" s="16" t="str">
        <f t="shared" si="43"/>
        <v>plumbing company cape town 24 hour</v>
      </c>
      <c r="D24" s="16" t="str">
        <f t="shared" si="43"/>
        <v>emergency plumber cape town 24 hour</v>
      </c>
      <c r="E24" s="16" t="str">
        <f t="shared" si="43"/>
        <v>drain surgeon cape town 24 hour</v>
      </c>
      <c r="F24" s="16" t="str">
        <f t="shared" si="43"/>
        <v>absolute plumbing cape town 24 hour</v>
      </c>
      <c r="G24" s="16" t="str">
        <f t="shared" si="43"/>
        <v>schmidhauser plumbing 24 hour</v>
      </c>
      <c r="H24" s="16" t="str">
        <f t="shared" si="43"/>
        <v>bosman plumbers 24 hour</v>
      </c>
      <c r="I24" s="16" t="str">
        <f t="shared" si="43"/>
        <v>plumber near me 24 hour</v>
      </c>
      <c r="J24" s="16" t="str">
        <f t="shared" si="43"/>
        <v>electrician cape town 24 hour</v>
      </c>
      <c r="K24" s="16" t="str">
        <f t="shared" si="43"/>
        <v>aircon repair cape town 24 hour</v>
      </c>
      <c r="L24" s="17" t="str">
        <f>IFERROR(__xludf.DUMMYFUNCTION("""COMPUTED_VALUE"""),"absolute plumbing cape town trusted")</f>
        <v>absolute plumbing cape town trusted</v>
      </c>
      <c r="M24" s="18"/>
      <c r="N24" s="16" t="str">
        <f t="shared" ref="N24:W24" si="44">IF($A24="","",IF(OR(ISNUMBER(SEARCH(LOWER($A24),LOWER(N$1))),AND(RIGHT(LOWER($A24),1)="s",ISNUMBER(SEARCH(LEFT(LOWER($A24),LEN($A24)-1),LOWER(N$1))))),N$1,$A24&amp;" "&amp;N$1))</f>
        <v>24 hour plumbers cape town</v>
      </c>
      <c r="O24" s="16" t="str">
        <f t="shared" si="44"/>
        <v>24 hour plumbing company cape town</v>
      </c>
      <c r="P24" s="16" t="str">
        <f t="shared" si="44"/>
        <v>24 hour emergency plumber cape town</v>
      </c>
      <c r="Q24" s="16" t="str">
        <f t="shared" si="44"/>
        <v>24 hour drain surgeon cape town</v>
      </c>
      <c r="R24" s="16" t="str">
        <f t="shared" si="44"/>
        <v>24 hour absolute plumbing cape town</v>
      </c>
      <c r="S24" s="16" t="str">
        <f t="shared" si="44"/>
        <v>24 hour schmidhauser plumbing</v>
      </c>
      <c r="T24" s="16" t="str">
        <f t="shared" si="44"/>
        <v>24 hour bosman plumbers</v>
      </c>
      <c r="U24" s="16" t="str">
        <f t="shared" si="44"/>
        <v>24 hour plumber near me</v>
      </c>
      <c r="V24" s="16" t="str">
        <f t="shared" si="44"/>
        <v>24 hour electrician cape town</v>
      </c>
      <c r="W24" s="16" t="str">
        <f t="shared" si="44"/>
        <v>24 hour aircon repair cape town</v>
      </c>
      <c r="X24" s="19" t="str">
        <f>IFERROR(__xludf.DUMMYFUNCTION("""COMPUTED_VALUE"""),"alternatives aircon repair cape town")</f>
        <v>alternatives aircon repair cape town</v>
      </c>
      <c r="Y24" s="9"/>
      <c r="Z24" s="9"/>
    </row>
    <row r="25">
      <c r="A25" s="15" t="s">
        <v>1833</v>
      </c>
      <c r="B25" s="16" t="str">
        <f t="shared" ref="B25:K25" si="45">IF($A25="","",IF(OR(ISNUMBER(SEARCH(LOWER($A25),LOWER(B$1))),AND(RIGHT(LOWER($A25),1)="s",ISNUMBER(SEARCH(LEFT(LOWER($A25),LEN($A25)-1),LOWER(B$1))))),B$1,B$1&amp;" "&amp;$A25))</f>
        <v>plumbers cape town same day</v>
      </c>
      <c r="C25" s="16" t="str">
        <f t="shared" si="45"/>
        <v>plumbing company cape town same day</v>
      </c>
      <c r="D25" s="16" t="str">
        <f t="shared" si="45"/>
        <v>emergency plumber cape town same day</v>
      </c>
      <c r="E25" s="16" t="str">
        <f t="shared" si="45"/>
        <v>drain surgeon cape town same day</v>
      </c>
      <c r="F25" s="16" t="str">
        <f t="shared" si="45"/>
        <v>absolute plumbing cape town same day</v>
      </c>
      <c r="G25" s="16" t="str">
        <f t="shared" si="45"/>
        <v>schmidhauser plumbing same day</v>
      </c>
      <c r="H25" s="16" t="str">
        <f t="shared" si="45"/>
        <v>bosman plumbers same day</v>
      </c>
      <c r="I25" s="16" t="str">
        <f t="shared" si="45"/>
        <v>plumber near me same day</v>
      </c>
      <c r="J25" s="16" t="str">
        <f t="shared" si="45"/>
        <v>electrician cape town same day</v>
      </c>
      <c r="K25" s="16" t="str">
        <f t="shared" si="45"/>
        <v>aircon repair cape town same day</v>
      </c>
      <c r="L25" s="17" t="str">
        <f>IFERROR(__xludf.DUMMYFUNCTION("""COMPUTED_VALUE"""),"absolute plumbing cape town vs")</f>
        <v>absolute plumbing cape town vs</v>
      </c>
      <c r="M25" s="18"/>
      <c r="N25" s="16" t="str">
        <f t="shared" ref="N25:W25" si="46">IF($A25="","",IF(OR(ISNUMBER(SEARCH(LOWER($A25),LOWER(N$1))),AND(RIGHT(LOWER($A25),1)="s",ISNUMBER(SEARCH(LEFT(LOWER($A25),LEN($A25)-1),LOWER(N$1))))),N$1,$A25&amp;" "&amp;N$1))</f>
        <v>same day plumbers cape town</v>
      </c>
      <c r="O25" s="16" t="str">
        <f t="shared" si="46"/>
        <v>same day plumbing company cape town</v>
      </c>
      <c r="P25" s="16" t="str">
        <f t="shared" si="46"/>
        <v>same day emergency plumber cape town</v>
      </c>
      <c r="Q25" s="16" t="str">
        <f t="shared" si="46"/>
        <v>same day drain surgeon cape town</v>
      </c>
      <c r="R25" s="16" t="str">
        <f t="shared" si="46"/>
        <v>same day absolute plumbing cape town</v>
      </c>
      <c r="S25" s="16" t="str">
        <f t="shared" si="46"/>
        <v>same day schmidhauser plumbing</v>
      </c>
      <c r="T25" s="16" t="str">
        <f t="shared" si="46"/>
        <v>same day bosman plumbers</v>
      </c>
      <c r="U25" s="16" t="str">
        <f t="shared" si="46"/>
        <v>same day plumber near me</v>
      </c>
      <c r="V25" s="16" t="str">
        <f t="shared" si="46"/>
        <v>same day electrician cape town</v>
      </c>
      <c r="W25" s="16" t="str">
        <f t="shared" si="46"/>
        <v>same day aircon repair cape town</v>
      </c>
      <c r="X25" s="19" t="str">
        <f>IFERROR(__xludf.DUMMYFUNCTION("""COMPUTED_VALUE"""),"alternatives bosman plumbers")</f>
        <v>alternatives bosman plumbers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IFERROR(__xludf.DUMMYFUNCTION("""COMPUTED_VALUE"""),"aircon repair cape town 24 hour")</f>
        <v>aircon repair cape town 24 hour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IFERROR(__xludf.DUMMYFUNCTION("""COMPUTED_VALUE"""),"alternatives drain surgeon cape town")</f>
        <v>alternatives drain surgeon cape town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IFERROR(__xludf.DUMMYFUNCTION("""COMPUTED_VALUE"""),"aircon repair cape town affordable")</f>
        <v>aircon repair cape town affordable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IFERROR(__xludf.DUMMYFUNCTION("""COMPUTED_VALUE"""),"alternatives electrician cape town")</f>
        <v>alternatives electrician cape town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IFERROR(__xludf.DUMMYFUNCTION("""COMPUTED_VALUE"""),"aircon repair cape town alternatives")</f>
        <v>aircon repair cape town alternatives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IFERROR(__xludf.DUMMYFUNCTION("""COMPUTED_VALUE"""),"alternatives emergency plumber cape town")</f>
        <v>alternatives emergency plumber cape town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IFERROR(__xludf.DUMMYFUNCTION("""COMPUTED_VALUE"""),"aircon repair cape town best")</f>
        <v>aircon repair cape town best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IFERROR(__xludf.DUMMYFUNCTION("""COMPUTED_VALUE"""),"alternatives plumber near me")</f>
        <v>alternatives plumber near me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IFERROR(__xludf.DUMMYFUNCTION("""COMPUTED_VALUE"""),"aircon repair cape town certified")</f>
        <v>aircon repair cape town certified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IFERROR(__xludf.DUMMYFUNCTION("""COMPUTED_VALUE"""),"alternatives plumbers cape town")</f>
        <v>alternatives plumbers cape town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IFERROR(__xludf.DUMMYFUNCTION("""COMPUTED_VALUE"""),"aircon repair cape town compare")</f>
        <v>aircon repair cape town compare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IFERROR(__xludf.DUMMYFUNCTION("""COMPUTED_VALUE"""),"alternatives plumbing company cape town")</f>
        <v>alternatives plumbing company cape town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IFERROR(__xludf.DUMMYFUNCTION("""COMPUTED_VALUE"""),"aircon repair cape town complaints")</f>
        <v>aircon repair cape town complaints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IFERROR(__xludf.DUMMYFUNCTION("""COMPUTED_VALUE"""),"alternatives schmidhauser plumbing")</f>
        <v>alternatives schmidhauser plumbing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IFERROR(__xludf.DUMMYFUNCTION("""COMPUTED_VALUE"""),"aircon repair cape town cost")</f>
        <v>aircon repair cape town cost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IFERROR(__xludf.DUMMYFUNCTION("""COMPUTED_VALUE"""),"best absolute plumbing cape town")</f>
        <v>best absolute plumbing cape town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IFERROR(__xludf.DUMMYFUNCTION("""COMPUTED_VALUE"""),"aircon repair cape town insured")</f>
        <v>aircon repair cape town insured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IFERROR(__xludf.DUMMYFUNCTION("""COMPUTED_VALUE"""),"best aircon repair cape town")</f>
        <v>best aircon repair cape town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IFERROR(__xludf.DUMMYFUNCTION("""COMPUTED_VALUE"""),"aircon repair cape town licensed")</f>
        <v>aircon repair cape town licensed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IFERROR(__xludf.DUMMYFUNCTION("""COMPUTED_VALUE"""),"best bosman plumbers")</f>
        <v>best bosman plumbers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IFERROR(__xludf.DUMMYFUNCTION("""COMPUTED_VALUE"""),"aircon repair cape town local")</f>
        <v>aircon repair cape town local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IFERROR(__xludf.DUMMYFUNCTION("""COMPUTED_VALUE"""),"best drain surgeon cape town")</f>
        <v>best drain surgeon cape town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IFERROR(__xludf.DUMMYFUNCTION("""COMPUTED_VALUE"""),"aircon repair cape town near me")</f>
        <v>aircon repair cape town near me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IFERROR(__xludf.DUMMYFUNCTION("""COMPUTED_VALUE"""),"best electrician cape town")</f>
        <v>best electrician cape town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IFERROR(__xludf.DUMMYFUNCTION("""COMPUTED_VALUE"""),"aircon repair cape town prices")</f>
        <v>aircon repair cape town prices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IFERROR(__xludf.DUMMYFUNCTION("""COMPUTED_VALUE"""),"best emergency plumber cape town")</f>
        <v>best emergency plumber cape town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IFERROR(__xludf.DUMMYFUNCTION("""COMPUTED_VALUE"""),"aircon repair cape town qualified")</f>
        <v>aircon repair cape town qualified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IFERROR(__xludf.DUMMYFUNCTION("""COMPUTED_VALUE"""),"best plumber near me")</f>
        <v>best plumber near me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IFERROR(__xludf.DUMMYFUNCTION("""COMPUTED_VALUE"""),"aircon repair cape town quote")</f>
        <v>aircon repair cape town quote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IFERROR(__xludf.DUMMYFUNCTION("""COMPUTED_VALUE"""),"best plumbers cape town")</f>
        <v>best plumbers cape town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IFERROR(__xludf.DUMMYFUNCTION("""COMPUTED_VALUE"""),"aircon repair cape town reliable")</f>
        <v>aircon repair cape town reliable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IFERROR(__xludf.DUMMYFUNCTION("""COMPUTED_VALUE"""),"best plumbing company cape town")</f>
        <v>best plumbing company cape town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IFERROR(__xludf.DUMMYFUNCTION("""COMPUTED_VALUE"""),"aircon repair cape town reputable")</f>
        <v>aircon repair cape town reputable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IFERROR(__xludf.DUMMYFUNCTION("""COMPUTED_VALUE"""),"best schmidhauser plumbing")</f>
        <v>best schmidhauser plumbing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IFERROR(__xludf.DUMMYFUNCTION("""COMPUTED_VALUE"""),"aircon repair cape town review")</f>
        <v>aircon repair cape town review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IFERROR(__xludf.DUMMYFUNCTION("""COMPUTED_VALUE"""),"certified absolute plumbing cape town")</f>
        <v>certified absolute plumbing cape town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IFERROR(__xludf.DUMMYFUNCTION("""COMPUTED_VALUE"""),"aircon repair cape town reviews")</f>
        <v>aircon repair cape town reviews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IFERROR(__xludf.DUMMYFUNCTION("""COMPUTED_VALUE"""),"certified aircon repair cape town")</f>
        <v>certified aircon repair cape town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IFERROR(__xludf.DUMMYFUNCTION("""COMPUTED_VALUE"""),"aircon repair cape town same day")</f>
        <v>aircon repair cape town same day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IFERROR(__xludf.DUMMYFUNCTION("""COMPUTED_VALUE"""),"certified bosman plumbers")</f>
        <v>certified bosman plumbers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IFERROR(__xludf.DUMMYFUNCTION("""COMPUTED_VALUE"""),"aircon repair cape town top rated")</f>
        <v>aircon repair cape town top rated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IFERROR(__xludf.DUMMYFUNCTION("""COMPUTED_VALUE"""),"certified drain surgeon cape town")</f>
        <v>certified drain surgeon cape town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IFERROR(__xludf.DUMMYFUNCTION("""COMPUTED_VALUE"""),"aircon repair cape town trusted")</f>
        <v>aircon repair cape town trusted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IFERROR(__xludf.DUMMYFUNCTION("""COMPUTED_VALUE"""),"certified electrician cape town")</f>
        <v>certified electrician cape town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IFERROR(__xludf.DUMMYFUNCTION("""COMPUTED_VALUE"""),"aircon repair cape town vs")</f>
        <v>aircon repair cape town vs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IFERROR(__xludf.DUMMYFUNCTION("""COMPUTED_VALUE"""),"certified emergency plumber cape town")</f>
        <v>certified emergency plumber cape town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IFERROR(__xludf.DUMMYFUNCTION("""COMPUTED_VALUE"""),"bosman plumbers 24 hour")</f>
        <v>bosman plumbers 24 hour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IFERROR(__xludf.DUMMYFUNCTION("""COMPUTED_VALUE"""),"certified plumber near me")</f>
        <v>certified plumber near me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IFERROR(__xludf.DUMMYFUNCTION("""COMPUTED_VALUE"""),"bosman plumbers affordable")</f>
        <v>bosman plumbers affordable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IFERROR(__xludf.DUMMYFUNCTION("""COMPUTED_VALUE"""),"certified plumbers cape town")</f>
        <v>certified plumbers cape town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IFERROR(__xludf.DUMMYFUNCTION("""COMPUTED_VALUE"""),"bosman plumbers alternatives")</f>
        <v>bosman plumbers alternatives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IFERROR(__xludf.DUMMYFUNCTION("""COMPUTED_VALUE"""),"certified plumbing company cape town")</f>
        <v>certified plumbing company cape town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IFERROR(__xludf.DUMMYFUNCTION("""COMPUTED_VALUE"""),"bosman plumbers best")</f>
        <v>bosman plumbers best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IFERROR(__xludf.DUMMYFUNCTION("""COMPUTED_VALUE"""),"certified schmidhauser plumbing")</f>
        <v>certified schmidhauser plumbing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IFERROR(__xludf.DUMMYFUNCTION("""COMPUTED_VALUE"""),"bosman plumbers certified")</f>
        <v>bosman plumbers certified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IFERROR(__xludf.DUMMYFUNCTION("""COMPUTED_VALUE"""),"compare absolute plumbing cape town")</f>
        <v>compare absolute plumbing cape town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IFERROR(__xludf.DUMMYFUNCTION("""COMPUTED_VALUE"""),"bosman plumbers compare")</f>
        <v>bosman plumbers compare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IFERROR(__xludf.DUMMYFUNCTION("""COMPUTED_VALUE"""),"compare aircon repair cape town")</f>
        <v>compare aircon repair cape town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IFERROR(__xludf.DUMMYFUNCTION("""COMPUTED_VALUE"""),"bosman plumbers complaints")</f>
        <v>bosman plumbers complaints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IFERROR(__xludf.DUMMYFUNCTION("""COMPUTED_VALUE"""),"compare bosman plumbers")</f>
        <v>compare bosman plumbers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IFERROR(__xludf.DUMMYFUNCTION("""COMPUTED_VALUE"""),"bosman plumbers cost")</f>
        <v>bosman plumbers cost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IFERROR(__xludf.DUMMYFUNCTION("""COMPUTED_VALUE"""),"compare drain surgeon cape town")</f>
        <v>compare drain surgeon cape town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IFERROR(__xludf.DUMMYFUNCTION("""COMPUTED_VALUE"""),"bosman plumbers insured")</f>
        <v>bosman plumbers insured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IFERROR(__xludf.DUMMYFUNCTION("""COMPUTED_VALUE"""),"compare electrician cape town")</f>
        <v>compare electrician cape town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IFERROR(__xludf.DUMMYFUNCTION("""COMPUTED_VALUE"""),"bosman plumbers licensed")</f>
        <v>bosman plumbers licensed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IFERROR(__xludf.DUMMYFUNCTION("""COMPUTED_VALUE"""),"compare emergency plumber cape town")</f>
        <v>compare emergency plumber cape town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IFERROR(__xludf.DUMMYFUNCTION("""COMPUTED_VALUE"""),"bosman plumbers local")</f>
        <v>bosman plumbers local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IFERROR(__xludf.DUMMYFUNCTION("""COMPUTED_VALUE"""),"compare plumber near me")</f>
        <v>compare plumber near me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IFERROR(__xludf.DUMMYFUNCTION("""COMPUTED_VALUE"""),"bosman plumbers near me")</f>
        <v>bosman plumbers near me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IFERROR(__xludf.DUMMYFUNCTION("""COMPUTED_VALUE"""),"compare plumbers cape town")</f>
        <v>compare plumbers cape town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IFERROR(__xludf.DUMMYFUNCTION("""COMPUTED_VALUE"""),"bosman plumbers prices")</f>
        <v>bosman plumbers prices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IFERROR(__xludf.DUMMYFUNCTION("""COMPUTED_VALUE"""),"compare plumbing company cape town")</f>
        <v>compare plumbing company cape town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IFERROR(__xludf.DUMMYFUNCTION("""COMPUTED_VALUE"""),"bosman plumbers qualified")</f>
        <v>bosman plumbers qualified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IFERROR(__xludf.DUMMYFUNCTION("""COMPUTED_VALUE"""),"compare schmidhauser plumbing")</f>
        <v>compare schmidhauser plumbing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IFERROR(__xludf.DUMMYFUNCTION("""COMPUTED_VALUE"""),"bosman plumbers quote")</f>
        <v>bosman plumbers quote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IFERROR(__xludf.DUMMYFUNCTION("""COMPUTED_VALUE"""),"complaints absolute plumbing cape town")</f>
        <v>complaints absolute plumbing cape town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IFERROR(__xludf.DUMMYFUNCTION("""COMPUTED_VALUE"""),"bosman plumbers reliable")</f>
        <v>bosman plumbers reliable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IFERROR(__xludf.DUMMYFUNCTION("""COMPUTED_VALUE"""),"complaints aircon repair cape town")</f>
        <v>complaints aircon repair cape town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IFERROR(__xludf.DUMMYFUNCTION("""COMPUTED_VALUE"""),"bosman plumbers reputable")</f>
        <v>bosman plumbers reputable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IFERROR(__xludf.DUMMYFUNCTION("""COMPUTED_VALUE"""),"complaints bosman plumbers")</f>
        <v>complaints bosman plumbers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IFERROR(__xludf.DUMMYFUNCTION("""COMPUTED_VALUE"""),"bosman plumbers review")</f>
        <v>bosman plumbers review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IFERROR(__xludf.DUMMYFUNCTION("""COMPUTED_VALUE"""),"complaints drain surgeon cape town")</f>
        <v>complaints drain surgeon cape town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IFERROR(__xludf.DUMMYFUNCTION("""COMPUTED_VALUE"""),"bosman plumbers reviews")</f>
        <v>bosman plumbers reviews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IFERROR(__xludf.DUMMYFUNCTION("""COMPUTED_VALUE"""),"complaints electrician cape town")</f>
        <v>complaints electrician cape town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IFERROR(__xludf.DUMMYFUNCTION("""COMPUTED_VALUE"""),"bosman plumbers same day")</f>
        <v>bosman plumbers same day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IFERROR(__xludf.DUMMYFUNCTION("""COMPUTED_VALUE"""),"complaints emergency plumber cape town")</f>
        <v>complaints emergency plumber cape town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IFERROR(__xludf.DUMMYFUNCTION("""COMPUTED_VALUE"""),"bosman plumbers top rated")</f>
        <v>bosman plumbers top rated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IFERROR(__xludf.DUMMYFUNCTION("""COMPUTED_VALUE"""),"complaints plumber near me")</f>
        <v>complaints plumber near me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IFERROR(__xludf.DUMMYFUNCTION("""COMPUTED_VALUE"""),"bosman plumbers trusted")</f>
        <v>bosman plumbers trusted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IFERROR(__xludf.DUMMYFUNCTION("""COMPUTED_VALUE"""),"complaints plumbers cape town")</f>
        <v>complaints plumbers cape town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IFERROR(__xludf.DUMMYFUNCTION("""COMPUTED_VALUE"""),"bosman plumbers vs")</f>
        <v>bosman plumbers vs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IFERROR(__xludf.DUMMYFUNCTION("""COMPUTED_VALUE"""),"complaints plumbing company cape town")</f>
        <v>complaints plumbing company cape town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IFERROR(__xludf.DUMMYFUNCTION("""COMPUTED_VALUE"""),"drain surgeon cape town 24 hour")</f>
        <v>drain surgeon cape town 24 hour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IFERROR(__xludf.DUMMYFUNCTION("""COMPUTED_VALUE"""),"complaints schmidhauser plumbing")</f>
        <v>complaints schmidhauser plumbing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IFERROR(__xludf.DUMMYFUNCTION("""COMPUTED_VALUE"""),"drain surgeon cape town affordable")</f>
        <v>drain surgeon cape town affordable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IFERROR(__xludf.DUMMYFUNCTION("""COMPUTED_VALUE"""),"cost absolute plumbing cape town")</f>
        <v>cost absolute plumbing cape town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IFERROR(__xludf.DUMMYFUNCTION("""COMPUTED_VALUE"""),"drain surgeon cape town alternatives")</f>
        <v>drain surgeon cape town alternatives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IFERROR(__xludf.DUMMYFUNCTION("""COMPUTED_VALUE"""),"cost aircon repair cape town")</f>
        <v>cost aircon repair cape town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IFERROR(__xludf.DUMMYFUNCTION("""COMPUTED_VALUE"""),"drain surgeon cape town best")</f>
        <v>drain surgeon cape town best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IFERROR(__xludf.DUMMYFUNCTION("""COMPUTED_VALUE"""),"cost bosman plumbers")</f>
        <v>cost bosman plumbers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IFERROR(__xludf.DUMMYFUNCTION("""COMPUTED_VALUE"""),"drain surgeon cape town certified")</f>
        <v>drain surgeon cape town certified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IFERROR(__xludf.DUMMYFUNCTION("""COMPUTED_VALUE"""),"cost drain surgeon cape town")</f>
        <v>cost drain surgeon cape town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IFERROR(__xludf.DUMMYFUNCTION("""COMPUTED_VALUE"""),"drain surgeon cape town compare")</f>
        <v>drain surgeon cape town compare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IFERROR(__xludf.DUMMYFUNCTION("""COMPUTED_VALUE"""),"cost electrician cape town")</f>
        <v>cost electrician cape town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IFERROR(__xludf.DUMMYFUNCTION("""COMPUTED_VALUE"""),"drain surgeon cape town complaints")</f>
        <v>drain surgeon cape town complaints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IFERROR(__xludf.DUMMYFUNCTION("""COMPUTED_VALUE"""),"cost emergency plumber cape town")</f>
        <v>cost emergency plumber cape town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IFERROR(__xludf.DUMMYFUNCTION("""COMPUTED_VALUE"""),"drain surgeon cape town cost")</f>
        <v>drain surgeon cape town cost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IFERROR(__xludf.DUMMYFUNCTION("""COMPUTED_VALUE"""),"cost plumber near me")</f>
        <v>cost plumber near me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IFERROR(__xludf.DUMMYFUNCTION("""COMPUTED_VALUE"""),"drain surgeon cape town insured")</f>
        <v>drain surgeon cape town insured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IFERROR(__xludf.DUMMYFUNCTION("""COMPUTED_VALUE"""),"cost plumbers cape town")</f>
        <v>cost plumbers cape town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IFERROR(__xludf.DUMMYFUNCTION("""COMPUTED_VALUE"""),"drain surgeon cape town licensed")</f>
        <v>drain surgeon cape town licensed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IFERROR(__xludf.DUMMYFUNCTION("""COMPUTED_VALUE"""),"cost plumbing company cape town")</f>
        <v>cost plumbing company cape town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IFERROR(__xludf.DUMMYFUNCTION("""COMPUTED_VALUE"""),"drain surgeon cape town local")</f>
        <v>drain surgeon cape town local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IFERROR(__xludf.DUMMYFUNCTION("""COMPUTED_VALUE"""),"cost schmidhauser plumbing")</f>
        <v>cost schmidhauser plumbing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IFERROR(__xludf.DUMMYFUNCTION("""COMPUTED_VALUE"""),"drain surgeon cape town near me")</f>
        <v>drain surgeon cape town near me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IFERROR(__xludf.DUMMYFUNCTION("""COMPUTED_VALUE"""),"insured absolute plumbing cape town")</f>
        <v>insured absolute plumbing cape town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IFERROR(__xludf.DUMMYFUNCTION("""COMPUTED_VALUE"""),"drain surgeon cape town prices")</f>
        <v>drain surgeon cape town prices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IFERROR(__xludf.DUMMYFUNCTION("""COMPUTED_VALUE"""),"insured aircon repair cape town")</f>
        <v>insured aircon repair cape town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IFERROR(__xludf.DUMMYFUNCTION("""COMPUTED_VALUE"""),"drain surgeon cape town qualified")</f>
        <v>drain surgeon cape town qualified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IFERROR(__xludf.DUMMYFUNCTION("""COMPUTED_VALUE"""),"insured bosman plumbers")</f>
        <v>insured bosman plumbers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IFERROR(__xludf.DUMMYFUNCTION("""COMPUTED_VALUE"""),"drain surgeon cape town quote")</f>
        <v>drain surgeon cape town quote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IFERROR(__xludf.DUMMYFUNCTION("""COMPUTED_VALUE"""),"insured drain surgeon cape town")</f>
        <v>insured drain surgeon cape town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IFERROR(__xludf.DUMMYFUNCTION("""COMPUTED_VALUE"""),"drain surgeon cape town reliable")</f>
        <v>drain surgeon cape town reliable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IFERROR(__xludf.DUMMYFUNCTION("""COMPUTED_VALUE"""),"insured electrician cape town")</f>
        <v>insured electrician cape town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IFERROR(__xludf.DUMMYFUNCTION("""COMPUTED_VALUE"""),"drain surgeon cape town reputable")</f>
        <v>drain surgeon cape town reputable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IFERROR(__xludf.DUMMYFUNCTION("""COMPUTED_VALUE"""),"insured emergency plumber cape town")</f>
        <v>insured emergency plumber cape town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IFERROR(__xludf.DUMMYFUNCTION("""COMPUTED_VALUE"""),"drain surgeon cape town review")</f>
        <v>drain surgeon cape town review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IFERROR(__xludf.DUMMYFUNCTION("""COMPUTED_VALUE"""),"insured plumber near me")</f>
        <v>insured plumber near me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IFERROR(__xludf.DUMMYFUNCTION("""COMPUTED_VALUE"""),"drain surgeon cape town reviews")</f>
        <v>drain surgeon cape town reviews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IFERROR(__xludf.DUMMYFUNCTION("""COMPUTED_VALUE"""),"insured plumbers cape town")</f>
        <v>insured plumbers cape town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IFERROR(__xludf.DUMMYFUNCTION("""COMPUTED_VALUE"""),"drain surgeon cape town same day")</f>
        <v>drain surgeon cape town same day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IFERROR(__xludf.DUMMYFUNCTION("""COMPUTED_VALUE"""),"insured plumbing company cape town")</f>
        <v>insured plumbing company cape town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IFERROR(__xludf.DUMMYFUNCTION("""COMPUTED_VALUE"""),"drain surgeon cape town top rated")</f>
        <v>drain surgeon cape town top rated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IFERROR(__xludf.DUMMYFUNCTION("""COMPUTED_VALUE"""),"insured schmidhauser plumbing")</f>
        <v>insured schmidhauser plumbing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IFERROR(__xludf.DUMMYFUNCTION("""COMPUTED_VALUE"""),"drain surgeon cape town trusted")</f>
        <v>drain surgeon cape town trusted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IFERROR(__xludf.DUMMYFUNCTION("""COMPUTED_VALUE"""),"licensed absolute plumbing cape town")</f>
        <v>licensed absolute plumbing cape town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IFERROR(__xludf.DUMMYFUNCTION("""COMPUTED_VALUE"""),"drain surgeon cape town vs")</f>
        <v>drain surgeon cape town vs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IFERROR(__xludf.DUMMYFUNCTION("""COMPUTED_VALUE"""),"licensed aircon repair cape town")</f>
        <v>licensed aircon repair cape town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IFERROR(__xludf.DUMMYFUNCTION("""COMPUTED_VALUE"""),"electrician cape town 24 hour")</f>
        <v>electrician cape town 24 hour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IFERROR(__xludf.DUMMYFUNCTION("""COMPUTED_VALUE"""),"licensed bosman plumbers")</f>
        <v>licensed bosman plumbers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IFERROR(__xludf.DUMMYFUNCTION("""COMPUTED_VALUE"""),"electrician cape town affordable")</f>
        <v>electrician cape town affordable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IFERROR(__xludf.DUMMYFUNCTION("""COMPUTED_VALUE"""),"licensed drain surgeon cape town")</f>
        <v>licensed drain surgeon cape town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IFERROR(__xludf.DUMMYFUNCTION("""COMPUTED_VALUE"""),"electrician cape town alternatives")</f>
        <v>electrician cape town alternatives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IFERROR(__xludf.DUMMYFUNCTION("""COMPUTED_VALUE"""),"licensed electrician cape town")</f>
        <v>licensed electrician cape town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IFERROR(__xludf.DUMMYFUNCTION("""COMPUTED_VALUE"""),"electrician cape town best")</f>
        <v>electrician cape town best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IFERROR(__xludf.DUMMYFUNCTION("""COMPUTED_VALUE"""),"licensed emergency plumber cape town")</f>
        <v>licensed emergency plumber cape town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IFERROR(__xludf.DUMMYFUNCTION("""COMPUTED_VALUE"""),"electrician cape town certified")</f>
        <v>electrician cape town certified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IFERROR(__xludf.DUMMYFUNCTION("""COMPUTED_VALUE"""),"licensed plumber near me")</f>
        <v>licensed plumber near me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IFERROR(__xludf.DUMMYFUNCTION("""COMPUTED_VALUE"""),"electrician cape town compare")</f>
        <v>electrician cape town compare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IFERROR(__xludf.DUMMYFUNCTION("""COMPUTED_VALUE"""),"licensed plumbers cape town")</f>
        <v>licensed plumbers cape town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IFERROR(__xludf.DUMMYFUNCTION("""COMPUTED_VALUE"""),"electrician cape town complaints")</f>
        <v>electrician cape town complaints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IFERROR(__xludf.DUMMYFUNCTION("""COMPUTED_VALUE"""),"licensed plumbing company cape town")</f>
        <v>licensed plumbing company cape town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IFERROR(__xludf.DUMMYFUNCTION("""COMPUTED_VALUE"""),"electrician cape town cost")</f>
        <v>electrician cape town cost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IFERROR(__xludf.DUMMYFUNCTION("""COMPUTED_VALUE"""),"licensed schmidhauser plumbing")</f>
        <v>licensed schmidhauser plumbing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IFERROR(__xludf.DUMMYFUNCTION("""COMPUTED_VALUE"""),"electrician cape town insured")</f>
        <v>electrician cape town insured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IFERROR(__xludf.DUMMYFUNCTION("""COMPUTED_VALUE"""),"local absolute plumbing cape town")</f>
        <v>local absolute plumbing cape town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IFERROR(__xludf.DUMMYFUNCTION("""COMPUTED_VALUE"""),"electrician cape town licensed")</f>
        <v>electrician cape town licensed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IFERROR(__xludf.DUMMYFUNCTION("""COMPUTED_VALUE"""),"local aircon repair cape town")</f>
        <v>local aircon repair cape town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IFERROR(__xludf.DUMMYFUNCTION("""COMPUTED_VALUE"""),"electrician cape town local")</f>
        <v>electrician cape town local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IFERROR(__xludf.DUMMYFUNCTION("""COMPUTED_VALUE"""),"local bosman plumbers")</f>
        <v>local bosman plumbers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IFERROR(__xludf.DUMMYFUNCTION("""COMPUTED_VALUE"""),"electrician cape town near me")</f>
        <v>electrician cape town near me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IFERROR(__xludf.DUMMYFUNCTION("""COMPUTED_VALUE"""),"local drain surgeon cape town")</f>
        <v>local drain surgeon cape town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IFERROR(__xludf.DUMMYFUNCTION("""COMPUTED_VALUE"""),"electrician cape town prices")</f>
        <v>electrician cape town prices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IFERROR(__xludf.DUMMYFUNCTION("""COMPUTED_VALUE"""),"local electrician cape town")</f>
        <v>local electrician cape town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IFERROR(__xludf.DUMMYFUNCTION("""COMPUTED_VALUE"""),"electrician cape town qualified")</f>
        <v>electrician cape town qualified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IFERROR(__xludf.DUMMYFUNCTION("""COMPUTED_VALUE"""),"local emergency plumber cape town")</f>
        <v>local emergency plumber cape town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IFERROR(__xludf.DUMMYFUNCTION("""COMPUTED_VALUE"""),"electrician cape town quote")</f>
        <v>electrician cape town quote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IFERROR(__xludf.DUMMYFUNCTION("""COMPUTED_VALUE"""),"local plumber near me")</f>
        <v>local plumber near me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IFERROR(__xludf.DUMMYFUNCTION("""COMPUTED_VALUE"""),"electrician cape town reliable")</f>
        <v>electrician cape town reliable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IFERROR(__xludf.DUMMYFUNCTION("""COMPUTED_VALUE"""),"local plumbers cape town")</f>
        <v>local plumbers cape town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IFERROR(__xludf.DUMMYFUNCTION("""COMPUTED_VALUE"""),"electrician cape town reputable")</f>
        <v>electrician cape town reputable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IFERROR(__xludf.DUMMYFUNCTION("""COMPUTED_VALUE"""),"local plumbing company cape town")</f>
        <v>local plumbing company cape town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IFERROR(__xludf.DUMMYFUNCTION("""COMPUTED_VALUE"""),"electrician cape town review")</f>
        <v>electrician cape town review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IFERROR(__xludf.DUMMYFUNCTION("""COMPUTED_VALUE"""),"local schmidhauser plumbing")</f>
        <v>local schmidhauser plumbing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IFERROR(__xludf.DUMMYFUNCTION("""COMPUTED_VALUE"""),"electrician cape town reviews")</f>
        <v>electrician cape town reviews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IFERROR(__xludf.DUMMYFUNCTION("""COMPUTED_VALUE"""),"near me absolute plumbing cape town")</f>
        <v>near me absolute plumbing cape town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IFERROR(__xludf.DUMMYFUNCTION("""COMPUTED_VALUE"""),"electrician cape town same day")</f>
        <v>electrician cape town same day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IFERROR(__xludf.DUMMYFUNCTION("""COMPUTED_VALUE"""),"near me aircon repair cape town")</f>
        <v>near me aircon repair cape town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IFERROR(__xludf.DUMMYFUNCTION("""COMPUTED_VALUE"""),"electrician cape town top rated")</f>
        <v>electrician cape town top rated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IFERROR(__xludf.DUMMYFUNCTION("""COMPUTED_VALUE"""),"near me bosman plumbers")</f>
        <v>near me bosman plumbers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IFERROR(__xludf.DUMMYFUNCTION("""COMPUTED_VALUE"""),"electrician cape town trusted")</f>
        <v>electrician cape town trusted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IFERROR(__xludf.DUMMYFUNCTION("""COMPUTED_VALUE"""),"near me drain surgeon cape town")</f>
        <v>near me drain surgeon cape town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IFERROR(__xludf.DUMMYFUNCTION("""COMPUTED_VALUE"""),"electrician cape town vs")</f>
        <v>electrician cape town vs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IFERROR(__xludf.DUMMYFUNCTION("""COMPUTED_VALUE"""),"near me electrician cape town")</f>
        <v>near me electrician cape town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IFERROR(__xludf.DUMMYFUNCTION("""COMPUTED_VALUE"""),"emergency plumber cape town 24 hour")</f>
        <v>emergency plumber cape town 24 hour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IFERROR(__xludf.DUMMYFUNCTION("""COMPUTED_VALUE"""),"near me emergency plumber cape town")</f>
        <v>near me emergency plumber cape town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IFERROR(__xludf.DUMMYFUNCTION("""COMPUTED_VALUE"""),"emergency plumber cape town affordable")</f>
        <v>emergency plumber cape town affordable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IFERROR(__xludf.DUMMYFUNCTION("""COMPUTED_VALUE"""),"near me plumbers cape town")</f>
        <v>near me plumbers cape town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IFERROR(__xludf.DUMMYFUNCTION("""COMPUTED_VALUE"""),"emergency plumber cape town alternatives")</f>
        <v>emergency plumber cape town alternatives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IFERROR(__xludf.DUMMYFUNCTION("""COMPUTED_VALUE"""),"near me plumbing company cape town")</f>
        <v>near me plumbing company cape town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IFERROR(__xludf.DUMMYFUNCTION("""COMPUTED_VALUE"""),"emergency plumber cape town best")</f>
        <v>emergency plumber cape town best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IFERROR(__xludf.DUMMYFUNCTION("""COMPUTED_VALUE"""),"near me schmidhauser plumbing")</f>
        <v>near me schmidhauser plumbing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IFERROR(__xludf.DUMMYFUNCTION("""COMPUTED_VALUE"""),"emergency plumber cape town certified")</f>
        <v>emergency plumber cape town certified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IFERROR(__xludf.DUMMYFUNCTION("""COMPUTED_VALUE"""),"plumber near me")</f>
        <v>plumber near me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IFERROR(__xludf.DUMMYFUNCTION("""COMPUTED_VALUE"""),"emergency plumber cape town compare")</f>
        <v>emergency plumber cape town compare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IFERROR(__xludf.DUMMYFUNCTION("""COMPUTED_VALUE"""),"prices absolute plumbing cape town")</f>
        <v>prices absolute plumbing cape town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IFERROR(__xludf.DUMMYFUNCTION("""COMPUTED_VALUE"""),"emergency plumber cape town complaints")</f>
        <v>emergency plumber cape town complaints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IFERROR(__xludf.DUMMYFUNCTION("""COMPUTED_VALUE"""),"prices aircon repair cape town")</f>
        <v>prices aircon repair cape town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IFERROR(__xludf.DUMMYFUNCTION("""COMPUTED_VALUE"""),"emergency plumber cape town cost")</f>
        <v>emergency plumber cape town cost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IFERROR(__xludf.DUMMYFUNCTION("""COMPUTED_VALUE"""),"prices bosman plumbers")</f>
        <v>prices bosman plumbers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IFERROR(__xludf.DUMMYFUNCTION("""COMPUTED_VALUE"""),"emergency plumber cape town insured")</f>
        <v>emergency plumber cape town insured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IFERROR(__xludf.DUMMYFUNCTION("""COMPUTED_VALUE"""),"prices drain surgeon cape town")</f>
        <v>prices drain surgeon cape town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IFERROR(__xludf.DUMMYFUNCTION("""COMPUTED_VALUE"""),"emergency plumber cape town licensed")</f>
        <v>emergency plumber cape town licensed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IFERROR(__xludf.DUMMYFUNCTION("""COMPUTED_VALUE"""),"prices electrician cape town")</f>
        <v>prices electrician cape town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IFERROR(__xludf.DUMMYFUNCTION("""COMPUTED_VALUE"""),"emergency plumber cape town local")</f>
        <v>emergency plumber cape town local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IFERROR(__xludf.DUMMYFUNCTION("""COMPUTED_VALUE"""),"prices emergency plumber cape town")</f>
        <v>prices emergency plumber cape town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IFERROR(__xludf.DUMMYFUNCTION("""COMPUTED_VALUE"""),"emergency plumber cape town near me")</f>
        <v>emergency plumber cape town near me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IFERROR(__xludf.DUMMYFUNCTION("""COMPUTED_VALUE"""),"prices plumber near me")</f>
        <v>prices plumber near me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IFERROR(__xludf.DUMMYFUNCTION("""COMPUTED_VALUE"""),"emergency plumber cape town prices")</f>
        <v>emergency plumber cape town prices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IFERROR(__xludf.DUMMYFUNCTION("""COMPUTED_VALUE"""),"prices plumbers cape town")</f>
        <v>prices plumbers cape town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IFERROR(__xludf.DUMMYFUNCTION("""COMPUTED_VALUE"""),"emergency plumber cape town qualified")</f>
        <v>emergency plumber cape town qualified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IFERROR(__xludf.DUMMYFUNCTION("""COMPUTED_VALUE"""),"prices plumbing company cape town")</f>
        <v>prices plumbing company cape town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IFERROR(__xludf.DUMMYFUNCTION("""COMPUTED_VALUE"""),"emergency plumber cape town quote")</f>
        <v>emergency plumber cape town quote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IFERROR(__xludf.DUMMYFUNCTION("""COMPUTED_VALUE"""),"prices schmidhauser plumbing")</f>
        <v>prices schmidhauser plumbing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IFERROR(__xludf.DUMMYFUNCTION("""COMPUTED_VALUE"""),"emergency plumber cape town reliable")</f>
        <v>emergency plumber cape town reliable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IFERROR(__xludf.DUMMYFUNCTION("""COMPUTED_VALUE"""),"qualified absolute plumbing cape town")</f>
        <v>qualified absolute plumbing cape town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IFERROR(__xludf.DUMMYFUNCTION("""COMPUTED_VALUE"""),"emergency plumber cape town reputable")</f>
        <v>emergency plumber cape town reputable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IFERROR(__xludf.DUMMYFUNCTION("""COMPUTED_VALUE"""),"qualified aircon repair cape town")</f>
        <v>qualified aircon repair cape town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IFERROR(__xludf.DUMMYFUNCTION("""COMPUTED_VALUE"""),"emergency plumber cape town review")</f>
        <v>emergency plumber cape town review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IFERROR(__xludf.DUMMYFUNCTION("""COMPUTED_VALUE"""),"qualified bosman plumbers")</f>
        <v>qualified bosman plumbers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IFERROR(__xludf.DUMMYFUNCTION("""COMPUTED_VALUE"""),"emergency plumber cape town reviews")</f>
        <v>emergency plumber cape town reviews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IFERROR(__xludf.DUMMYFUNCTION("""COMPUTED_VALUE"""),"qualified drain surgeon cape town")</f>
        <v>qualified drain surgeon cape town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IFERROR(__xludf.DUMMYFUNCTION("""COMPUTED_VALUE"""),"emergency plumber cape town same day")</f>
        <v>emergency plumber cape town same day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IFERROR(__xludf.DUMMYFUNCTION("""COMPUTED_VALUE"""),"qualified electrician cape town")</f>
        <v>qualified electrician cape town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IFERROR(__xludf.DUMMYFUNCTION("""COMPUTED_VALUE"""),"emergency plumber cape town top rated")</f>
        <v>emergency plumber cape town top rated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IFERROR(__xludf.DUMMYFUNCTION("""COMPUTED_VALUE"""),"qualified emergency plumber cape town")</f>
        <v>qualified emergency plumber cape town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IFERROR(__xludf.DUMMYFUNCTION("""COMPUTED_VALUE"""),"emergency plumber cape town trusted")</f>
        <v>emergency plumber cape town trusted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IFERROR(__xludf.DUMMYFUNCTION("""COMPUTED_VALUE"""),"qualified plumber near me")</f>
        <v>qualified plumber near me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IFERROR(__xludf.DUMMYFUNCTION("""COMPUTED_VALUE"""),"emergency plumber cape town vs")</f>
        <v>emergency plumber cape town vs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IFERROR(__xludf.DUMMYFUNCTION("""COMPUTED_VALUE"""),"qualified plumbers cape town")</f>
        <v>qualified plumbers cape town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IFERROR(__xludf.DUMMYFUNCTION("""COMPUTED_VALUE"""),"plumber near me")</f>
        <v>plumber near me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IFERROR(__xludf.DUMMYFUNCTION("""COMPUTED_VALUE"""),"qualified plumbing company cape town")</f>
        <v>qualified plumbing company cape town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IFERROR(__xludf.DUMMYFUNCTION("""COMPUTED_VALUE"""),"plumber near me 24 hour")</f>
        <v>plumber near me 24 hour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IFERROR(__xludf.DUMMYFUNCTION("""COMPUTED_VALUE"""),"qualified schmidhauser plumbing")</f>
        <v>qualified schmidhauser plumbing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IFERROR(__xludf.DUMMYFUNCTION("""COMPUTED_VALUE"""),"plumber near me affordable")</f>
        <v>plumber near me affordable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IFERROR(__xludf.DUMMYFUNCTION("""COMPUTED_VALUE"""),"quote absolute plumbing cape town")</f>
        <v>quote absolute plumbing cape town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IFERROR(__xludf.DUMMYFUNCTION("""COMPUTED_VALUE"""),"plumber near me alternatives")</f>
        <v>plumber near me alternatives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IFERROR(__xludf.DUMMYFUNCTION("""COMPUTED_VALUE"""),"quote aircon repair cape town")</f>
        <v>quote aircon repair cape town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IFERROR(__xludf.DUMMYFUNCTION("""COMPUTED_VALUE"""),"plumber near me best")</f>
        <v>plumber near me best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IFERROR(__xludf.DUMMYFUNCTION("""COMPUTED_VALUE"""),"quote bosman plumbers")</f>
        <v>quote bosman plumbers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IFERROR(__xludf.DUMMYFUNCTION("""COMPUTED_VALUE"""),"plumber near me certified")</f>
        <v>plumber near me certified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IFERROR(__xludf.DUMMYFUNCTION("""COMPUTED_VALUE"""),"quote drain surgeon cape town")</f>
        <v>quote drain surgeon cape town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IFERROR(__xludf.DUMMYFUNCTION("""COMPUTED_VALUE"""),"plumber near me compare")</f>
        <v>plumber near me compare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IFERROR(__xludf.DUMMYFUNCTION("""COMPUTED_VALUE"""),"quote electrician cape town")</f>
        <v>quote electrician cape town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IFERROR(__xludf.DUMMYFUNCTION("""COMPUTED_VALUE"""),"plumber near me complaints")</f>
        <v>plumber near me complaints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IFERROR(__xludf.DUMMYFUNCTION("""COMPUTED_VALUE"""),"quote emergency plumber cape town")</f>
        <v>quote emergency plumber cape town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IFERROR(__xludf.DUMMYFUNCTION("""COMPUTED_VALUE"""),"plumber near me cost")</f>
        <v>plumber near me cost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IFERROR(__xludf.DUMMYFUNCTION("""COMPUTED_VALUE"""),"quote plumber near me")</f>
        <v>quote plumber near me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IFERROR(__xludf.DUMMYFUNCTION("""COMPUTED_VALUE"""),"plumber near me insured")</f>
        <v>plumber near me insured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IFERROR(__xludf.DUMMYFUNCTION("""COMPUTED_VALUE"""),"quote plumbers cape town")</f>
        <v>quote plumbers cape town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IFERROR(__xludf.DUMMYFUNCTION("""COMPUTED_VALUE"""),"plumber near me licensed")</f>
        <v>plumber near me licensed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IFERROR(__xludf.DUMMYFUNCTION("""COMPUTED_VALUE"""),"quote plumbing company cape town")</f>
        <v>quote plumbing company cape town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IFERROR(__xludf.DUMMYFUNCTION("""COMPUTED_VALUE"""),"plumber near me local")</f>
        <v>plumber near me local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IFERROR(__xludf.DUMMYFUNCTION("""COMPUTED_VALUE"""),"quote schmidhauser plumbing")</f>
        <v>quote schmidhauser plumbing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IFERROR(__xludf.DUMMYFUNCTION("""COMPUTED_VALUE"""),"plumber near me prices")</f>
        <v>plumber near me prices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IFERROR(__xludf.DUMMYFUNCTION("""COMPUTED_VALUE"""),"reliable absolute plumbing cape town")</f>
        <v>reliable absolute plumbing cape town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IFERROR(__xludf.DUMMYFUNCTION("""COMPUTED_VALUE"""),"plumber near me qualified")</f>
        <v>plumber near me qualified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IFERROR(__xludf.DUMMYFUNCTION("""COMPUTED_VALUE"""),"reliable aircon repair cape town")</f>
        <v>reliable aircon repair cape town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IFERROR(__xludf.DUMMYFUNCTION("""COMPUTED_VALUE"""),"plumber near me quote")</f>
        <v>plumber near me quote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IFERROR(__xludf.DUMMYFUNCTION("""COMPUTED_VALUE"""),"reliable bosman plumbers")</f>
        <v>reliable bosman plumbers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IFERROR(__xludf.DUMMYFUNCTION("""COMPUTED_VALUE"""),"plumber near me reliable")</f>
        <v>plumber near me reliable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IFERROR(__xludf.DUMMYFUNCTION("""COMPUTED_VALUE"""),"reliable drain surgeon cape town")</f>
        <v>reliable drain surgeon cape town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IFERROR(__xludf.DUMMYFUNCTION("""COMPUTED_VALUE"""),"plumber near me reputable")</f>
        <v>plumber near me reputable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IFERROR(__xludf.DUMMYFUNCTION("""COMPUTED_VALUE"""),"reliable electrician cape town")</f>
        <v>reliable electrician cape town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IFERROR(__xludf.DUMMYFUNCTION("""COMPUTED_VALUE"""),"plumber near me review")</f>
        <v>plumber near me review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IFERROR(__xludf.DUMMYFUNCTION("""COMPUTED_VALUE"""),"reliable emergency plumber cape town")</f>
        <v>reliable emergency plumber cape town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IFERROR(__xludf.DUMMYFUNCTION("""COMPUTED_VALUE"""),"plumber near me reviews")</f>
        <v>plumber near me reviews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IFERROR(__xludf.DUMMYFUNCTION("""COMPUTED_VALUE"""),"reliable plumber near me")</f>
        <v>reliable plumber near me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IFERROR(__xludf.DUMMYFUNCTION("""COMPUTED_VALUE"""),"plumber near me same day")</f>
        <v>plumber near me same day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IFERROR(__xludf.DUMMYFUNCTION("""COMPUTED_VALUE"""),"reliable plumbers cape town")</f>
        <v>reliable plumbers cape town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IFERROR(__xludf.DUMMYFUNCTION("""COMPUTED_VALUE"""),"plumber near me top rated")</f>
        <v>plumber near me top rated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IFERROR(__xludf.DUMMYFUNCTION("""COMPUTED_VALUE"""),"reliable plumbing company cape town")</f>
        <v>reliable plumbing company cape town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IFERROR(__xludf.DUMMYFUNCTION("""COMPUTED_VALUE"""),"plumber near me trusted")</f>
        <v>plumber near me trusted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IFERROR(__xludf.DUMMYFUNCTION("""COMPUTED_VALUE"""),"reliable schmidhauser plumbing")</f>
        <v>reliable schmidhauser plumbing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IFERROR(__xludf.DUMMYFUNCTION("""COMPUTED_VALUE"""),"plumber near me vs")</f>
        <v>plumber near me vs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IFERROR(__xludf.DUMMYFUNCTION("""COMPUTED_VALUE"""),"reputable absolute plumbing cape town")</f>
        <v>reputable absolute plumbing cape town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IFERROR(__xludf.DUMMYFUNCTION("""COMPUTED_VALUE"""),"plumbers cape town 24 hour")</f>
        <v>plumbers cape town 24 hour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IFERROR(__xludf.DUMMYFUNCTION("""COMPUTED_VALUE"""),"reputable aircon repair cape town")</f>
        <v>reputable aircon repair cape town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IFERROR(__xludf.DUMMYFUNCTION("""COMPUTED_VALUE"""),"plumbers cape town affordable")</f>
        <v>plumbers cape town affordable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IFERROR(__xludf.DUMMYFUNCTION("""COMPUTED_VALUE"""),"reputable bosman plumbers")</f>
        <v>reputable bosman plumbers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IFERROR(__xludf.DUMMYFUNCTION("""COMPUTED_VALUE"""),"plumbers cape town alternatives")</f>
        <v>plumbers cape town alternatives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IFERROR(__xludf.DUMMYFUNCTION("""COMPUTED_VALUE"""),"reputable drain surgeon cape town")</f>
        <v>reputable drain surgeon cape town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IFERROR(__xludf.DUMMYFUNCTION("""COMPUTED_VALUE"""),"plumbers cape town best")</f>
        <v>plumbers cape town best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IFERROR(__xludf.DUMMYFUNCTION("""COMPUTED_VALUE"""),"reputable electrician cape town")</f>
        <v>reputable electrician cape town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IFERROR(__xludf.DUMMYFUNCTION("""COMPUTED_VALUE"""),"plumbers cape town certified")</f>
        <v>plumbers cape town certified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IFERROR(__xludf.DUMMYFUNCTION("""COMPUTED_VALUE"""),"reputable emergency plumber cape town")</f>
        <v>reputable emergency plumber cape town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IFERROR(__xludf.DUMMYFUNCTION("""COMPUTED_VALUE"""),"plumbers cape town compare")</f>
        <v>plumbers cape town compare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IFERROR(__xludf.DUMMYFUNCTION("""COMPUTED_VALUE"""),"reputable plumber near me")</f>
        <v>reputable plumber near me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IFERROR(__xludf.DUMMYFUNCTION("""COMPUTED_VALUE"""),"plumbers cape town complaints")</f>
        <v>plumbers cape town complaints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IFERROR(__xludf.DUMMYFUNCTION("""COMPUTED_VALUE"""),"reputable plumbers cape town")</f>
        <v>reputable plumbers cape town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IFERROR(__xludf.DUMMYFUNCTION("""COMPUTED_VALUE"""),"plumbers cape town cost")</f>
        <v>plumbers cape town cost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IFERROR(__xludf.DUMMYFUNCTION("""COMPUTED_VALUE"""),"reputable plumbing company cape town")</f>
        <v>reputable plumbing company cape town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IFERROR(__xludf.DUMMYFUNCTION("""COMPUTED_VALUE"""),"plumbers cape town insured")</f>
        <v>plumbers cape town insured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IFERROR(__xludf.DUMMYFUNCTION("""COMPUTED_VALUE"""),"reputable schmidhauser plumbing")</f>
        <v>reputable schmidhauser plumbing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IFERROR(__xludf.DUMMYFUNCTION("""COMPUTED_VALUE"""),"plumbers cape town licensed")</f>
        <v>plumbers cape town licensed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IFERROR(__xludf.DUMMYFUNCTION("""COMPUTED_VALUE"""),"review absolute plumbing cape town")</f>
        <v>review absolute plumbing cape town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IFERROR(__xludf.DUMMYFUNCTION("""COMPUTED_VALUE"""),"plumbers cape town local")</f>
        <v>plumbers cape town local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IFERROR(__xludf.DUMMYFUNCTION("""COMPUTED_VALUE"""),"review aircon repair cape town")</f>
        <v>review aircon repair cape town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IFERROR(__xludf.DUMMYFUNCTION("""COMPUTED_VALUE"""),"plumbers cape town near me")</f>
        <v>plumbers cape town near me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IFERROR(__xludf.DUMMYFUNCTION("""COMPUTED_VALUE"""),"review bosman plumbers")</f>
        <v>review bosman plumbers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IFERROR(__xludf.DUMMYFUNCTION("""COMPUTED_VALUE"""),"plumbers cape town prices")</f>
        <v>plumbers cape town prices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IFERROR(__xludf.DUMMYFUNCTION("""COMPUTED_VALUE"""),"review drain surgeon cape town")</f>
        <v>review drain surgeon cape town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IFERROR(__xludf.DUMMYFUNCTION("""COMPUTED_VALUE"""),"plumbers cape town qualified")</f>
        <v>plumbers cape town qualified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IFERROR(__xludf.DUMMYFUNCTION("""COMPUTED_VALUE"""),"review electrician cape town")</f>
        <v>review electrician cape town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IFERROR(__xludf.DUMMYFUNCTION("""COMPUTED_VALUE"""),"plumbers cape town quote")</f>
        <v>plumbers cape town quote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IFERROR(__xludf.DUMMYFUNCTION("""COMPUTED_VALUE"""),"review emergency plumber cape town")</f>
        <v>review emergency plumber cape town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IFERROR(__xludf.DUMMYFUNCTION("""COMPUTED_VALUE"""),"plumbers cape town reliable")</f>
        <v>plumbers cape town reliable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IFERROR(__xludf.DUMMYFUNCTION("""COMPUTED_VALUE"""),"review plumber near me")</f>
        <v>review plumber near me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IFERROR(__xludf.DUMMYFUNCTION("""COMPUTED_VALUE"""),"plumbers cape town reputable")</f>
        <v>plumbers cape town reputable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IFERROR(__xludf.DUMMYFUNCTION("""COMPUTED_VALUE"""),"review plumbers cape town")</f>
        <v>review plumbers cape town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IFERROR(__xludf.DUMMYFUNCTION("""COMPUTED_VALUE"""),"plumbers cape town review")</f>
        <v>plumbers cape town review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IFERROR(__xludf.DUMMYFUNCTION("""COMPUTED_VALUE"""),"review plumbing company cape town")</f>
        <v>review plumbing company cape town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IFERROR(__xludf.DUMMYFUNCTION("""COMPUTED_VALUE"""),"plumbers cape town reviews")</f>
        <v>plumbers cape town reviews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IFERROR(__xludf.DUMMYFUNCTION("""COMPUTED_VALUE"""),"review schmidhauser plumbing")</f>
        <v>review schmidhauser plumbing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IFERROR(__xludf.DUMMYFUNCTION("""COMPUTED_VALUE"""),"plumbers cape town same day")</f>
        <v>plumbers cape town same day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IFERROR(__xludf.DUMMYFUNCTION("""COMPUTED_VALUE"""),"reviews absolute plumbing cape town")</f>
        <v>reviews absolute plumbing cape town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IFERROR(__xludf.DUMMYFUNCTION("""COMPUTED_VALUE"""),"plumbers cape town top rated")</f>
        <v>plumbers cape town top rated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IFERROR(__xludf.DUMMYFUNCTION("""COMPUTED_VALUE"""),"reviews aircon repair cape town")</f>
        <v>reviews aircon repair cape town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IFERROR(__xludf.DUMMYFUNCTION("""COMPUTED_VALUE"""),"plumbers cape town trusted")</f>
        <v>plumbers cape town trusted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IFERROR(__xludf.DUMMYFUNCTION("""COMPUTED_VALUE"""),"reviews bosman plumbers")</f>
        <v>reviews bosman plumbers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IFERROR(__xludf.DUMMYFUNCTION("""COMPUTED_VALUE"""),"plumbers cape town vs")</f>
        <v>plumbers cape town vs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IFERROR(__xludf.DUMMYFUNCTION("""COMPUTED_VALUE"""),"reviews drain surgeon cape town")</f>
        <v>reviews drain surgeon cape town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IFERROR(__xludf.DUMMYFUNCTION("""COMPUTED_VALUE"""),"plumbing company cape town 24 hour")</f>
        <v>plumbing company cape town 24 hour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IFERROR(__xludf.DUMMYFUNCTION("""COMPUTED_VALUE"""),"reviews electrician cape town")</f>
        <v>reviews electrician cape town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IFERROR(__xludf.DUMMYFUNCTION("""COMPUTED_VALUE"""),"plumbing company cape town affordable")</f>
        <v>plumbing company cape town affordable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IFERROR(__xludf.DUMMYFUNCTION("""COMPUTED_VALUE"""),"reviews emergency plumber cape town")</f>
        <v>reviews emergency plumber cape town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IFERROR(__xludf.DUMMYFUNCTION("""COMPUTED_VALUE"""),"plumbing company cape town alternatives")</f>
        <v>plumbing company cape town alternatives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IFERROR(__xludf.DUMMYFUNCTION("""COMPUTED_VALUE"""),"reviews plumber near me")</f>
        <v>reviews plumber near me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IFERROR(__xludf.DUMMYFUNCTION("""COMPUTED_VALUE"""),"plumbing company cape town best")</f>
        <v>plumbing company cape town best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IFERROR(__xludf.DUMMYFUNCTION("""COMPUTED_VALUE"""),"reviews plumbers cape town")</f>
        <v>reviews plumbers cape town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IFERROR(__xludf.DUMMYFUNCTION("""COMPUTED_VALUE"""),"plumbing company cape town certified")</f>
        <v>plumbing company cape town certified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IFERROR(__xludf.DUMMYFUNCTION("""COMPUTED_VALUE"""),"reviews plumbing company cape town")</f>
        <v>reviews plumbing company cape town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IFERROR(__xludf.DUMMYFUNCTION("""COMPUTED_VALUE"""),"plumbing company cape town compare")</f>
        <v>plumbing company cape town compare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IFERROR(__xludf.DUMMYFUNCTION("""COMPUTED_VALUE"""),"reviews schmidhauser plumbing")</f>
        <v>reviews schmidhauser plumbing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IFERROR(__xludf.DUMMYFUNCTION("""COMPUTED_VALUE"""),"plumbing company cape town complaints")</f>
        <v>plumbing company cape town complaints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IFERROR(__xludf.DUMMYFUNCTION("""COMPUTED_VALUE"""),"same day absolute plumbing cape town")</f>
        <v>same day absolute plumbing cape town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IFERROR(__xludf.DUMMYFUNCTION("""COMPUTED_VALUE"""),"plumbing company cape town cost")</f>
        <v>plumbing company cape town cost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IFERROR(__xludf.DUMMYFUNCTION("""COMPUTED_VALUE"""),"same day aircon repair cape town")</f>
        <v>same day aircon repair cape town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IFERROR(__xludf.DUMMYFUNCTION("""COMPUTED_VALUE"""),"plumbing company cape town insured")</f>
        <v>plumbing company cape town insured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IFERROR(__xludf.DUMMYFUNCTION("""COMPUTED_VALUE"""),"same day bosman plumbers")</f>
        <v>same day bosman plumbers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IFERROR(__xludf.DUMMYFUNCTION("""COMPUTED_VALUE"""),"plumbing company cape town licensed")</f>
        <v>plumbing company cape town licensed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IFERROR(__xludf.DUMMYFUNCTION("""COMPUTED_VALUE"""),"same day drain surgeon cape town")</f>
        <v>same day drain surgeon cape town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IFERROR(__xludf.DUMMYFUNCTION("""COMPUTED_VALUE"""),"plumbing company cape town local")</f>
        <v>plumbing company cape town local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IFERROR(__xludf.DUMMYFUNCTION("""COMPUTED_VALUE"""),"same day electrician cape town")</f>
        <v>same day electrician cape town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IFERROR(__xludf.DUMMYFUNCTION("""COMPUTED_VALUE"""),"plumbing company cape town near me")</f>
        <v>plumbing company cape town near me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IFERROR(__xludf.DUMMYFUNCTION("""COMPUTED_VALUE"""),"same day emergency plumber cape town")</f>
        <v>same day emergency plumber cape town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IFERROR(__xludf.DUMMYFUNCTION("""COMPUTED_VALUE"""),"plumbing company cape town prices")</f>
        <v>plumbing company cape town prices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IFERROR(__xludf.DUMMYFUNCTION("""COMPUTED_VALUE"""),"same day plumber near me")</f>
        <v>same day plumber near me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IFERROR(__xludf.DUMMYFUNCTION("""COMPUTED_VALUE"""),"plumbing company cape town qualified")</f>
        <v>plumbing company cape town qualified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IFERROR(__xludf.DUMMYFUNCTION("""COMPUTED_VALUE"""),"same day plumbers cape town")</f>
        <v>same day plumbers cape town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IFERROR(__xludf.DUMMYFUNCTION("""COMPUTED_VALUE"""),"plumbing company cape town quote")</f>
        <v>plumbing company cape town quote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IFERROR(__xludf.DUMMYFUNCTION("""COMPUTED_VALUE"""),"same day plumbing company cape town")</f>
        <v>same day plumbing company cape town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7" t="str">
        <f>IFERROR(__xludf.DUMMYFUNCTION("""COMPUTED_VALUE"""),"plumbing company cape town reliable")</f>
        <v>plumbing company cape town reliable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7" t="str">
        <f>IFERROR(__xludf.DUMMYFUNCTION("""COMPUTED_VALUE"""),"same day schmidhauser plumbing")</f>
        <v>same day schmidhauser plumbing</v>
      </c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27" t="str">
        <f>IFERROR(__xludf.DUMMYFUNCTION("""COMPUTED_VALUE"""),"plumbing company cape town reputable")</f>
        <v>plumbing company cape town reputable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27" t="str">
        <f>IFERROR(__xludf.DUMMYFUNCTION("""COMPUTED_VALUE"""),"top rated absolute plumbing cape town")</f>
        <v>top rated absolute plumbing cape town</v>
      </c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27" t="str">
        <f>IFERROR(__xludf.DUMMYFUNCTION("""COMPUTED_VALUE"""),"plumbing company cape town review")</f>
        <v>plumbing company cape town review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27" t="str">
        <f>IFERROR(__xludf.DUMMYFUNCTION("""COMPUTED_VALUE"""),"top rated aircon repair cape town")</f>
        <v>top rated aircon repair cape town</v>
      </c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27" t="str">
        <f>IFERROR(__xludf.DUMMYFUNCTION("""COMPUTED_VALUE"""),"plumbing company cape town reviews")</f>
        <v>plumbing company cape town reviews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27" t="str">
        <f>IFERROR(__xludf.DUMMYFUNCTION("""COMPUTED_VALUE"""),"top rated bosman plumbers")</f>
        <v>top rated bosman plumbers</v>
      </c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27" t="str">
        <f>IFERROR(__xludf.DUMMYFUNCTION("""COMPUTED_VALUE"""),"plumbing company cape town same day")</f>
        <v>plumbing company cape town same day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27" t="str">
        <f>IFERROR(__xludf.DUMMYFUNCTION("""COMPUTED_VALUE"""),"top rated drain surgeon cape town")</f>
        <v>top rated drain surgeon cape town</v>
      </c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27" t="str">
        <f>IFERROR(__xludf.DUMMYFUNCTION("""COMPUTED_VALUE"""),"plumbing company cape town top rated")</f>
        <v>plumbing company cape town top rated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27" t="str">
        <f>IFERROR(__xludf.DUMMYFUNCTION("""COMPUTED_VALUE"""),"top rated electrician cape town")</f>
        <v>top rated electrician cape town</v>
      </c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27" t="str">
        <f>IFERROR(__xludf.DUMMYFUNCTION("""COMPUTED_VALUE"""),"plumbing company cape town trusted")</f>
        <v>plumbing company cape town trusted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27" t="str">
        <f>IFERROR(__xludf.DUMMYFUNCTION("""COMPUTED_VALUE"""),"top rated emergency plumber cape town")</f>
        <v>top rated emergency plumber cape town</v>
      </c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27" t="str">
        <f>IFERROR(__xludf.DUMMYFUNCTION("""COMPUTED_VALUE"""),"plumbing company cape town vs")</f>
        <v>plumbing company cape town vs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27" t="str">
        <f>IFERROR(__xludf.DUMMYFUNCTION("""COMPUTED_VALUE"""),"top rated plumber near me")</f>
        <v>top rated plumber near me</v>
      </c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27" t="str">
        <f>IFERROR(__xludf.DUMMYFUNCTION("""COMPUTED_VALUE"""),"schmidhauser plumbing 24 hour")</f>
        <v>schmidhauser plumbing 24 hour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27" t="str">
        <f>IFERROR(__xludf.DUMMYFUNCTION("""COMPUTED_VALUE"""),"top rated plumbers cape town")</f>
        <v>top rated plumbers cape town</v>
      </c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27" t="str">
        <f>IFERROR(__xludf.DUMMYFUNCTION("""COMPUTED_VALUE"""),"schmidhauser plumbing affordable")</f>
        <v>schmidhauser plumbing affordable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27" t="str">
        <f>IFERROR(__xludf.DUMMYFUNCTION("""COMPUTED_VALUE"""),"top rated plumbing company cape town")</f>
        <v>top rated plumbing company cape town</v>
      </c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27" t="str">
        <f>IFERROR(__xludf.DUMMYFUNCTION("""COMPUTED_VALUE"""),"schmidhauser plumbing alternatives")</f>
        <v>schmidhauser plumbing alternatives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27" t="str">
        <f>IFERROR(__xludf.DUMMYFUNCTION("""COMPUTED_VALUE"""),"top rated schmidhauser plumbing")</f>
        <v>top rated schmidhauser plumbing</v>
      </c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27" t="str">
        <f>IFERROR(__xludf.DUMMYFUNCTION("""COMPUTED_VALUE"""),"schmidhauser plumbing best")</f>
        <v>schmidhauser plumbing best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27" t="str">
        <f>IFERROR(__xludf.DUMMYFUNCTION("""COMPUTED_VALUE"""),"trusted absolute plumbing cape town")</f>
        <v>trusted absolute plumbing cape town</v>
      </c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27" t="str">
        <f>IFERROR(__xludf.DUMMYFUNCTION("""COMPUTED_VALUE"""),"schmidhauser plumbing certified")</f>
        <v>schmidhauser plumbing certified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27" t="str">
        <f>IFERROR(__xludf.DUMMYFUNCTION("""COMPUTED_VALUE"""),"trusted aircon repair cape town")</f>
        <v>trusted aircon repair cape town</v>
      </c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27" t="str">
        <f>IFERROR(__xludf.DUMMYFUNCTION("""COMPUTED_VALUE"""),"schmidhauser plumbing compare")</f>
        <v>schmidhauser plumbing compare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27" t="str">
        <f>IFERROR(__xludf.DUMMYFUNCTION("""COMPUTED_VALUE"""),"trusted bosman plumbers")</f>
        <v>trusted bosman plumbers</v>
      </c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27" t="str">
        <f>IFERROR(__xludf.DUMMYFUNCTION("""COMPUTED_VALUE"""),"schmidhauser plumbing complaints")</f>
        <v>schmidhauser plumbing complaints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27" t="str">
        <f>IFERROR(__xludf.DUMMYFUNCTION("""COMPUTED_VALUE"""),"trusted drain surgeon cape town")</f>
        <v>trusted drain surgeon cape town</v>
      </c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27" t="str">
        <f>IFERROR(__xludf.DUMMYFUNCTION("""COMPUTED_VALUE"""),"schmidhauser plumbing cost")</f>
        <v>schmidhauser plumbing cost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27" t="str">
        <f>IFERROR(__xludf.DUMMYFUNCTION("""COMPUTED_VALUE"""),"trusted electrician cape town")</f>
        <v>trusted electrician cape town</v>
      </c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27" t="str">
        <f>IFERROR(__xludf.DUMMYFUNCTION("""COMPUTED_VALUE"""),"schmidhauser plumbing insured")</f>
        <v>schmidhauser plumbing insured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27" t="str">
        <f>IFERROR(__xludf.DUMMYFUNCTION("""COMPUTED_VALUE"""),"trusted emergency plumber cape town")</f>
        <v>trusted emergency plumber cape town</v>
      </c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27" t="str">
        <f>IFERROR(__xludf.DUMMYFUNCTION("""COMPUTED_VALUE"""),"schmidhauser plumbing licensed")</f>
        <v>schmidhauser plumbing licensed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27" t="str">
        <f>IFERROR(__xludf.DUMMYFUNCTION("""COMPUTED_VALUE"""),"trusted plumber near me")</f>
        <v>trusted plumber near me</v>
      </c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27" t="str">
        <f>IFERROR(__xludf.DUMMYFUNCTION("""COMPUTED_VALUE"""),"schmidhauser plumbing local")</f>
        <v>schmidhauser plumbing local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27" t="str">
        <f>IFERROR(__xludf.DUMMYFUNCTION("""COMPUTED_VALUE"""),"trusted plumbers cape town")</f>
        <v>trusted plumbers cape town</v>
      </c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27" t="str">
        <f>IFERROR(__xludf.DUMMYFUNCTION("""COMPUTED_VALUE"""),"schmidhauser plumbing near me")</f>
        <v>schmidhauser plumbing near me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27" t="str">
        <f>IFERROR(__xludf.DUMMYFUNCTION("""COMPUTED_VALUE"""),"trusted plumbing company cape town")</f>
        <v>trusted plumbing company cape town</v>
      </c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27" t="str">
        <f>IFERROR(__xludf.DUMMYFUNCTION("""COMPUTED_VALUE"""),"schmidhauser plumbing prices")</f>
        <v>schmidhauser plumbing prices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27" t="str">
        <f>IFERROR(__xludf.DUMMYFUNCTION("""COMPUTED_VALUE"""),"trusted schmidhauser plumbing")</f>
        <v>trusted schmidhauser plumbing</v>
      </c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27" t="str">
        <f>IFERROR(__xludf.DUMMYFUNCTION("""COMPUTED_VALUE"""),"schmidhauser plumbing qualified")</f>
        <v>schmidhauser plumbing qualified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27" t="str">
        <f>IFERROR(__xludf.DUMMYFUNCTION("""COMPUTED_VALUE"""),"vs absolute plumbing cape town")</f>
        <v>vs absolute plumbing cape town</v>
      </c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27" t="str">
        <f>IFERROR(__xludf.DUMMYFUNCTION("""COMPUTED_VALUE"""),"schmidhauser plumbing quote")</f>
        <v>schmidhauser plumbing quote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27" t="str">
        <f>IFERROR(__xludf.DUMMYFUNCTION("""COMPUTED_VALUE"""),"vs aircon repair cape town")</f>
        <v>vs aircon repair cape town</v>
      </c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27" t="str">
        <f>IFERROR(__xludf.DUMMYFUNCTION("""COMPUTED_VALUE"""),"schmidhauser plumbing reliable")</f>
        <v>schmidhauser plumbing reliable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27" t="str">
        <f>IFERROR(__xludf.DUMMYFUNCTION("""COMPUTED_VALUE"""),"vs bosman plumbers")</f>
        <v>vs bosman plumbers</v>
      </c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27" t="str">
        <f>IFERROR(__xludf.DUMMYFUNCTION("""COMPUTED_VALUE"""),"schmidhauser plumbing reputable")</f>
        <v>schmidhauser plumbing reputable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27" t="str">
        <f>IFERROR(__xludf.DUMMYFUNCTION("""COMPUTED_VALUE"""),"vs drain surgeon cape town")</f>
        <v>vs drain surgeon cape town</v>
      </c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27" t="str">
        <f>IFERROR(__xludf.DUMMYFUNCTION("""COMPUTED_VALUE"""),"schmidhauser plumbing review")</f>
        <v>schmidhauser plumbing review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27" t="str">
        <f>IFERROR(__xludf.DUMMYFUNCTION("""COMPUTED_VALUE"""),"vs electrician cape town")</f>
        <v>vs electrician cape town</v>
      </c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27" t="str">
        <f>IFERROR(__xludf.DUMMYFUNCTION("""COMPUTED_VALUE"""),"schmidhauser plumbing reviews")</f>
        <v>schmidhauser plumbing reviews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27" t="str">
        <f>IFERROR(__xludf.DUMMYFUNCTION("""COMPUTED_VALUE"""),"vs emergency plumber cape town")</f>
        <v>vs emergency plumber cape town</v>
      </c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27" t="str">
        <f>IFERROR(__xludf.DUMMYFUNCTION("""COMPUTED_VALUE"""),"schmidhauser plumbing same day")</f>
        <v>schmidhauser plumbing same day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27" t="str">
        <f>IFERROR(__xludf.DUMMYFUNCTION("""COMPUTED_VALUE"""),"vs plumber near me")</f>
        <v>vs plumber near me</v>
      </c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27" t="str">
        <f>IFERROR(__xludf.DUMMYFUNCTION("""COMPUTED_VALUE"""),"schmidhauser plumbing top rated")</f>
        <v>schmidhauser plumbing top rated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27" t="str">
        <f>IFERROR(__xludf.DUMMYFUNCTION("""COMPUTED_VALUE"""),"vs plumbers cape town")</f>
        <v>vs plumbers cape town</v>
      </c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27" t="str">
        <f>IFERROR(__xludf.DUMMYFUNCTION("""COMPUTED_VALUE"""),"schmidhauser plumbing trusted")</f>
        <v>schmidhauser plumbing trusted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27" t="str">
        <f>IFERROR(__xludf.DUMMYFUNCTION("""COMPUTED_VALUE"""),"vs plumbing company cape town")</f>
        <v>vs plumbing company cape town</v>
      </c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27" t="str">
        <f>IFERROR(__xludf.DUMMYFUNCTION("""COMPUTED_VALUE"""),"schmidhauser plumbing vs")</f>
        <v>schmidhauser plumbing vs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27" t="str">
        <f>IFERROR(__xludf.DUMMYFUNCTION("""COMPUTED_VALUE"""),"vs schmidhauser plumbing")</f>
        <v>vs schmidhauser plumbing</v>
      </c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21</v>
      </c>
      <c r="D2" s="1">
        <v>9.0</v>
      </c>
      <c r="E2" s="1">
        <v>2100.0</v>
      </c>
      <c r="F2" s="1">
        <v>1.2</v>
      </c>
      <c r="G2" s="1">
        <v>0.49</v>
      </c>
      <c r="H2" s="1" t="s">
        <v>19</v>
      </c>
      <c r="I2" s="4">
        <v>46230.68956018519</v>
      </c>
      <c r="J2" s="1" t="s">
        <v>24</v>
      </c>
      <c r="K2" s="1">
        <v>578000.0</v>
      </c>
      <c r="L2" s="1">
        <v>600.0</v>
      </c>
      <c r="M2" s="1">
        <v>700.0</v>
      </c>
      <c r="N2" s="5">
        <v>42445.0</v>
      </c>
      <c r="O2" s="1" t="s">
        <v>27</v>
      </c>
      <c r="P2" s="1" t="s">
        <v>29</v>
      </c>
      <c r="Q2" s="1" t="s">
        <v>30</v>
      </c>
      <c r="R2" s="1" t="s">
        <v>32</v>
      </c>
      <c r="S2" s="1" t="s">
        <v>34</v>
      </c>
    </row>
    <row r="3">
      <c r="A3" s="1">
        <v>2.0</v>
      </c>
      <c r="B3" s="1" t="s">
        <v>52</v>
      </c>
      <c r="C3" s="1" t="s">
        <v>21</v>
      </c>
      <c r="D3" s="1">
        <v>0.0</v>
      </c>
      <c r="E3" s="1">
        <v>90.0</v>
      </c>
      <c r="I3" s="4">
        <v>46237.517175925925</v>
      </c>
      <c r="K3" s="1">
        <v>90.0</v>
      </c>
      <c r="N3" s="5">
        <v>45087.0</v>
      </c>
      <c r="Q3" s="1" t="s">
        <v>55</v>
      </c>
    </row>
    <row r="4">
      <c r="A4" s="1">
        <v>3.0</v>
      </c>
      <c r="B4" s="1" t="s">
        <v>57</v>
      </c>
      <c r="C4" s="1" t="s">
        <v>21</v>
      </c>
      <c r="D4" s="1">
        <v>0.0</v>
      </c>
      <c r="E4" s="1">
        <v>20.0</v>
      </c>
      <c r="F4" s="1">
        <v>0.5</v>
      </c>
      <c r="H4" s="1" t="s">
        <v>59</v>
      </c>
      <c r="I4" s="4">
        <v>46224.46396990741</v>
      </c>
      <c r="J4" s="1" t="s">
        <v>62</v>
      </c>
      <c r="K4" s="1">
        <v>500.0</v>
      </c>
      <c r="L4" s="1">
        <v>20.0</v>
      </c>
      <c r="M4" s="1">
        <v>20.0</v>
      </c>
      <c r="N4" s="5">
        <v>44244.0</v>
      </c>
      <c r="O4" s="1" t="s">
        <v>65</v>
      </c>
      <c r="P4" s="1" t="s">
        <v>29</v>
      </c>
      <c r="Q4" s="1" t="s">
        <v>67</v>
      </c>
      <c r="S4" s="1" t="s">
        <v>46</v>
      </c>
    </row>
    <row r="5">
      <c r="A5" s="1">
        <v>4.0</v>
      </c>
      <c r="B5" s="1" t="s">
        <v>70</v>
      </c>
      <c r="C5" s="1" t="s">
        <v>21</v>
      </c>
      <c r="D5" s="1">
        <v>0.0</v>
      </c>
      <c r="H5" s="1" t="s">
        <v>71</v>
      </c>
      <c r="I5" s="4">
        <v>46237.51719907407</v>
      </c>
      <c r="K5" s="1">
        <v>80.0</v>
      </c>
      <c r="N5" s="5">
        <v>43869.0</v>
      </c>
      <c r="Q5" s="1" t="s">
        <v>72</v>
      </c>
    </row>
    <row r="6">
      <c r="A6" s="1">
        <v>5.0</v>
      </c>
      <c r="B6" s="1" t="s">
        <v>74</v>
      </c>
      <c r="C6" s="1" t="s">
        <v>21</v>
      </c>
      <c r="D6" s="1">
        <v>36.0</v>
      </c>
      <c r="H6" s="1" t="s">
        <v>35</v>
      </c>
      <c r="I6" s="4">
        <v>46237.51721064815</v>
      </c>
      <c r="K6" s="1">
        <v>250.0</v>
      </c>
      <c r="N6" s="5">
        <v>44676.0</v>
      </c>
      <c r="Q6" s="1" t="s">
        <v>77</v>
      </c>
    </row>
    <row r="7">
      <c r="A7" s="1">
        <v>6.0</v>
      </c>
      <c r="B7" s="1" t="s">
        <v>78</v>
      </c>
      <c r="C7" s="1" t="s">
        <v>21</v>
      </c>
      <c r="D7" s="1">
        <v>0.0</v>
      </c>
      <c r="I7" s="4">
        <v>46237.51724537037</v>
      </c>
      <c r="K7" s="1">
        <v>90.0</v>
      </c>
      <c r="N7" s="5">
        <v>44305.0</v>
      </c>
      <c r="Q7" s="1" t="s">
        <v>80</v>
      </c>
    </row>
    <row r="8">
      <c r="A8" s="1">
        <v>7.0</v>
      </c>
      <c r="B8" s="1" t="s">
        <v>83</v>
      </c>
      <c r="C8" s="1" t="s">
        <v>21</v>
      </c>
      <c r="D8" s="1">
        <v>0.0</v>
      </c>
      <c r="H8" s="1" t="s">
        <v>84</v>
      </c>
      <c r="I8" s="4">
        <v>46237.517233796294</v>
      </c>
      <c r="K8" s="1">
        <v>70.0</v>
      </c>
      <c r="N8" s="5">
        <v>44298.0</v>
      </c>
      <c r="Q8" s="1" t="s">
        <v>86</v>
      </c>
    </row>
    <row r="9">
      <c r="A9" s="1">
        <v>8.0</v>
      </c>
      <c r="B9" s="1" t="s">
        <v>88</v>
      </c>
      <c r="C9" s="1" t="s">
        <v>21</v>
      </c>
      <c r="D9" s="1">
        <v>0.0</v>
      </c>
      <c r="H9" s="1" t="s">
        <v>89</v>
      </c>
      <c r="I9" s="4">
        <v>46237.51724537037</v>
      </c>
      <c r="K9" s="1">
        <v>80.0</v>
      </c>
      <c r="N9" s="5">
        <v>45644.0</v>
      </c>
      <c r="Q9" s="1" t="s">
        <v>93</v>
      </c>
    </row>
    <row r="10">
      <c r="A10" s="1">
        <v>9.0</v>
      </c>
      <c r="B10" s="1" t="s">
        <v>99</v>
      </c>
      <c r="C10" s="1" t="s">
        <v>21</v>
      </c>
      <c r="I10" s="4"/>
      <c r="N10" s="5"/>
    </row>
    <row r="11">
      <c r="A11" s="1">
        <v>10.0</v>
      </c>
      <c r="B11" s="1" t="s">
        <v>103</v>
      </c>
      <c r="C11" s="1" t="s">
        <v>21</v>
      </c>
      <c r="I11" s="4"/>
      <c r="N11" s="5"/>
    </row>
    <row r="12">
      <c r="A12" s="1">
        <v>11.0</v>
      </c>
      <c r="B12" s="1" t="s">
        <v>105</v>
      </c>
      <c r="C12" s="1" t="s">
        <v>21</v>
      </c>
      <c r="I12" s="4"/>
      <c r="N12" s="5"/>
    </row>
    <row r="13">
      <c r="A13" s="1">
        <v>12.0</v>
      </c>
      <c r="B13" s="1" t="s">
        <v>108</v>
      </c>
      <c r="C13" s="1" t="s">
        <v>21</v>
      </c>
      <c r="I13" s="4"/>
      <c r="N13" s="5"/>
    </row>
    <row r="14">
      <c r="A14" s="1">
        <v>13.0</v>
      </c>
      <c r="B14" s="1" t="s">
        <v>110</v>
      </c>
      <c r="C14" s="1" t="s">
        <v>21</v>
      </c>
      <c r="I14" s="4"/>
      <c r="N14" s="5"/>
    </row>
    <row r="15">
      <c r="A15" s="1">
        <v>14.0</v>
      </c>
      <c r="B15" s="1" t="s">
        <v>112</v>
      </c>
      <c r="C15" s="1" t="s">
        <v>21</v>
      </c>
      <c r="I15" s="4"/>
      <c r="N15" s="5"/>
    </row>
    <row r="16">
      <c r="A16" s="1">
        <v>15.0</v>
      </c>
      <c r="B16" s="1" t="s">
        <v>116</v>
      </c>
      <c r="C16" s="1" t="s">
        <v>21</v>
      </c>
      <c r="I16" s="4"/>
      <c r="N16" s="5"/>
    </row>
    <row r="17">
      <c r="A17" s="1">
        <v>16.0</v>
      </c>
      <c r="B17" s="1" t="s">
        <v>118</v>
      </c>
      <c r="C17" s="1" t="s">
        <v>21</v>
      </c>
      <c r="I17" s="4"/>
      <c r="N17" s="5"/>
    </row>
    <row r="18">
      <c r="A18" s="1">
        <v>17.0</v>
      </c>
      <c r="B18" s="1" t="s">
        <v>120</v>
      </c>
      <c r="C18" s="1" t="s">
        <v>21</v>
      </c>
      <c r="I18" s="4"/>
      <c r="N18" s="5"/>
    </row>
    <row r="19">
      <c r="A19" s="1">
        <v>18.0</v>
      </c>
      <c r="B19" s="1" t="s">
        <v>123</v>
      </c>
      <c r="C19" s="1" t="s">
        <v>21</v>
      </c>
      <c r="I19" s="4"/>
      <c r="N19" s="5"/>
    </row>
    <row r="20">
      <c r="A20" s="1">
        <v>19.0</v>
      </c>
      <c r="B20" s="1" t="s">
        <v>126</v>
      </c>
      <c r="C20" s="1" t="s">
        <v>21</v>
      </c>
      <c r="I20" s="4"/>
      <c r="N20" s="5"/>
    </row>
    <row r="21">
      <c r="A21" s="1">
        <v>20.0</v>
      </c>
      <c r="B21" s="1" t="s">
        <v>129</v>
      </c>
      <c r="C21" s="1" t="s">
        <v>21</v>
      </c>
      <c r="I21" s="4"/>
      <c r="N21" s="5"/>
    </row>
    <row r="22">
      <c r="A22" s="1">
        <v>21.0</v>
      </c>
      <c r="B22" s="1" t="s">
        <v>132</v>
      </c>
      <c r="C22" s="1" t="s">
        <v>21</v>
      </c>
      <c r="I22" s="4"/>
      <c r="N22" s="5"/>
    </row>
    <row r="23">
      <c r="A23" s="1">
        <v>22.0</v>
      </c>
      <c r="B23" s="1" t="s">
        <v>135</v>
      </c>
      <c r="C23" s="1" t="s">
        <v>21</v>
      </c>
      <c r="I23" s="4"/>
      <c r="N23" s="5"/>
    </row>
    <row r="24">
      <c r="A24" s="1">
        <v>23.0</v>
      </c>
      <c r="B24" s="1" t="s">
        <v>137</v>
      </c>
      <c r="C24" s="1" t="s">
        <v>21</v>
      </c>
      <c r="I24" s="4"/>
      <c r="N24" s="5"/>
    </row>
    <row r="25">
      <c r="A25" s="1">
        <v>24.0</v>
      </c>
      <c r="B25" s="1" t="s">
        <v>140</v>
      </c>
      <c r="C25" s="1" t="s">
        <v>21</v>
      </c>
      <c r="I25" s="4"/>
      <c r="N25" s="5"/>
    </row>
    <row r="26">
      <c r="A26" s="1">
        <v>25.0</v>
      </c>
      <c r="B26" s="1" t="s">
        <v>143</v>
      </c>
      <c r="C26" s="1" t="s">
        <v>21</v>
      </c>
      <c r="I26" s="4"/>
      <c r="N26" s="5"/>
    </row>
    <row r="27">
      <c r="A27" s="1">
        <v>26.0</v>
      </c>
      <c r="B27" s="1" t="s">
        <v>145</v>
      </c>
      <c r="C27" s="1" t="s">
        <v>21</v>
      </c>
      <c r="I27" s="4"/>
      <c r="N27" s="5"/>
    </row>
    <row r="28">
      <c r="A28" s="1">
        <v>27.0</v>
      </c>
      <c r="B28" s="1" t="s">
        <v>146</v>
      </c>
      <c r="C28" s="1" t="s">
        <v>21</v>
      </c>
      <c r="I28" s="4"/>
      <c r="N28" s="5"/>
    </row>
    <row r="29">
      <c r="A29" s="1">
        <v>28.0</v>
      </c>
      <c r="B29" s="1" t="s">
        <v>147</v>
      </c>
      <c r="C29" s="1" t="s">
        <v>21</v>
      </c>
      <c r="I29" s="4"/>
      <c r="N29" s="5"/>
    </row>
    <row r="30">
      <c r="A30" s="1">
        <v>29.0</v>
      </c>
      <c r="B30" s="1" t="s">
        <v>149</v>
      </c>
      <c r="C30" s="1" t="s">
        <v>21</v>
      </c>
      <c r="I30" s="4"/>
      <c r="N30" s="5"/>
    </row>
    <row r="31">
      <c r="A31" s="1">
        <v>30.0</v>
      </c>
      <c r="B31" s="1" t="s">
        <v>152</v>
      </c>
      <c r="C31" s="1" t="s">
        <v>21</v>
      </c>
      <c r="I31" s="4"/>
      <c r="N31" s="5"/>
    </row>
    <row r="32">
      <c r="A32" s="1">
        <v>31.0</v>
      </c>
      <c r="B32" s="1" t="s">
        <v>153</v>
      </c>
      <c r="C32" s="1" t="s">
        <v>21</v>
      </c>
      <c r="I32" s="4"/>
      <c r="N32" s="5"/>
    </row>
    <row r="33">
      <c r="A33" s="1">
        <v>32.0</v>
      </c>
      <c r="B33" s="1" t="s">
        <v>156</v>
      </c>
      <c r="C33" s="1" t="s">
        <v>21</v>
      </c>
      <c r="I33" s="4"/>
      <c r="N33" s="5"/>
    </row>
    <row r="34">
      <c r="A34" s="1">
        <v>33.0</v>
      </c>
      <c r="B34" s="1" t="s">
        <v>160</v>
      </c>
      <c r="C34" s="1" t="s">
        <v>21</v>
      </c>
      <c r="I34" s="4"/>
      <c r="N34" s="5"/>
    </row>
    <row r="35">
      <c r="A35" s="1">
        <v>34.0</v>
      </c>
      <c r="B35" s="1" t="s">
        <v>162</v>
      </c>
      <c r="C35" s="1" t="s">
        <v>21</v>
      </c>
      <c r="I35" s="4"/>
      <c r="N35" s="5"/>
    </row>
    <row r="36">
      <c r="A36" s="1">
        <v>35.0</v>
      </c>
      <c r="B36" s="1" t="s">
        <v>165</v>
      </c>
      <c r="C36" s="1" t="s">
        <v>21</v>
      </c>
      <c r="I36" s="4"/>
      <c r="N36" s="5"/>
    </row>
    <row r="37">
      <c r="A37" s="1">
        <v>36.0</v>
      </c>
      <c r="B37" s="1" t="s">
        <v>167</v>
      </c>
      <c r="C37" s="1" t="s">
        <v>21</v>
      </c>
      <c r="I37" s="4"/>
      <c r="N37" s="5"/>
    </row>
    <row r="38">
      <c r="A38" s="1">
        <v>37.0</v>
      </c>
      <c r="B38" s="1" t="s">
        <v>171</v>
      </c>
      <c r="C38" s="1" t="s">
        <v>21</v>
      </c>
      <c r="I38" s="4"/>
      <c r="N38" s="5"/>
    </row>
    <row r="39">
      <c r="A39" s="1">
        <v>38.0</v>
      </c>
      <c r="B39" s="1" t="s">
        <v>173</v>
      </c>
      <c r="C39" s="1" t="s">
        <v>21</v>
      </c>
      <c r="I39" s="4"/>
      <c r="N39" s="5"/>
    </row>
    <row r="40">
      <c r="A40" s="1">
        <v>39.0</v>
      </c>
      <c r="B40" s="1" t="s">
        <v>176</v>
      </c>
      <c r="C40" s="1" t="s">
        <v>21</v>
      </c>
      <c r="I40" s="4"/>
      <c r="N40" s="5"/>
    </row>
    <row r="41">
      <c r="A41" s="1">
        <v>40.0</v>
      </c>
      <c r="B41" s="1" t="s">
        <v>179</v>
      </c>
      <c r="C41" s="1" t="s">
        <v>21</v>
      </c>
      <c r="I41" s="4"/>
      <c r="N41" s="5"/>
    </row>
    <row r="42">
      <c r="A42" s="1">
        <v>41.0</v>
      </c>
      <c r="B42" s="1" t="s">
        <v>182</v>
      </c>
      <c r="C42" s="1" t="s">
        <v>21</v>
      </c>
      <c r="N42" s="5"/>
    </row>
    <row r="43">
      <c r="A43" s="1">
        <v>42.0</v>
      </c>
      <c r="B43" s="1" t="s">
        <v>183</v>
      </c>
      <c r="C43" s="1" t="s">
        <v>21</v>
      </c>
      <c r="I43" s="4"/>
      <c r="N43" s="5"/>
    </row>
    <row r="44">
      <c r="A44" s="1">
        <v>43.0</v>
      </c>
      <c r="B44" s="1" t="s">
        <v>186</v>
      </c>
      <c r="C44" s="1" t="s">
        <v>21</v>
      </c>
      <c r="N44" s="5"/>
    </row>
    <row r="45">
      <c r="A45" s="1">
        <v>44.0</v>
      </c>
      <c r="B45" s="1" t="s">
        <v>189</v>
      </c>
      <c r="C45" s="1" t="s">
        <v>21</v>
      </c>
      <c r="I45" s="4"/>
      <c r="N45" s="5"/>
    </row>
    <row r="46">
      <c r="A46" s="1">
        <v>45.0</v>
      </c>
      <c r="B46" s="1" t="s">
        <v>191</v>
      </c>
      <c r="C46" s="1" t="s">
        <v>21</v>
      </c>
      <c r="I46" s="4"/>
      <c r="N46" s="5"/>
    </row>
    <row r="47">
      <c r="A47" s="1">
        <v>46.0</v>
      </c>
      <c r="B47" s="1" t="s">
        <v>193</v>
      </c>
      <c r="C47" s="1" t="s">
        <v>21</v>
      </c>
      <c r="I47" s="4"/>
      <c r="N47" s="5"/>
    </row>
    <row r="48">
      <c r="A48" s="1">
        <v>47.0</v>
      </c>
      <c r="B48" s="1" t="s">
        <v>195</v>
      </c>
      <c r="C48" s="1" t="s">
        <v>21</v>
      </c>
      <c r="I48" s="4"/>
      <c r="N48" s="5"/>
    </row>
    <row r="49">
      <c r="A49" s="1">
        <v>48.0</v>
      </c>
      <c r="B49" s="1" t="s">
        <v>201</v>
      </c>
      <c r="C49" s="1" t="s">
        <v>21</v>
      </c>
      <c r="I49" s="4"/>
      <c r="N49" s="5"/>
    </row>
    <row r="50">
      <c r="A50" s="1">
        <v>49.0</v>
      </c>
      <c r="B50" s="1" t="s">
        <v>204</v>
      </c>
      <c r="C50" s="1" t="s">
        <v>21</v>
      </c>
      <c r="I50" s="4"/>
      <c r="N50" s="5"/>
    </row>
    <row r="51">
      <c r="A51" s="1">
        <v>50.0</v>
      </c>
      <c r="B51" s="1" t="s">
        <v>207</v>
      </c>
      <c r="C51" s="1" t="s">
        <v>21</v>
      </c>
      <c r="I51" s="4"/>
      <c r="N51" s="5"/>
    </row>
    <row r="52">
      <c r="A52" s="1">
        <v>51.0</v>
      </c>
      <c r="B52" s="1" t="s">
        <v>210</v>
      </c>
      <c r="C52" s="1" t="s">
        <v>21</v>
      </c>
      <c r="I52" s="4"/>
      <c r="N52" s="5"/>
    </row>
    <row r="53">
      <c r="A53" s="1">
        <v>52.0</v>
      </c>
      <c r="B53" s="1" t="s">
        <v>212</v>
      </c>
      <c r="C53" s="1" t="s">
        <v>21</v>
      </c>
      <c r="N53" s="5"/>
    </row>
    <row r="54">
      <c r="A54" s="1">
        <v>53.0</v>
      </c>
      <c r="B54" s="1" t="s">
        <v>215</v>
      </c>
      <c r="C54" s="1" t="s">
        <v>21</v>
      </c>
      <c r="N54" s="5"/>
    </row>
    <row r="55">
      <c r="A55" s="1">
        <v>54.0</v>
      </c>
      <c r="B55" s="1" t="s">
        <v>217</v>
      </c>
      <c r="C55" s="1" t="s">
        <v>21</v>
      </c>
      <c r="I55" s="4"/>
      <c r="N55" s="5"/>
    </row>
    <row r="56">
      <c r="A56" s="1">
        <v>55.0</v>
      </c>
      <c r="B56" s="1" t="s">
        <v>220</v>
      </c>
      <c r="C56" s="1" t="s">
        <v>21</v>
      </c>
      <c r="I56" s="4"/>
      <c r="N56" s="5"/>
    </row>
    <row r="57">
      <c r="A57" s="1">
        <v>56.0</v>
      </c>
      <c r="B57" s="1" t="s">
        <v>223</v>
      </c>
      <c r="C57" s="1" t="s">
        <v>21</v>
      </c>
      <c r="I57" s="4"/>
      <c r="N57" s="5"/>
    </row>
    <row r="58">
      <c r="A58" s="1">
        <v>57.0</v>
      </c>
      <c r="B58" s="1" t="s">
        <v>226</v>
      </c>
      <c r="C58" s="1" t="s">
        <v>21</v>
      </c>
      <c r="N58" s="5"/>
    </row>
    <row r="59">
      <c r="A59" s="1">
        <v>58.0</v>
      </c>
      <c r="B59" s="1" t="s">
        <v>228</v>
      </c>
      <c r="C59" s="1" t="s">
        <v>21</v>
      </c>
      <c r="I59" s="4"/>
      <c r="N59" s="5"/>
    </row>
    <row r="60">
      <c r="A60" s="1">
        <v>59.0</v>
      </c>
      <c r="B60" s="1" t="s">
        <v>230</v>
      </c>
      <c r="C60" s="1" t="s">
        <v>21</v>
      </c>
      <c r="I60" s="4"/>
      <c r="N60" s="5"/>
    </row>
    <row r="61">
      <c r="A61" s="1">
        <v>60.0</v>
      </c>
      <c r="B61" s="1" t="s">
        <v>233</v>
      </c>
      <c r="C61" s="1" t="s">
        <v>21</v>
      </c>
      <c r="I61" s="4"/>
      <c r="N61" s="5"/>
    </row>
    <row r="62">
      <c r="A62" s="1">
        <v>61.0</v>
      </c>
      <c r="B62" s="1" t="s">
        <v>236</v>
      </c>
      <c r="C62" s="1" t="s">
        <v>21</v>
      </c>
      <c r="I62" s="4"/>
      <c r="N62" s="5"/>
    </row>
    <row r="63">
      <c r="A63" s="1">
        <v>62.0</v>
      </c>
      <c r="B63" s="1" t="s">
        <v>239</v>
      </c>
      <c r="C63" s="1" t="s">
        <v>21</v>
      </c>
      <c r="N63" s="5"/>
    </row>
    <row r="64">
      <c r="A64" s="1">
        <v>63.0</v>
      </c>
      <c r="B64" s="1" t="s">
        <v>242</v>
      </c>
      <c r="C64" s="1" t="s">
        <v>21</v>
      </c>
      <c r="I64" s="4"/>
      <c r="N64" s="5"/>
    </row>
    <row r="65">
      <c r="A65" s="1">
        <v>64.0</v>
      </c>
      <c r="B65" s="1" t="s">
        <v>245</v>
      </c>
      <c r="C65" s="1" t="s">
        <v>21</v>
      </c>
      <c r="N65" s="5"/>
    </row>
    <row r="66">
      <c r="A66" s="1">
        <v>65.0</v>
      </c>
      <c r="B66" s="1" t="s">
        <v>247</v>
      </c>
      <c r="C66" s="1" t="s">
        <v>21</v>
      </c>
      <c r="I66" s="4"/>
      <c r="N66" s="5"/>
    </row>
    <row r="67">
      <c r="A67" s="1">
        <v>66.0</v>
      </c>
      <c r="B67" s="1" t="s">
        <v>249</v>
      </c>
      <c r="C67" s="1" t="s">
        <v>21</v>
      </c>
      <c r="I67" s="4"/>
      <c r="N67" s="5"/>
    </row>
    <row r="68">
      <c r="A68" s="1">
        <v>67.0</v>
      </c>
      <c r="B68" s="1" t="s">
        <v>251</v>
      </c>
      <c r="C68" s="1" t="s">
        <v>21</v>
      </c>
      <c r="I68" s="4"/>
      <c r="N68" s="5"/>
    </row>
    <row r="69">
      <c r="A69" s="1">
        <v>68.0</v>
      </c>
      <c r="B69" s="1" t="s">
        <v>254</v>
      </c>
      <c r="C69" s="1" t="s">
        <v>21</v>
      </c>
      <c r="N69" s="5"/>
    </row>
    <row r="70">
      <c r="A70" s="1">
        <v>69.0</v>
      </c>
      <c r="B70" s="1" t="s">
        <v>256</v>
      </c>
      <c r="C70" s="1" t="s">
        <v>21</v>
      </c>
      <c r="I70" s="4"/>
      <c r="N70" s="5"/>
    </row>
    <row r="71">
      <c r="A71" s="1">
        <v>70.0</v>
      </c>
      <c r="B71" s="1" t="s">
        <v>259</v>
      </c>
      <c r="C71" s="1" t="s">
        <v>21</v>
      </c>
      <c r="I71" s="4"/>
      <c r="N71" s="5"/>
    </row>
    <row r="72">
      <c r="A72" s="1">
        <v>71.0</v>
      </c>
      <c r="B72" s="1" t="s">
        <v>261</v>
      </c>
      <c r="C72" s="1" t="s">
        <v>21</v>
      </c>
      <c r="I72" s="4"/>
      <c r="N72" s="5"/>
    </row>
    <row r="73">
      <c r="A73" s="1">
        <v>72.0</v>
      </c>
      <c r="B73" s="1" t="s">
        <v>263</v>
      </c>
      <c r="C73" s="1" t="s">
        <v>21</v>
      </c>
      <c r="N73" s="5"/>
    </row>
    <row r="74">
      <c r="A74" s="1">
        <v>73.0</v>
      </c>
      <c r="B74" s="1" t="s">
        <v>266</v>
      </c>
      <c r="C74" s="1" t="s">
        <v>21</v>
      </c>
      <c r="N74" s="5"/>
    </row>
    <row r="75">
      <c r="A75" s="1">
        <v>74.0</v>
      </c>
      <c r="B75" s="1" t="s">
        <v>268</v>
      </c>
      <c r="C75" s="1" t="s">
        <v>21</v>
      </c>
      <c r="I75" s="4"/>
      <c r="N75" s="5"/>
    </row>
    <row r="76">
      <c r="A76" s="1">
        <v>75.0</v>
      </c>
      <c r="B76" s="1" t="s">
        <v>270</v>
      </c>
      <c r="C76" s="1" t="s">
        <v>21</v>
      </c>
      <c r="N76" s="5"/>
    </row>
    <row r="77">
      <c r="A77" s="1">
        <v>76.0</v>
      </c>
      <c r="B77" s="1" t="s">
        <v>274</v>
      </c>
      <c r="C77" s="1" t="s">
        <v>21</v>
      </c>
      <c r="N77" s="5"/>
    </row>
    <row r="78">
      <c r="A78" s="1">
        <v>77.0</v>
      </c>
      <c r="B78" s="1" t="s">
        <v>276</v>
      </c>
      <c r="C78" s="1" t="s">
        <v>21</v>
      </c>
      <c r="I78" s="4"/>
      <c r="N78" s="5"/>
    </row>
    <row r="79">
      <c r="A79" s="1">
        <v>78.0</v>
      </c>
      <c r="B79" s="1" t="s">
        <v>279</v>
      </c>
      <c r="C79" s="1" t="s">
        <v>21</v>
      </c>
      <c r="N79" s="5"/>
    </row>
    <row r="80">
      <c r="A80" s="1">
        <v>79.0</v>
      </c>
      <c r="B80" s="1" t="s">
        <v>280</v>
      </c>
      <c r="C80" s="1" t="s">
        <v>21</v>
      </c>
      <c r="N80" s="5"/>
    </row>
    <row r="81">
      <c r="A81" s="1">
        <v>80.0</v>
      </c>
      <c r="B81" s="1" t="s">
        <v>283</v>
      </c>
      <c r="C81" s="1" t="s">
        <v>21</v>
      </c>
      <c r="N81" s="5"/>
    </row>
    <row r="82">
      <c r="A82" s="1">
        <v>81.0</v>
      </c>
      <c r="B82" s="1" t="s">
        <v>286</v>
      </c>
      <c r="C82" s="1" t="s">
        <v>21</v>
      </c>
      <c r="N82" s="5"/>
    </row>
    <row r="83">
      <c r="A83" s="1">
        <v>82.0</v>
      </c>
      <c r="B83" s="1" t="s">
        <v>287</v>
      </c>
      <c r="C83" s="1" t="s">
        <v>21</v>
      </c>
      <c r="N83" s="5"/>
    </row>
    <row r="84">
      <c r="A84" s="1">
        <v>83.0</v>
      </c>
      <c r="B84" s="1" t="s">
        <v>291</v>
      </c>
      <c r="C84" s="1" t="s">
        <v>21</v>
      </c>
      <c r="N84" s="5"/>
    </row>
    <row r="85">
      <c r="A85" s="1">
        <v>84.0</v>
      </c>
      <c r="B85" s="1" t="s">
        <v>294</v>
      </c>
      <c r="C85" s="1" t="s">
        <v>21</v>
      </c>
      <c r="I85" s="4"/>
      <c r="N85" s="5"/>
    </row>
    <row r="86">
      <c r="A86" s="1">
        <v>85.0</v>
      </c>
      <c r="B86" s="1" t="s">
        <v>296</v>
      </c>
      <c r="C86" s="1" t="s">
        <v>21</v>
      </c>
      <c r="N86" s="5"/>
    </row>
    <row r="87">
      <c r="A87" s="1">
        <v>86.0</v>
      </c>
      <c r="B87" s="1" t="s">
        <v>297</v>
      </c>
      <c r="C87" s="1" t="s">
        <v>21</v>
      </c>
      <c r="N87" s="5"/>
    </row>
    <row r="88">
      <c r="A88" s="1">
        <v>87.0</v>
      </c>
      <c r="B88" s="1" t="s">
        <v>298</v>
      </c>
      <c r="C88" s="1" t="s">
        <v>21</v>
      </c>
      <c r="N88" s="5"/>
    </row>
    <row r="89">
      <c r="A89" s="1">
        <v>88.0</v>
      </c>
      <c r="B89" s="1" t="s">
        <v>299</v>
      </c>
      <c r="C89" s="1" t="s">
        <v>21</v>
      </c>
      <c r="N89" s="5"/>
    </row>
    <row r="90">
      <c r="A90" s="1">
        <v>89.0</v>
      </c>
      <c r="B90" s="1" t="s">
        <v>301</v>
      </c>
      <c r="C90" s="1" t="s">
        <v>21</v>
      </c>
      <c r="I90" s="4"/>
      <c r="N90" s="5"/>
    </row>
    <row r="91">
      <c r="A91" s="1">
        <v>90.0</v>
      </c>
      <c r="B91" s="1" t="s">
        <v>303</v>
      </c>
      <c r="C91" s="1" t="s">
        <v>21</v>
      </c>
      <c r="N91" s="5"/>
    </row>
    <row r="92">
      <c r="A92" s="1">
        <v>91.0</v>
      </c>
      <c r="B92" s="1" t="s">
        <v>306</v>
      </c>
      <c r="C92" s="1" t="s">
        <v>21</v>
      </c>
      <c r="N92" s="5"/>
    </row>
    <row r="93">
      <c r="A93" s="1">
        <v>92.0</v>
      </c>
      <c r="B93" s="1" t="s">
        <v>309</v>
      </c>
      <c r="C93" s="1" t="s">
        <v>21</v>
      </c>
      <c r="N93" s="5"/>
    </row>
    <row r="94">
      <c r="A94" s="1">
        <v>93.0</v>
      </c>
      <c r="B94" s="1" t="s">
        <v>311</v>
      </c>
      <c r="C94" s="1" t="s">
        <v>21</v>
      </c>
      <c r="N94" s="5"/>
    </row>
    <row r="95">
      <c r="A95" s="1">
        <v>94.0</v>
      </c>
      <c r="B95" s="1" t="s">
        <v>313</v>
      </c>
      <c r="C95" s="1" t="s">
        <v>21</v>
      </c>
      <c r="I95" s="4"/>
      <c r="N95" s="5"/>
    </row>
    <row r="96">
      <c r="A96" s="1">
        <v>95.0</v>
      </c>
      <c r="B96" s="1" t="s">
        <v>316</v>
      </c>
      <c r="C96" s="1" t="s">
        <v>21</v>
      </c>
      <c r="I96" s="4"/>
      <c r="N96" s="5"/>
    </row>
    <row r="97">
      <c r="A97" s="1">
        <v>96.0</v>
      </c>
      <c r="B97" s="1" t="s">
        <v>317</v>
      </c>
      <c r="C97" s="1" t="s">
        <v>21</v>
      </c>
      <c r="N97" s="5"/>
    </row>
    <row r="98">
      <c r="A98" s="1">
        <v>97.0</v>
      </c>
      <c r="B98" s="1" t="s">
        <v>320</v>
      </c>
      <c r="C98" s="1" t="s">
        <v>21</v>
      </c>
      <c r="N98" s="5"/>
    </row>
    <row r="99">
      <c r="A99" s="1">
        <v>98.0</v>
      </c>
      <c r="B99" s="1" t="s">
        <v>322</v>
      </c>
      <c r="C99" s="1" t="s">
        <v>21</v>
      </c>
      <c r="N99" s="5"/>
    </row>
    <row r="100">
      <c r="A100" s="1">
        <v>99.0</v>
      </c>
      <c r="B100" s="1" t="s">
        <v>325</v>
      </c>
      <c r="C100" s="1" t="s">
        <v>21</v>
      </c>
      <c r="I100" s="4"/>
      <c r="N100" s="5"/>
    </row>
    <row r="101">
      <c r="A101" s="1">
        <v>100.0</v>
      </c>
      <c r="B101" s="1" t="s">
        <v>328</v>
      </c>
      <c r="C101" s="1" t="s">
        <v>21</v>
      </c>
      <c r="I101" s="4"/>
      <c r="N101" s="5"/>
    </row>
    <row r="102">
      <c r="A102" s="1">
        <v>101.0</v>
      </c>
      <c r="B102" s="1" t="s">
        <v>331</v>
      </c>
      <c r="C102" s="1" t="s">
        <v>21</v>
      </c>
      <c r="N102" s="5"/>
    </row>
    <row r="103">
      <c r="A103" s="1">
        <v>102.0</v>
      </c>
      <c r="B103" s="1" t="s">
        <v>334</v>
      </c>
      <c r="C103" s="1" t="s">
        <v>21</v>
      </c>
      <c r="N103" s="5"/>
    </row>
    <row r="104">
      <c r="A104" s="1">
        <v>103.0</v>
      </c>
      <c r="B104" s="1" t="s">
        <v>335</v>
      </c>
      <c r="C104" s="1" t="s">
        <v>21</v>
      </c>
      <c r="N104" s="5"/>
    </row>
    <row r="105">
      <c r="A105" s="1">
        <v>104.0</v>
      </c>
      <c r="B105" s="1" t="s">
        <v>337</v>
      </c>
      <c r="C105" s="1" t="s">
        <v>21</v>
      </c>
      <c r="N105" s="5"/>
    </row>
    <row r="106">
      <c r="A106" s="1">
        <v>105.0</v>
      </c>
      <c r="B106" s="1" t="s">
        <v>339</v>
      </c>
      <c r="C106" s="1" t="s">
        <v>21</v>
      </c>
      <c r="N106" s="5"/>
    </row>
    <row r="107">
      <c r="A107" s="1">
        <v>106.0</v>
      </c>
      <c r="B107" s="1" t="s">
        <v>342</v>
      </c>
      <c r="C107" s="1" t="s">
        <v>21</v>
      </c>
      <c r="N107" s="5"/>
    </row>
    <row r="108">
      <c r="A108" s="1">
        <v>107.0</v>
      </c>
      <c r="B108" s="1" t="s">
        <v>344</v>
      </c>
      <c r="C108" s="1" t="s">
        <v>21</v>
      </c>
      <c r="N108" s="5"/>
    </row>
    <row r="109">
      <c r="A109" s="1">
        <v>108.0</v>
      </c>
      <c r="B109" s="1" t="s">
        <v>347</v>
      </c>
      <c r="C109" s="1" t="s">
        <v>21</v>
      </c>
      <c r="N109" s="5"/>
    </row>
    <row r="110">
      <c r="A110" s="1">
        <v>109.0</v>
      </c>
      <c r="B110" s="1" t="s">
        <v>348</v>
      </c>
      <c r="C110" s="1" t="s">
        <v>21</v>
      </c>
      <c r="I110" s="4"/>
      <c r="N110" s="5"/>
    </row>
    <row r="111">
      <c r="A111" s="1">
        <v>110.0</v>
      </c>
      <c r="B111" s="1" t="s">
        <v>350</v>
      </c>
      <c r="C111" s="1" t="s">
        <v>21</v>
      </c>
      <c r="N111" s="5"/>
    </row>
    <row r="112">
      <c r="A112" s="1">
        <v>111.0</v>
      </c>
      <c r="B112" s="1" t="s">
        <v>352</v>
      </c>
      <c r="C112" s="1" t="s">
        <v>21</v>
      </c>
      <c r="N112" s="5"/>
    </row>
    <row r="113">
      <c r="A113" s="1">
        <v>112.0</v>
      </c>
      <c r="B113" s="1" t="s">
        <v>355</v>
      </c>
      <c r="C113" s="1" t="s">
        <v>21</v>
      </c>
      <c r="N113" s="5"/>
    </row>
    <row r="114">
      <c r="A114" s="1">
        <v>113.0</v>
      </c>
      <c r="B114" s="1" t="s">
        <v>356</v>
      </c>
      <c r="C114" s="1" t="s">
        <v>21</v>
      </c>
      <c r="N114" s="5"/>
    </row>
    <row r="115">
      <c r="A115" s="1">
        <v>114.0</v>
      </c>
      <c r="B115" s="1" t="s">
        <v>357</v>
      </c>
      <c r="C115" s="1" t="s">
        <v>21</v>
      </c>
      <c r="N115" s="5"/>
    </row>
    <row r="116">
      <c r="A116" s="1">
        <v>115.0</v>
      </c>
      <c r="B116" s="1" t="s">
        <v>358</v>
      </c>
      <c r="C116" s="1" t="s">
        <v>21</v>
      </c>
      <c r="N116" s="5"/>
    </row>
    <row r="117">
      <c r="A117" s="1">
        <v>116.0</v>
      </c>
      <c r="B117" s="1" t="s">
        <v>361</v>
      </c>
      <c r="C117" s="1" t="s">
        <v>21</v>
      </c>
      <c r="N117" s="5"/>
    </row>
    <row r="118">
      <c r="A118" s="1">
        <v>117.0</v>
      </c>
      <c r="B118" s="1" t="s">
        <v>363</v>
      </c>
      <c r="C118" s="1" t="s">
        <v>21</v>
      </c>
      <c r="N118" s="5"/>
    </row>
    <row r="119">
      <c r="A119" s="1">
        <v>118.0</v>
      </c>
      <c r="B119" s="1" t="s">
        <v>365</v>
      </c>
      <c r="C119" s="1" t="s">
        <v>21</v>
      </c>
      <c r="N119" s="5"/>
    </row>
    <row r="120">
      <c r="A120" s="1">
        <v>119.0</v>
      </c>
      <c r="B120" s="1" t="s">
        <v>368</v>
      </c>
      <c r="C120" s="1" t="s">
        <v>21</v>
      </c>
      <c r="N120" s="5"/>
    </row>
    <row r="121">
      <c r="A121" s="1">
        <v>120.0</v>
      </c>
      <c r="B121" s="1" t="s">
        <v>372</v>
      </c>
      <c r="C121" s="1" t="s">
        <v>21</v>
      </c>
      <c r="N121" s="5"/>
    </row>
    <row r="122">
      <c r="A122" s="1">
        <v>121.0</v>
      </c>
      <c r="B122" s="1" t="s">
        <v>374</v>
      </c>
      <c r="C122" s="1" t="s">
        <v>21</v>
      </c>
      <c r="N122" s="5"/>
    </row>
    <row r="123">
      <c r="A123" s="1">
        <v>122.0</v>
      </c>
      <c r="B123" s="1" t="s">
        <v>376</v>
      </c>
      <c r="C123" s="1" t="s">
        <v>21</v>
      </c>
      <c r="N123" s="5"/>
    </row>
    <row r="124">
      <c r="A124" s="1">
        <v>123.0</v>
      </c>
      <c r="B124" s="1" t="s">
        <v>380</v>
      </c>
      <c r="C124" s="1" t="s">
        <v>21</v>
      </c>
      <c r="N124" s="5"/>
    </row>
    <row r="125">
      <c r="A125" s="1">
        <v>124.0</v>
      </c>
      <c r="B125" s="1" t="s">
        <v>383</v>
      </c>
      <c r="C125" s="1" t="s">
        <v>21</v>
      </c>
      <c r="N125" s="5"/>
    </row>
    <row r="126">
      <c r="A126" s="1">
        <v>125.0</v>
      </c>
      <c r="B126" s="1" t="s">
        <v>385</v>
      </c>
      <c r="C126" s="1" t="s">
        <v>21</v>
      </c>
      <c r="I126" s="4"/>
      <c r="N126" s="5"/>
    </row>
    <row r="127">
      <c r="A127" s="1">
        <v>126.0</v>
      </c>
      <c r="B127" s="1" t="s">
        <v>388</v>
      </c>
      <c r="C127" s="1" t="s">
        <v>21</v>
      </c>
      <c r="N127" s="5"/>
    </row>
    <row r="128">
      <c r="A128" s="1">
        <v>127.0</v>
      </c>
      <c r="B128" s="1" t="s">
        <v>389</v>
      </c>
      <c r="C128" s="1" t="s">
        <v>21</v>
      </c>
      <c r="N128" s="5"/>
    </row>
    <row r="129">
      <c r="A129" s="1">
        <v>128.0</v>
      </c>
      <c r="B129" s="1" t="s">
        <v>392</v>
      </c>
      <c r="C129" s="1" t="s">
        <v>21</v>
      </c>
      <c r="N129" s="5"/>
    </row>
    <row r="130">
      <c r="A130" s="1">
        <v>129.0</v>
      </c>
      <c r="B130" s="1" t="s">
        <v>395</v>
      </c>
      <c r="C130" s="1" t="s">
        <v>21</v>
      </c>
      <c r="N130" s="5"/>
    </row>
    <row r="131">
      <c r="A131" s="1">
        <v>130.0</v>
      </c>
      <c r="B131" s="1" t="s">
        <v>398</v>
      </c>
      <c r="C131" s="1" t="s">
        <v>21</v>
      </c>
      <c r="N131" s="5"/>
    </row>
    <row r="132">
      <c r="A132" s="1">
        <v>131.0</v>
      </c>
      <c r="B132" s="1" t="s">
        <v>400</v>
      </c>
      <c r="C132" s="1" t="s">
        <v>21</v>
      </c>
      <c r="N132" s="5"/>
    </row>
    <row r="133">
      <c r="A133" s="1">
        <v>132.0</v>
      </c>
      <c r="B133" s="1" t="s">
        <v>403</v>
      </c>
      <c r="C133" s="1" t="s">
        <v>21</v>
      </c>
      <c r="N133" s="5"/>
    </row>
    <row r="134">
      <c r="A134" s="1">
        <v>133.0</v>
      </c>
      <c r="B134" s="1" t="s">
        <v>405</v>
      </c>
      <c r="C134" s="1" t="s">
        <v>21</v>
      </c>
      <c r="I134" s="4"/>
      <c r="N134" s="5"/>
    </row>
    <row r="135">
      <c r="A135" s="1">
        <v>134.0</v>
      </c>
      <c r="B135" s="1" t="s">
        <v>407</v>
      </c>
      <c r="C135" s="1" t="s">
        <v>21</v>
      </c>
      <c r="N135" s="5"/>
    </row>
    <row r="136">
      <c r="A136" s="1">
        <v>135.0</v>
      </c>
      <c r="B136" s="1" t="s">
        <v>410</v>
      </c>
      <c r="C136" s="1" t="s">
        <v>21</v>
      </c>
      <c r="N136" s="5"/>
    </row>
    <row r="137">
      <c r="A137" s="1">
        <v>136.0</v>
      </c>
      <c r="B137" s="1" t="s">
        <v>412</v>
      </c>
      <c r="C137" s="1" t="s">
        <v>21</v>
      </c>
      <c r="N137" s="5"/>
    </row>
    <row r="138">
      <c r="A138" s="1">
        <v>137.0</v>
      </c>
      <c r="B138" s="1" t="s">
        <v>415</v>
      </c>
      <c r="C138" s="1" t="s">
        <v>21</v>
      </c>
      <c r="N138" s="5"/>
    </row>
    <row r="139">
      <c r="A139" s="1">
        <v>138.0</v>
      </c>
      <c r="B139" s="1" t="s">
        <v>419</v>
      </c>
      <c r="C139" s="1" t="s">
        <v>21</v>
      </c>
      <c r="N139" s="5"/>
    </row>
    <row r="140">
      <c r="A140" s="1">
        <v>139.0</v>
      </c>
      <c r="B140" s="1" t="s">
        <v>421</v>
      </c>
      <c r="C140" s="1" t="s">
        <v>21</v>
      </c>
      <c r="N140" s="5"/>
    </row>
    <row r="141">
      <c r="A141" s="1">
        <v>140.0</v>
      </c>
      <c r="B141" s="1" t="s">
        <v>423</v>
      </c>
      <c r="C141" s="1" t="s">
        <v>21</v>
      </c>
      <c r="N141" s="5"/>
    </row>
    <row r="142">
      <c r="A142" s="1">
        <v>141.0</v>
      </c>
      <c r="B142" s="1" t="s">
        <v>426</v>
      </c>
      <c r="C142" s="1" t="s">
        <v>21</v>
      </c>
      <c r="N142" s="5"/>
    </row>
    <row r="143">
      <c r="A143" s="1">
        <v>142.0</v>
      </c>
      <c r="B143" s="1" t="s">
        <v>429</v>
      </c>
      <c r="C143" s="1" t="s">
        <v>21</v>
      </c>
      <c r="I143" s="4"/>
      <c r="N143" s="5"/>
    </row>
    <row r="144">
      <c r="A144" s="1">
        <v>143.0</v>
      </c>
      <c r="B144" s="1" t="s">
        <v>431</v>
      </c>
      <c r="C144" s="1" t="s">
        <v>21</v>
      </c>
      <c r="N144" s="5"/>
    </row>
    <row r="145">
      <c r="A145" s="1">
        <v>144.0</v>
      </c>
      <c r="B145" s="1" t="s">
        <v>433</v>
      </c>
      <c r="C145" s="1" t="s">
        <v>21</v>
      </c>
      <c r="I145" s="4"/>
      <c r="N145" s="5"/>
    </row>
    <row r="146">
      <c r="A146" s="1">
        <v>145.0</v>
      </c>
      <c r="B146" s="1" t="s">
        <v>435</v>
      </c>
      <c r="C146" s="1" t="s">
        <v>21</v>
      </c>
      <c r="N146" s="5"/>
    </row>
    <row r="147">
      <c r="A147" s="1">
        <v>146.0</v>
      </c>
      <c r="B147" s="1" t="s">
        <v>438</v>
      </c>
      <c r="C147" s="1" t="s">
        <v>21</v>
      </c>
      <c r="N147" s="5"/>
    </row>
    <row r="148">
      <c r="A148" s="1">
        <v>147.0</v>
      </c>
      <c r="B148" s="1" t="s">
        <v>440</v>
      </c>
      <c r="C148" s="1" t="s">
        <v>21</v>
      </c>
      <c r="N148" s="5"/>
    </row>
    <row r="149">
      <c r="A149" s="1">
        <v>148.0</v>
      </c>
      <c r="B149" s="1" t="s">
        <v>442</v>
      </c>
      <c r="C149" s="1" t="s">
        <v>21</v>
      </c>
      <c r="N149" s="5"/>
    </row>
    <row r="150">
      <c r="A150" s="1">
        <v>149.0</v>
      </c>
      <c r="B150" s="1" t="s">
        <v>445</v>
      </c>
      <c r="C150" s="1" t="s">
        <v>21</v>
      </c>
      <c r="I150" s="4"/>
      <c r="N150" s="5"/>
    </row>
    <row r="151">
      <c r="A151" s="1">
        <v>150.0</v>
      </c>
      <c r="B151" s="1" t="s">
        <v>446</v>
      </c>
      <c r="C151" s="1" t="s">
        <v>21</v>
      </c>
      <c r="N151" s="5"/>
    </row>
    <row r="152">
      <c r="A152" s="1">
        <v>151.0</v>
      </c>
      <c r="B152" s="1" t="s">
        <v>449</v>
      </c>
      <c r="C152" s="1" t="s">
        <v>21</v>
      </c>
      <c r="N152" s="5"/>
    </row>
    <row r="153">
      <c r="A153" s="1">
        <v>152.0</v>
      </c>
      <c r="B153" s="1" t="s">
        <v>451</v>
      </c>
      <c r="C153" s="1" t="s">
        <v>21</v>
      </c>
      <c r="N153" s="5"/>
    </row>
    <row r="154">
      <c r="A154" s="1">
        <v>153.0</v>
      </c>
      <c r="B154" s="1" t="s">
        <v>454</v>
      </c>
      <c r="C154" s="1" t="s">
        <v>21</v>
      </c>
      <c r="N154" s="5"/>
    </row>
    <row r="155">
      <c r="A155" s="1">
        <v>154.0</v>
      </c>
      <c r="B155" s="1" t="s">
        <v>456</v>
      </c>
      <c r="C155" s="1" t="s">
        <v>21</v>
      </c>
      <c r="N155" s="5"/>
    </row>
    <row r="156">
      <c r="A156" s="1">
        <v>155.0</v>
      </c>
      <c r="B156" s="1" t="s">
        <v>460</v>
      </c>
      <c r="C156" s="1" t="s">
        <v>21</v>
      </c>
      <c r="N156" s="5"/>
    </row>
    <row r="157">
      <c r="A157" s="1">
        <v>156.0</v>
      </c>
      <c r="B157" s="1" t="s">
        <v>461</v>
      </c>
      <c r="C157" s="1" t="s">
        <v>21</v>
      </c>
      <c r="N157" s="5"/>
    </row>
    <row r="158">
      <c r="A158" s="1">
        <v>157.0</v>
      </c>
      <c r="B158" s="1" t="s">
        <v>465</v>
      </c>
      <c r="C158" s="1" t="s">
        <v>21</v>
      </c>
      <c r="N158" s="5"/>
    </row>
    <row r="159">
      <c r="A159" s="1">
        <v>158.0</v>
      </c>
      <c r="B159" s="1" t="s">
        <v>467</v>
      </c>
      <c r="C159" s="1" t="s">
        <v>21</v>
      </c>
      <c r="N159" s="5"/>
    </row>
    <row r="160">
      <c r="A160" s="1">
        <v>159.0</v>
      </c>
      <c r="B160" s="1" t="s">
        <v>470</v>
      </c>
      <c r="C160" s="1" t="s">
        <v>21</v>
      </c>
      <c r="N160" s="5"/>
    </row>
    <row r="161">
      <c r="A161" s="1">
        <v>160.0</v>
      </c>
      <c r="B161" s="1" t="s">
        <v>472</v>
      </c>
      <c r="C161" s="1" t="s">
        <v>21</v>
      </c>
      <c r="I161" s="4"/>
      <c r="N161" s="5"/>
    </row>
    <row r="162">
      <c r="A162" s="1">
        <v>161.0</v>
      </c>
      <c r="B162" s="1" t="s">
        <v>475</v>
      </c>
      <c r="C162" s="1" t="s">
        <v>21</v>
      </c>
      <c r="N162" s="5"/>
    </row>
    <row r="163">
      <c r="A163" s="1">
        <v>162.0</v>
      </c>
      <c r="B163" s="1" t="s">
        <v>478</v>
      </c>
      <c r="C163" s="1" t="s">
        <v>21</v>
      </c>
      <c r="N163" s="5"/>
    </row>
    <row r="164">
      <c r="A164" s="1">
        <v>163.0</v>
      </c>
      <c r="B164" s="1" t="s">
        <v>481</v>
      </c>
      <c r="C164" s="1" t="s">
        <v>21</v>
      </c>
      <c r="N164" s="5"/>
    </row>
    <row r="165">
      <c r="A165" s="1">
        <v>164.0</v>
      </c>
      <c r="B165" s="1" t="s">
        <v>483</v>
      </c>
      <c r="C165" s="1" t="s">
        <v>21</v>
      </c>
      <c r="N165" s="5"/>
    </row>
    <row r="166">
      <c r="A166" s="1">
        <v>165.0</v>
      </c>
      <c r="B166" s="1" t="s">
        <v>486</v>
      </c>
      <c r="C166" s="1" t="s">
        <v>21</v>
      </c>
      <c r="N166" s="5"/>
    </row>
    <row r="167">
      <c r="A167" s="1">
        <v>166.0</v>
      </c>
      <c r="B167" s="1" t="s">
        <v>488</v>
      </c>
      <c r="C167" s="1" t="s">
        <v>21</v>
      </c>
      <c r="N167" s="5"/>
    </row>
    <row r="168">
      <c r="A168" s="1">
        <v>167.0</v>
      </c>
      <c r="B168" s="1" t="s">
        <v>491</v>
      </c>
      <c r="C168" s="1" t="s">
        <v>21</v>
      </c>
      <c r="N168" s="5"/>
    </row>
    <row r="169">
      <c r="A169" s="1">
        <v>168.0</v>
      </c>
      <c r="B169" s="1" t="s">
        <v>493</v>
      </c>
      <c r="C169" s="1" t="s">
        <v>21</v>
      </c>
      <c r="N169" s="5"/>
    </row>
    <row r="170">
      <c r="A170" s="1">
        <v>169.0</v>
      </c>
      <c r="B170" s="1" t="s">
        <v>495</v>
      </c>
      <c r="C170" s="1" t="s">
        <v>21</v>
      </c>
      <c r="N170" s="5"/>
    </row>
    <row r="171">
      <c r="A171" s="1">
        <v>170.0</v>
      </c>
      <c r="B171" s="1" t="s">
        <v>498</v>
      </c>
      <c r="C171" s="1" t="s">
        <v>21</v>
      </c>
      <c r="N171" s="5"/>
    </row>
    <row r="172">
      <c r="A172" s="1">
        <v>171.0</v>
      </c>
      <c r="B172" s="1" t="s">
        <v>500</v>
      </c>
      <c r="C172" s="1" t="s">
        <v>21</v>
      </c>
      <c r="N172" s="5"/>
    </row>
    <row r="173">
      <c r="A173" s="1">
        <v>172.0</v>
      </c>
      <c r="B173" s="1" t="s">
        <v>502</v>
      </c>
      <c r="C173" s="1" t="s">
        <v>21</v>
      </c>
      <c r="N173" s="5"/>
    </row>
    <row r="174">
      <c r="A174" s="1">
        <v>173.0</v>
      </c>
      <c r="B174" s="1" t="s">
        <v>505</v>
      </c>
      <c r="C174" s="1" t="s">
        <v>21</v>
      </c>
      <c r="N174" s="5"/>
    </row>
    <row r="175">
      <c r="A175" s="1">
        <v>174.0</v>
      </c>
      <c r="B175" s="1" t="s">
        <v>507</v>
      </c>
      <c r="C175" s="1" t="s">
        <v>21</v>
      </c>
      <c r="N175" s="5"/>
    </row>
    <row r="176">
      <c r="A176" s="1">
        <v>175.0</v>
      </c>
      <c r="B176" s="1" t="s">
        <v>509</v>
      </c>
      <c r="C176" s="1" t="s">
        <v>21</v>
      </c>
      <c r="N176" s="5"/>
    </row>
    <row r="177">
      <c r="A177" s="1">
        <v>176.0</v>
      </c>
      <c r="B177" s="1" t="s">
        <v>511</v>
      </c>
      <c r="C177" s="1" t="s">
        <v>21</v>
      </c>
      <c r="N177" s="5"/>
    </row>
    <row r="178">
      <c r="A178" s="1">
        <v>177.0</v>
      </c>
      <c r="B178" s="1" t="s">
        <v>513</v>
      </c>
      <c r="C178" s="1" t="s">
        <v>21</v>
      </c>
      <c r="N178" s="5"/>
    </row>
    <row r="179">
      <c r="A179" s="1">
        <v>178.0</v>
      </c>
      <c r="B179" s="1" t="s">
        <v>514</v>
      </c>
      <c r="C179" s="1" t="s">
        <v>21</v>
      </c>
      <c r="N179" s="5"/>
    </row>
    <row r="180">
      <c r="A180" s="1">
        <v>179.0</v>
      </c>
      <c r="B180" s="1" t="s">
        <v>517</v>
      </c>
      <c r="C180" s="1" t="s">
        <v>21</v>
      </c>
      <c r="I180" s="4"/>
      <c r="N180" s="5"/>
    </row>
    <row r="181">
      <c r="A181" s="1">
        <v>180.0</v>
      </c>
      <c r="B181" s="1" t="s">
        <v>520</v>
      </c>
      <c r="C181" s="1" t="s">
        <v>21</v>
      </c>
      <c r="N181" s="5"/>
    </row>
    <row r="182">
      <c r="A182" s="1">
        <v>181.0</v>
      </c>
      <c r="B182" s="1" t="s">
        <v>523</v>
      </c>
      <c r="C182" s="1" t="s">
        <v>21</v>
      </c>
      <c r="N182" s="5"/>
    </row>
    <row r="183">
      <c r="A183" s="1">
        <v>182.0</v>
      </c>
      <c r="B183" s="1" t="s">
        <v>525</v>
      </c>
      <c r="C183" s="1" t="s">
        <v>21</v>
      </c>
      <c r="N183" s="5"/>
    </row>
    <row r="184">
      <c r="A184" s="1">
        <v>183.0</v>
      </c>
      <c r="B184" s="1" t="s">
        <v>528</v>
      </c>
      <c r="C184" s="1" t="s">
        <v>21</v>
      </c>
      <c r="N184" s="5"/>
    </row>
    <row r="185">
      <c r="A185" s="1">
        <v>184.0</v>
      </c>
      <c r="B185" s="1" t="s">
        <v>531</v>
      </c>
      <c r="C185" s="1" t="s">
        <v>21</v>
      </c>
      <c r="N185" s="5"/>
    </row>
    <row r="186">
      <c r="A186" s="1">
        <v>185.0</v>
      </c>
      <c r="B186" s="1" t="s">
        <v>532</v>
      </c>
      <c r="C186" s="1" t="s">
        <v>21</v>
      </c>
      <c r="N186" s="5"/>
    </row>
    <row r="187">
      <c r="A187" s="1">
        <v>186.0</v>
      </c>
      <c r="B187" s="1" t="s">
        <v>535</v>
      </c>
      <c r="C187" s="1" t="s">
        <v>21</v>
      </c>
      <c r="N187" s="5"/>
    </row>
    <row r="188">
      <c r="A188" s="1">
        <v>187.0</v>
      </c>
      <c r="B188" s="1" t="s">
        <v>538</v>
      </c>
      <c r="C188" s="1" t="s">
        <v>21</v>
      </c>
      <c r="N188" s="5"/>
    </row>
    <row r="189">
      <c r="A189" s="1">
        <v>188.0</v>
      </c>
      <c r="B189" s="1" t="s">
        <v>540</v>
      </c>
      <c r="C189" s="1" t="s">
        <v>21</v>
      </c>
      <c r="N189" s="5"/>
    </row>
    <row r="190">
      <c r="A190" s="1">
        <v>189.0</v>
      </c>
      <c r="B190" s="1" t="s">
        <v>543</v>
      </c>
      <c r="C190" s="1" t="s">
        <v>21</v>
      </c>
      <c r="N190" s="5"/>
    </row>
    <row r="191">
      <c r="A191" s="1">
        <v>190.0</v>
      </c>
      <c r="B191" s="1" t="s">
        <v>546</v>
      </c>
      <c r="C191" s="1" t="s">
        <v>21</v>
      </c>
      <c r="N191" s="5"/>
    </row>
    <row r="192">
      <c r="A192" s="1">
        <v>191.0</v>
      </c>
      <c r="B192" s="1" t="s">
        <v>548</v>
      </c>
      <c r="C192" s="1" t="s">
        <v>21</v>
      </c>
      <c r="N192" s="5"/>
    </row>
    <row r="193">
      <c r="A193" s="1">
        <v>192.0</v>
      </c>
      <c r="B193" s="1" t="s">
        <v>550</v>
      </c>
      <c r="C193" s="1" t="s">
        <v>21</v>
      </c>
      <c r="N193" s="5"/>
    </row>
    <row r="194">
      <c r="A194" s="1">
        <v>193.0</v>
      </c>
      <c r="B194" s="1" t="s">
        <v>553</v>
      </c>
      <c r="C194" s="1" t="s">
        <v>21</v>
      </c>
      <c r="N194" s="5"/>
    </row>
    <row r="195">
      <c r="A195" s="1">
        <v>194.0</v>
      </c>
      <c r="B195" s="1" t="s">
        <v>555</v>
      </c>
      <c r="C195" s="1" t="s">
        <v>21</v>
      </c>
      <c r="N195" s="5"/>
    </row>
    <row r="196">
      <c r="A196" s="1">
        <v>195.0</v>
      </c>
      <c r="B196" s="1" t="s">
        <v>557</v>
      </c>
      <c r="C196" s="1" t="s">
        <v>21</v>
      </c>
      <c r="N196" s="5"/>
    </row>
    <row r="197">
      <c r="A197" s="1">
        <v>196.0</v>
      </c>
      <c r="B197" s="1" t="s">
        <v>559</v>
      </c>
      <c r="C197" s="1" t="s">
        <v>21</v>
      </c>
      <c r="N197" s="5"/>
    </row>
    <row r="198">
      <c r="A198" s="1">
        <v>197.0</v>
      </c>
      <c r="B198" s="1" t="s">
        <v>563</v>
      </c>
      <c r="C198" s="1" t="s">
        <v>21</v>
      </c>
      <c r="N198" s="5"/>
    </row>
    <row r="199">
      <c r="A199" s="1">
        <v>198.0</v>
      </c>
      <c r="B199" s="1" t="s">
        <v>566</v>
      </c>
      <c r="C199" s="1" t="s">
        <v>21</v>
      </c>
      <c r="N199" s="5"/>
    </row>
    <row r="200">
      <c r="A200" s="1">
        <v>199.0</v>
      </c>
      <c r="B200" s="1" t="s">
        <v>569</v>
      </c>
      <c r="C200" s="1" t="s">
        <v>21</v>
      </c>
      <c r="N200" s="5"/>
    </row>
    <row r="201">
      <c r="A201" s="1">
        <v>200.0</v>
      </c>
      <c r="B201" s="1" t="s">
        <v>571</v>
      </c>
      <c r="C201" s="1" t="s">
        <v>21</v>
      </c>
      <c r="N201" s="5"/>
    </row>
    <row r="202">
      <c r="A202" s="1">
        <v>201.0</v>
      </c>
      <c r="B202" s="1" t="s">
        <v>573</v>
      </c>
      <c r="C202" s="1" t="s">
        <v>21</v>
      </c>
      <c r="I202" s="4"/>
      <c r="N202" s="5"/>
    </row>
    <row r="203">
      <c r="A203" s="1">
        <v>202.0</v>
      </c>
      <c r="B203" s="1" t="s">
        <v>576</v>
      </c>
      <c r="C203" s="1" t="s">
        <v>21</v>
      </c>
      <c r="N203" s="5"/>
    </row>
    <row r="204">
      <c r="A204" s="1">
        <v>203.0</v>
      </c>
      <c r="B204" s="1" t="s">
        <v>578</v>
      </c>
      <c r="C204" s="1" t="s">
        <v>21</v>
      </c>
      <c r="N204" s="5"/>
    </row>
    <row r="205">
      <c r="A205" s="1">
        <v>204.0</v>
      </c>
      <c r="B205" s="1" t="s">
        <v>579</v>
      </c>
      <c r="C205" s="1" t="s">
        <v>21</v>
      </c>
      <c r="N205" s="5"/>
    </row>
    <row r="206">
      <c r="A206" s="1">
        <v>205.0</v>
      </c>
      <c r="B206" s="1" t="s">
        <v>581</v>
      </c>
      <c r="C206" s="1" t="s">
        <v>21</v>
      </c>
      <c r="N206" s="5"/>
    </row>
    <row r="207">
      <c r="A207" s="1">
        <v>206.0</v>
      </c>
      <c r="B207" s="1" t="s">
        <v>584</v>
      </c>
      <c r="C207" s="1" t="s">
        <v>21</v>
      </c>
      <c r="N207" s="5"/>
    </row>
    <row r="208">
      <c r="A208" s="1">
        <v>207.0</v>
      </c>
      <c r="B208" s="1" t="s">
        <v>587</v>
      </c>
      <c r="C208" s="1" t="s">
        <v>21</v>
      </c>
      <c r="N208" s="5"/>
    </row>
    <row r="209">
      <c r="A209" s="1">
        <v>208.0</v>
      </c>
      <c r="B209" s="1" t="s">
        <v>590</v>
      </c>
      <c r="C209" s="1" t="s">
        <v>21</v>
      </c>
      <c r="N209" s="5"/>
    </row>
    <row r="210">
      <c r="A210" s="1">
        <v>209.0</v>
      </c>
      <c r="B210" s="1" t="s">
        <v>592</v>
      </c>
      <c r="C210" s="1" t="s">
        <v>21</v>
      </c>
      <c r="N210" s="5"/>
    </row>
    <row r="211">
      <c r="A211" s="1">
        <v>210.0</v>
      </c>
      <c r="B211" s="1" t="s">
        <v>594</v>
      </c>
      <c r="C211" s="1" t="s">
        <v>21</v>
      </c>
      <c r="N211" s="5"/>
    </row>
    <row r="212">
      <c r="A212" s="1">
        <v>211.0</v>
      </c>
      <c r="B212" s="1" t="s">
        <v>596</v>
      </c>
      <c r="C212" s="1" t="s">
        <v>21</v>
      </c>
      <c r="N212" s="5"/>
    </row>
    <row r="213">
      <c r="A213" s="1">
        <v>212.0</v>
      </c>
      <c r="B213" s="1" t="s">
        <v>599</v>
      </c>
      <c r="C213" s="1" t="s">
        <v>21</v>
      </c>
      <c r="N213" s="5"/>
    </row>
    <row r="214">
      <c r="A214" s="1">
        <v>213.0</v>
      </c>
      <c r="B214" s="1" t="s">
        <v>601</v>
      </c>
      <c r="C214" s="1" t="s">
        <v>21</v>
      </c>
      <c r="N214" s="5"/>
    </row>
    <row r="215">
      <c r="A215" s="1">
        <v>214.0</v>
      </c>
      <c r="B215" s="1" t="s">
        <v>604</v>
      </c>
      <c r="C215" s="1" t="s">
        <v>21</v>
      </c>
      <c r="N215" s="5"/>
    </row>
    <row r="216">
      <c r="A216" s="1">
        <v>215.0</v>
      </c>
      <c r="B216" s="1" t="s">
        <v>606</v>
      </c>
      <c r="C216" s="1" t="s">
        <v>21</v>
      </c>
      <c r="N216" s="5"/>
    </row>
    <row r="217">
      <c r="A217" s="1">
        <v>216.0</v>
      </c>
      <c r="B217" s="1" t="s">
        <v>609</v>
      </c>
      <c r="C217" s="1" t="s">
        <v>21</v>
      </c>
      <c r="N217" s="5"/>
    </row>
    <row r="218">
      <c r="A218" s="1">
        <v>217.0</v>
      </c>
      <c r="B218" s="1" t="s">
        <v>612</v>
      </c>
      <c r="C218" s="1" t="s">
        <v>21</v>
      </c>
      <c r="N218" s="5"/>
    </row>
    <row r="219">
      <c r="A219" s="1">
        <v>218.0</v>
      </c>
      <c r="B219" s="1" t="s">
        <v>614</v>
      </c>
      <c r="C219" s="1" t="s">
        <v>21</v>
      </c>
      <c r="N219" s="5"/>
    </row>
    <row r="220">
      <c r="A220" s="1">
        <v>219.0</v>
      </c>
      <c r="B220" s="1" t="s">
        <v>617</v>
      </c>
      <c r="C220" s="1" t="s">
        <v>21</v>
      </c>
      <c r="N220" s="5"/>
    </row>
    <row r="221">
      <c r="A221" s="1">
        <v>220.0</v>
      </c>
      <c r="B221" s="1" t="s">
        <v>619</v>
      </c>
      <c r="C221" s="1" t="s">
        <v>21</v>
      </c>
      <c r="N221" s="5"/>
    </row>
    <row r="222">
      <c r="A222" s="1">
        <v>221.0</v>
      </c>
      <c r="B222" s="1" t="s">
        <v>622</v>
      </c>
      <c r="C222" s="1" t="s">
        <v>21</v>
      </c>
      <c r="N222" s="5"/>
    </row>
    <row r="223">
      <c r="A223" s="1">
        <v>222.0</v>
      </c>
      <c r="B223" s="1" t="s">
        <v>624</v>
      </c>
      <c r="C223" s="1" t="s">
        <v>21</v>
      </c>
      <c r="N223" s="5"/>
    </row>
    <row r="224">
      <c r="A224" s="1">
        <v>223.0</v>
      </c>
      <c r="B224" s="1" t="s">
        <v>626</v>
      </c>
      <c r="C224" s="1" t="s">
        <v>21</v>
      </c>
      <c r="N224" s="5"/>
    </row>
    <row r="225">
      <c r="A225" s="1">
        <v>224.0</v>
      </c>
      <c r="B225" s="1" t="s">
        <v>628</v>
      </c>
      <c r="C225" s="1" t="s">
        <v>21</v>
      </c>
      <c r="N225" s="5"/>
    </row>
    <row r="226">
      <c r="A226" s="1">
        <v>225.0</v>
      </c>
      <c r="B226" s="1" t="s">
        <v>631</v>
      </c>
      <c r="C226" s="1" t="s">
        <v>21</v>
      </c>
      <c r="N226" s="5"/>
    </row>
    <row r="227">
      <c r="A227" s="1">
        <v>226.0</v>
      </c>
      <c r="B227" s="1" t="s">
        <v>634</v>
      </c>
      <c r="C227" s="1" t="s">
        <v>21</v>
      </c>
      <c r="N227" s="5"/>
    </row>
    <row r="228">
      <c r="A228" s="1">
        <v>227.0</v>
      </c>
      <c r="B228" s="1" t="s">
        <v>637</v>
      </c>
      <c r="C228" s="1" t="s">
        <v>21</v>
      </c>
      <c r="N228" s="5"/>
    </row>
    <row r="229">
      <c r="A229" s="1">
        <v>228.0</v>
      </c>
      <c r="B229" s="1" t="s">
        <v>639</v>
      </c>
      <c r="C229" s="1" t="s">
        <v>21</v>
      </c>
      <c r="N229" s="5"/>
    </row>
    <row r="230">
      <c r="A230" s="1">
        <v>229.0</v>
      </c>
      <c r="B230" s="1" t="s">
        <v>641</v>
      </c>
      <c r="C230" s="1" t="s">
        <v>21</v>
      </c>
      <c r="N230" s="5"/>
    </row>
    <row r="231">
      <c r="A231" s="1">
        <v>230.0</v>
      </c>
      <c r="B231" s="1" t="s">
        <v>644</v>
      </c>
      <c r="C231" s="1" t="s">
        <v>21</v>
      </c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I249" s="4"/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  <c r="N261" s="5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  <row r="357">
      <c r="N357" s="5"/>
    </row>
    <row r="358">
      <c r="N358" s="5"/>
    </row>
    <row r="359">
      <c r="N359" s="5"/>
    </row>
    <row r="360">
      <c r="N360" s="5"/>
    </row>
    <row r="361">
      <c r="N361" s="5"/>
    </row>
    <row r="362">
      <c r="N362" s="5"/>
    </row>
    <row r="363">
      <c r="N363" s="5"/>
    </row>
    <row r="364">
      <c r="N364" s="5"/>
    </row>
    <row r="365">
      <c r="N365" s="5"/>
    </row>
    <row r="366">
      <c r="N366" s="5"/>
    </row>
    <row r="367">
      <c r="N367" s="5"/>
    </row>
    <row r="368">
      <c r="N368" s="5"/>
    </row>
    <row r="369">
      <c r="N369" s="5"/>
    </row>
    <row r="370">
      <c r="N370" s="5"/>
    </row>
    <row r="371">
      <c r="N371" s="5"/>
    </row>
    <row r="372">
      <c r="N372" s="5"/>
    </row>
    <row r="373">
      <c r="N373" s="5"/>
    </row>
    <row r="374">
      <c r="N374" s="5"/>
    </row>
    <row r="375">
      <c r="N375" s="5"/>
    </row>
    <row r="376">
      <c r="N376" s="5"/>
    </row>
    <row r="377">
      <c r="N377" s="5"/>
    </row>
    <row r="378">
      <c r="N378" s="5"/>
    </row>
    <row r="379">
      <c r="N379" s="5"/>
    </row>
    <row r="380">
      <c r="N380" s="5"/>
    </row>
    <row r="381">
      <c r="N381" s="5"/>
    </row>
    <row r="382">
      <c r="N382" s="5"/>
    </row>
    <row r="383">
      <c r="N383" s="5"/>
    </row>
    <row r="384">
      <c r="N384" s="5"/>
    </row>
    <row r="385">
      <c r="N385" s="5"/>
    </row>
    <row r="386">
      <c r="N386" s="5"/>
    </row>
    <row r="387">
      <c r="N387" s="5"/>
    </row>
    <row r="388">
      <c r="N388" s="5"/>
    </row>
    <row r="389">
      <c r="N389" s="5"/>
    </row>
    <row r="390">
      <c r="N390" s="5"/>
    </row>
    <row r="391">
      <c r="N391" s="5"/>
    </row>
    <row r="392">
      <c r="N392" s="5"/>
    </row>
    <row r="393">
      <c r="N393" s="5"/>
    </row>
    <row r="394">
      <c r="N394" s="5"/>
    </row>
    <row r="395">
      <c r="N395" s="5"/>
    </row>
    <row r="396">
      <c r="N396" s="5"/>
    </row>
    <row r="397">
      <c r="N397" s="5"/>
    </row>
    <row r="398">
      <c r="N398" s="5"/>
    </row>
    <row r="399">
      <c r="N399" s="5"/>
    </row>
    <row r="400">
      <c r="N400" s="5"/>
    </row>
    <row r="401">
      <c r="N401" s="5"/>
    </row>
    <row r="402">
      <c r="N402" s="5"/>
    </row>
    <row r="403">
      <c r="N403" s="5"/>
    </row>
    <row r="404">
      <c r="N404" s="5"/>
    </row>
    <row r="405">
      <c r="N405" s="5"/>
    </row>
    <row r="406">
      <c r="N406" s="5"/>
    </row>
    <row r="407">
      <c r="N407" s="5"/>
    </row>
    <row r="408">
      <c r="N408" s="5"/>
    </row>
    <row r="409">
      <c r="N409" s="5"/>
    </row>
    <row r="410">
      <c r="N410" s="5"/>
    </row>
    <row r="411">
      <c r="N411" s="5"/>
    </row>
    <row r="412">
      <c r="N412" s="5"/>
    </row>
    <row r="413">
      <c r="N413" s="5"/>
    </row>
    <row r="414">
      <c r="N414" s="5"/>
    </row>
    <row r="415">
      <c r="N415" s="5"/>
    </row>
    <row r="416">
      <c r="N416" s="5"/>
    </row>
    <row r="417">
      <c r="N417" s="5"/>
    </row>
    <row r="418">
      <c r="N418" s="5"/>
    </row>
    <row r="419">
      <c r="N419" s="5"/>
    </row>
    <row r="420">
      <c r="N420" s="5"/>
    </row>
    <row r="421">
      <c r="N421" s="5"/>
    </row>
    <row r="422">
      <c r="N422" s="5"/>
    </row>
    <row r="423">
      <c r="N423" s="5"/>
    </row>
    <row r="424">
      <c r="N424" s="5"/>
    </row>
    <row r="425">
      <c r="N425" s="5"/>
    </row>
    <row r="426">
      <c r="N426" s="5"/>
    </row>
    <row r="427">
      <c r="N427" s="5"/>
    </row>
    <row r="428">
      <c r="N428" s="5"/>
    </row>
    <row r="429">
      <c r="N429" s="5"/>
    </row>
    <row r="430">
      <c r="N430" s="5"/>
    </row>
    <row r="431">
      <c r="N431" s="5"/>
    </row>
    <row r="432">
      <c r="N432" s="5"/>
    </row>
    <row r="433">
      <c r="N433" s="5"/>
    </row>
    <row r="434">
      <c r="N434" s="5"/>
    </row>
    <row r="435">
      <c r="N435" s="5"/>
    </row>
    <row r="436">
      <c r="N436" s="5"/>
    </row>
    <row r="437">
      <c r="N437" s="5"/>
    </row>
    <row r="438">
      <c r="N438" s="5"/>
    </row>
    <row r="439">
      <c r="N439" s="5"/>
    </row>
    <row r="440">
      <c r="N440" s="5"/>
    </row>
    <row r="441">
      <c r="N441" s="5"/>
    </row>
    <row r="442">
      <c r="N442" s="5"/>
    </row>
    <row r="443">
      <c r="N443" s="5"/>
    </row>
    <row r="444">
      <c r="N444" s="5"/>
    </row>
    <row r="445">
      <c r="N445" s="5"/>
    </row>
    <row r="446">
      <c r="N446" s="5"/>
    </row>
    <row r="447">
      <c r="N447" s="5"/>
    </row>
    <row r="448">
      <c r="N448" s="5"/>
    </row>
    <row r="449">
      <c r="N449" s="5"/>
    </row>
    <row r="450">
      <c r="N450" s="5"/>
    </row>
    <row r="451">
      <c r="N451" s="5"/>
    </row>
    <row r="452">
      <c r="N452" s="5"/>
    </row>
    <row r="453">
      <c r="N453" s="5"/>
    </row>
    <row r="454">
      <c r="N454" s="5"/>
    </row>
    <row r="455">
      <c r="N455" s="5"/>
    </row>
    <row r="456">
      <c r="N456" s="5"/>
    </row>
    <row r="457">
      <c r="N457" s="5"/>
    </row>
    <row r="458">
      <c r="N458" s="5"/>
    </row>
    <row r="459">
      <c r="N459" s="5"/>
    </row>
    <row r="460">
      <c r="N460" s="5"/>
    </row>
    <row r="461">
      <c r="N461" s="5"/>
    </row>
    <row r="462">
      <c r="N462" s="5"/>
    </row>
    <row r="463">
      <c r="N463" s="5"/>
    </row>
    <row r="464">
      <c r="N464" s="5"/>
    </row>
    <row r="465">
      <c r="N465" s="5"/>
    </row>
    <row r="466">
      <c r="N466" s="5"/>
    </row>
    <row r="467">
      <c r="N467" s="5"/>
    </row>
    <row r="468">
      <c r="N468" s="5"/>
    </row>
    <row r="469">
      <c r="N469" s="5"/>
    </row>
    <row r="470">
      <c r="N470" s="5"/>
    </row>
    <row r="471">
      <c r="N471" s="5"/>
    </row>
    <row r="472">
      <c r="N472" s="5"/>
    </row>
    <row r="473">
      <c r="N473" s="5"/>
    </row>
    <row r="474">
      <c r="N474" s="5"/>
    </row>
    <row r="475">
      <c r="N475" s="5"/>
    </row>
    <row r="476">
      <c r="N476" s="5"/>
    </row>
    <row r="477">
      <c r="N477" s="5"/>
    </row>
    <row r="478">
      <c r="N478" s="5"/>
    </row>
    <row r="479">
      <c r="N479" s="5"/>
    </row>
    <row r="480">
      <c r="N480" s="5"/>
    </row>
    <row r="481">
      <c r="N481" s="5"/>
    </row>
    <row r="482">
      <c r="N482" s="5"/>
    </row>
    <row r="483">
      <c r="N483" s="5"/>
    </row>
    <row r="484">
      <c r="N484" s="5"/>
    </row>
    <row r="485">
      <c r="N485" s="5"/>
    </row>
    <row r="486">
      <c r="N486" s="5"/>
    </row>
    <row r="487">
      <c r="N487" s="5"/>
    </row>
    <row r="488">
      <c r="N488" s="5"/>
    </row>
    <row r="489">
      <c r="N489" s="5"/>
    </row>
    <row r="490">
      <c r="N490" s="5"/>
    </row>
    <row r="491">
      <c r="N491" s="5"/>
    </row>
    <row r="492">
      <c r="N492" s="5"/>
    </row>
    <row r="493">
      <c r="N493" s="5"/>
    </row>
    <row r="494">
      <c r="N494" s="5"/>
    </row>
    <row r="495">
      <c r="N495" s="5"/>
    </row>
    <row r="496">
      <c r="N496" s="5"/>
    </row>
    <row r="497">
      <c r="N497" s="5"/>
    </row>
    <row r="498">
      <c r="N498" s="5"/>
    </row>
    <row r="499">
      <c r="N499" s="5"/>
    </row>
    <row r="500">
      <c r="N500" s="5"/>
    </row>
    <row r="501">
      <c r="N501" s="5"/>
    </row>
    <row r="502">
      <c r="N502" s="5"/>
    </row>
    <row r="503">
      <c r="N503" s="5"/>
    </row>
    <row r="504">
      <c r="N504" s="5"/>
    </row>
    <row r="505">
      <c r="N505" s="5"/>
    </row>
    <row r="506">
      <c r="N506" s="5"/>
    </row>
    <row r="507">
      <c r="N507" s="5"/>
    </row>
    <row r="508">
      <c r="N508" s="5"/>
    </row>
    <row r="509">
      <c r="N509" s="5"/>
    </row>
    <row r="510">
      <c r="N510" s="5"/>
    </row>
    <row r="511">
      <c r="N511" s="5"/>
    </row>
    <row r="512">
      <c r="N512" s="5"/>
    </row>
    <row r="513">
      <c r="N513" s="5"/>
    </row>
    <row r="514">
      <c r="N514" s="5"/>
    </row>
    <row r="515">
      <c r="N515" s="5"/>
    </row>
    <row r="516">
      <c r="N516" s="5"/>
    </row>
    <row r="517">
      <c r="N517" s="5"/>
    </row>
    <row r="518">
      <c r="N518" s="5"/>
    </row>
    <row r="519">
      <c r="N519" s="5"/>
    </row>
    <row r="520">
      <c r="N520" s="5"/>
    </row>
    <row r="521">
      <c r="N521" s="5"/>
    </row>
    <row r="522">
      <c r="N522" s="5"/>
    </row>
    <row r="523">
      <c r="N523" s="5"/>
    </row>
    <row r="524">
      <c r="N524" s="5"/>
    </row>
    <row r="525">
      <c r="N525" s="5"/>
    </row>
    <row r="526">
      <c r="N526" s="5"/>
    </row>
    <row r="527">
      <c r="N527" s="5"/>
    </row>
    <row r="528">
      <c r="N528" s="5"/>
    </row>
    <row r="529">
      <c r="N529" s="5"/>
    </row>
    <row r="530">
      <c r="N530" s="5"/>
    </row>
    <row r="531">
      <c r="N531" s="5"/>
    </row>
    <row r="532">
      <c r="N532" s="5"/>
    </row>
    <row r="533">
      <c r="N533" s="5"/>
    </row>
    <row r="534">
      <c r="N534" s="5"/>
    </row>
    <row r="535">
      <c r="N535" s="5"/>
    </row>
    <row r="536">
      <c r="N536" s="5"/>
    </row>
    <row r="537">
      <c r="N537" s="5"/>
    </row>
    <row r="538">
      <c r="N538" s="5"/>
    </row>
    <row r="539">
      <c r="N539" s="5"/>
    </row>
    <row r="540">
      <c r="N540" s="5"/>
    </row>
    <row r="541">
      <c r="N541" s="5"/>
    </row>
    <row r="542">
      <c r="N542" s="5"/>
    </row>
    <row r="543">
      <c r="N543" s="5"/>
    </row>
    <row r="544">
      <c r="N544" s="5"/>
    </row>
    <row r="545">
      <c r="N545" s="5"/>
    </row>
    <row r="546">
      <c r="N546" s="5"/>
    </row>
    <row r="547">
      <c r="N547" s="5"/>
    </row>
    <row r="548">
      <c r="N548" s="5"/>
    </row>
    <row r="549">
      <c r="N549" s="5"/>
    </row>
    <row r="550">
      <c r="N550" s="5"/>
    </row>
    <row r="551">
      <c r="N551" s="5"/>
    </row>
    <row r="552">
      <c r="N552" s="5"/>
    </row>
    <row r="553">
      <c r="N553" s="5"/>
    </row>
    <row r="554">
      <c r="N554" s="5"/>
    </row>
    <row r="555">
      <c r="N555" s="5"/>
    </row>
    <row r="556">
      <c r="N556" s="5"/>
    </row>
    <row r="557">
      <c r="N557" s="5"/>
    </row>
    <row r="558">
      <c r="N558" s="5"/>
    </row>
    <row r="559">
      <c r="N559" s="5"/>
    </row>
    <row r="560">
      <c r="N560" s="5"/>
    </row>
    <row r="561">
      <c r="N561" s="5"/>
    </row>
    <row r="562">
      <c r="N562" s="5"/>
    </row>
    <row r="563">
      <c r="N563" s="5"/>
    </row>
    <row r="564">
      <c r="N564" s="5"/>
    </row>
    <row r="565">
      <c r="N565" s="5"/>
    </row>
    <row r="566">
      <c r="N566" s="5"/>
    </row>
    <row r="567">
      <c r="N567" s="5"/>
    </row>
    <row r="568">
      <c r="N568" s="5"/>
    </row>
    <row r="569">
      <c r="N569" s="5"/>
    </row>
    <row r="570">
      <c r="N570" s="5"/>
    </row>
    <row r="571">
      <c r="N571" s="5"/>
    </row>
    <row r="572">
      <c r="N572" s="5"/>
    </row>
    <row r="573">
      <c r="N573" s="5"/>
    </row>
    <row r="574">
      <c r="N574" s="5"/>
    </row>
    <row r="575">
      <c r="N575" s="5"/>
    </row>
    <row r="576">
      <c r="N576" s="5"/>
    </row>
    <row r="577">
      <c r="N577" s="5"/>
    </row>
    <row r="578">
      <c r="N578" s="5"/>
    </row>
    <row r="579">
      <c r="N579" s="5"/>
    </row>
    <row r="580">
      <c r="N580" s="5"/>
    </row>
    <row r="581">
      <c r="N581" s="5"/>
    </row>
    <row r="582">
      <c r="N582" s="5"/>
    </row>
    <row r="583">
      <c r="N583" s="5"/>
    </row>
    <row r="584">
      <c r="N584" s="5"/>
    </row>
    <row r="585">
      <c r="N585" s="5"/>
    </row>
    <row r="586">
      <c r="N586" s="5"/>
    </row>
    <row r="587">
      <c r="N587" s="5"/>
    </row>
    <row r="588">
      <c r="N588" s="5"/>
    </row>
    <row r="589">
      <c r="N589" s="5"/>
    </row>
    <row r="590">
      <c r="N590" s="5"/>
    </row>
    <row r="591">
      <c r="N591" s="5"/>
    </row>
    <row r="592">
      <c r="N592" s="5"/>
    </row>
    <row r="593">
      <c r="N593" s="5"/>
    </row>
    <row r="594">
      <c r="N594" s="5"/>
    </row>
    <row r="595">
      <c r="N595" s="5"/>
    </row>
    <row r="596">
      <c r="N596" s="5"/>
    </row>
    <row r="597">
      <c r="N597" s="5"/>
    </row>
    <row r="598">
      <c r="N598" s="5"/>
    </row>
    <row r="599">
      <c r="N599" s="5"/>
    </row>
    <row r="600">
      <c r="N600" s="5"/>
    </row>
    <row r="601">
      <c r="N601" s="5"/>
    </row>
    <row r="602">
      <c r="N602" s="5"/>
    </row>
    <row r="603">
      <c r="N603" s="5"/>
    </row>
    <row r="604">
      <c r="N604" s="5"/>
    </row>
    <row r="605">
      <c r="N605" s="5"/>
    </row>
    <row r="606">
      <c r="N606" s="5"/>
    </row>
    <row r="607">
      <c r="N607" s="5"/>
    </row>
    <row r="608">
      <c r="N608" s="5"/>
    </row>
    <row r="609">
      <c r="N609" s="5"/>
    </row>
    <row r="610">
      <c r="N610" s="5"/>
    </row>
    <row r="611">
      <c r="N611" s="5"/>
    </row>
    <row r="612">
      <c r="N612" s="5"/>
    </row>
    <row r="613">
      <c r="N613" s="5"/>
    </row>
    <row r="614">
      <c r="N614" s="5"/>
    </row>
    <row r="615">
      <c r="N615" s="5"/>
    </row>
    <row r="616">
      <c r="I616" s="4"/>
      <c r="N616" s="5"/>
    </row>
    <row r="617">
      <c r="N617" s="5"/>
    </row>
    <row r="618">
      <c r="N618" s="5"/>
    </row>
    <row r="619">
      <c r="N619" s="5"/>
    </row>
    <row r="620">
      <c r="N620" s="5"/>
    </row>
    <row r="621">
      <c r="N621" s="5"/>
    </row>
    <row r="622">
      <c r="N622" s="5"/>
    </row>
    <row r="623">
      <c r="N623" s="5"/>
    </row>
    <row r="624">
      <c r="N624" s="5"/>
    </row>
    <row r="625">
      <c r="N625" s="5"/>
    </row>
    <row r="626">
      <c r="N626" s="5"/>
    </row>
    <row r="627">
      <c r="N627" s="5"/>
    </row>
    <row r="628">
      <c r="N628" s="5"/>
    </row>
    <row r="629">
      <c r="N629" s="5"/>
    </row>
    <row r="630">
      <c r="N630" s="5"/>
    </row>
    <row r="631">
      <c r="N631" s="5"/>
    </row>
    <row r="632">
      <c r="N632" s="5"/>
    </row>
    <row r="633">
      <c r="N633" s="5"/>
    </row>
    <row r="634">
      <c r="N634" s="5"/>
    </row>
    <row r="635">
      <c r="N635" s="5"/>
    </row>
    <row r="636">
      <c r="N636" s="5"/>
    </row>
    <row r="637">
      <c r="N637" s="5"/>
    </row>
    <row r="638">
      <c r="N638" s="5"/>
    </row>
    <row r="639">
      <c r="N639" s="5"/>
    </row>
    <row r="640">
      <c r="N640" s="5"/>
    </row>
    <row r="641">
      <c r="N641" s="5"/>
    </row>
    <row r="642">
      <c r="N642" s="5"/>
    </row>
    <row r="643">
      <c r="N643" s="5"/>
    </row>
    <row r="644">
      <c r="N644" s="5"/>
    </row>
    <row r="645">
      <c r="N645" s="5"/>
    </row>
    <row r="646">
      <c r="N646" s="5"/>
    </row>
    <row r="647">
      <c r="N647" s="5"/>
    </row>
    <row r="648">
      <c r="N648" s="5"/>
    </row>
    <row r="649">
      <c r="N649" s="5"/>
    </row>
    <row r="650">
      <c r="N650" s="5"/>
    </row>
    <row r="651">
      <c r="N651" s="5"/>
    </row>
    <row r="652">
      <c r="N652" s="5"/>
    </row>
    <row r="653">
      <c r="N653" s="5"/>
    </row>
    <row r="654">
      <c r="N654" s="5"/>
    </row>
    <row r="655">
      <c r="N655" s="5"/>
    </row>
    <row r="656">
      <c r="N656" s="5"/>
    </row>
    <row r="657">
      <c r="N657" s="5"/>
    </row>
    <row r="658">
      <c r="N658" s="5"/>
    </row>
    <row r="659">
      <c r="N659" s="5"/>
    </row>
    <row r="660">
      <c r="N660" s="5"/>
    </row>
    <row r="661">
      <c r="N661" s="5"/>
    </row>
    <row r="662">
      <c r="N662" s="5"/>
    </row>
    <row r="663">
      <c r="N663" s="5"/>
    </row>
    <row r="664">
      <c r="N664" s="5"/>
    </row>
    <row r="665">
      <c r="N665" s="5"/>
    </row>
    <row r="666">
      <c r="N666" s="5"/>
    </row>
    <row r="667">
      <c r="N667" s="5"/>
    </row>
    <row r="668">
      <c r="N668" s="5"/>
    </row>
    <row r="669">
      <c r="N669" s="5"/>
    </row>
    <row r="670">
      <c r="N670" s="5"/>
    </row>
    <row r="671">
      <c r="N671" s="5"/>
    </row>
    <row r="672">
      <c r="N672" s="5"/>
    </row>
    <row r="673">
      <c r="N673" s="5"/>
    </row>
    <row r="674">
      <c r="N674" s="5"/>
    </row>
    <row r="675">
      <c r="N675" s="5"/>
    </row>
    <row r="676">
      <c r="N676" s="5"/>
    </row>
    <row r="677">
      <c r="N677" s="5"/>
    </row>
    <row r="678">
      <c r="N678" s="5"/>
    </row>
    <row r="679">
      <c r="N679" s="5"/>
    </row>
    <row r="680">
      <c r="N680" s="5"/>
    </row>
    <row r="681">
      <c r="N681" s="5"/>
    </row>
    <row r="682">
      <c r="N682" s="5"/>
    </row>
    <row r="683">
      <c r="N683" s="5"/>
    </row>
    <row r="684">
      <c r="N684" s="5"/>
    </row>
    <row r="685">
      <c r="N685" s="5"/>
    </row>
    <row r="686">
      <c r="N686" s="5"/>
    </row>
    <row r="687">
      <c r="N687" s="5"/>
    </row>
    <row r="688">
      <c r="N688" s="5"/>
    </row>
    <row r="689">
      <c r="N689" s="5"/>
    </row>
    <row r="690">
      <c r="N690" s="5"/>
    </row>
    <row r="691">
      <c r="N691" s="5"/>
    </row>
    <row r="692">
      <c r="N692" s="5"/>
    </row>
    <row r="693">
      <c r="N693" s="5"/>
    </row>
    <row r="694">
      <c r="N694" s="5"/>
    </row>
    <row r="695">
      <c r="N695" s="5"/>
    </row>
    <row r="696">
      <c r="N696" s="5"/>
    </row>
    <row r="697">
      <c r="N697" s="5"/>
    </row>
    <row r="698">
      <c r="N698" s="5"/>
    </row>
    <row r="699">
      <c r="N699" s="5"/>
    </row>
    <row r="700">
      <c r="N700" s="5"/>
    </row>
    <row r="701">
      <c r="N701" s="5"/>
    </row>
    <row r="702">
      <c r="N702" s="5"/>
    </row>
    <row r="703">
      <c r="N703" s="5"/>
    </row>
    <row r="704">
      <c r="N704" s="5"/>
    </row>
    <row r="705">
      <c r="N705" s="5"/>
    </row>
    <row r="706">
      <c r="N706" s="5"/>
    </row>
    <row r="707">
      <c r="N707" s="5"/>
    </row>
    <row r="708">
      <c r="N708" s="5"/>
    </row>
    <row r="709">
      <c r="N709" s="5"/>
    </row>
    <row r="710">
      <c r="N710" s="5"/>
    </row>
    <row r="711">
      <c r="N711" s="5"/>
    </row>
    <row r="712">
      <c r="N712" s="5"/>
    </row>
    <row r="713">
      <c r="N713" s="5"/>
    </row>
    <row r="714">
      <c r="N714" s="5"/>
    </row>
    <row r="715">
      <c r="N715" s="5"/>
    </row>
    <row r="716">
      <c r="N716" s="5"/>
    </row>
    <row r="717">
      <c r="N717" s="5"/>
    </row>
    <row r="718">
      <c r="N718" s="5"/>
    </row>
    <row r="719">
      <c r="N719" s="5"/>
    </row>
    <row r="720">
      <c r="N720" s="5"/>
    </row>
    <row r="721">
      <c r="N721" s="5"/>
    </row>
    <row r="722">
      <c r="N722" s="5"/>
    </row>
    <row r="723">
      <c r="N723" s="5"/>
    </row>
    <row r="724">
      <c r="N724" s="5"/>
    </row>
    <row r="725">
      <c r="N725" s="5"/>
    </row>
    <row r="726">
      <c r="N726" s="5"/>
    </row>
    <row r="727">
      <c r="N727" s="5"/>
    </row>
    <row r="728">
      <c r="N728" s="5"/>
    </row>
    <row r="729">
      <c r="N729" s="5"/>
    </row>
    <row r="730">
      <c r="N730" s="5"/>
    </row>
    <row r="731">
      <c r="N731" s="5"/>
    </row>
    <row r="732">
      <c r="N732" s="5"/>
    </row>
    <row r="733">
      <c r="N733" s="5"/>
    </row>
    <row r="734">
      <c r="N734" s="5"/>
    </row>
    <row r="735">
      <c r="N735" s="5"/>
    </row>
    <row r="736">
      <c r="N736" s="5"/>
    </row>
    <row r="737">
      <c r="N737" s="5"/>
    </row>
    <row r="738">
      <c r="N738" s="5"/>
    </row>
    <row r="739">
      <c r="N739" s="5"/>
    </row>
    <row r="740">
      <c r="N740" s="5"/>
    </row>
    <row r="741">
      <c r="N741" s="5"/>
    </row>
    <row r="742">
      <c r="N742" s="5"/>
    </row>
    <row r="743">
      <c r="N743" s="5"/>
    </row>
    <row r="744">
      <c r="N744" s="5"/>
    </row>
    <row r="745">
      <c r="N745" s="5"/>
    </row>
    <row r="746">
      <c r="N746" s="5"/>
    </row>
    <row r="747">
      <c r="N747" s="5"/>
    </row>
    <row r="748">
      <c r="N748" s="5"/>
    </row>
    <row r="749">
      <c r="N749" s="5"/>
    </row>
    <row r="750">
      <c r="N750" s="5"/>
    </row>
    <row r="751">
      <c r="N751" s="5"/>
    </row>
    <row r="752">
      <c r="N752" s="5"/>
    </row>
    <row r="753">
      <c r="N753" s="5"/>
    </row>
    <row r="754">
      <c r="N754" s="5"/>
    </row>
    <row r="755">
      <c r="N755" s="5"/>
    </row>
    <row r="756">
      <c r="N756" s="5"/>
    </row>
    <row r="757">
      <c r="N757" s="5"/>
    </row>
    <row r="758">
      <c r="N758" s="5"/>
    </row>
    <row r="759">
      <c r="N759" s="5"/>
    </row>
    <row r="760">
      <c r="N760" s="5"/>
    </row>
    <row r="761">
      <c r="N761" s="5"/>
    </row>
    <row r="762">
      <c r="N762" s="5"/>
    </row>
    <row r="763">
      <c r="N763" s="5"/>
    </row>
    <row r="764">
      <c r="N764" s="5"/>
    </row>
    <row r="765">
      <c r="N765" s="5"/>
    </row>
    <row r="766">
      <c r="N766" s="5"/>
    </row>
    <row r="767">
      <c r="N767" s="5"/>
    </row>
    <row r="768">
      <c r="N768" s="5"/>
    </row>
    <row r="769">
      <c r="N769" s="5"/>
    </row>
    <row r="770">
      <c r="N770" s="5"/>
    </row>
    <row r="771">
      <c r="N771" s="5"/>
    </row>
    <row r="772">
      <c r="N772" s="5"/>
    </row>
    <row r="773">
      <c r="N773" s="5"/>
    </row>
    <row r="774">
      <c r="N774" s="5"/>
    </row>
    <row r="775">
      <c r="N775" s="5"/>
    </row>
    <row r="776">
      <c r="N776" s="5"/>
    </row>
    <row r="777">
      <c r="N777" s="5"/>
    </row>
    <row r="778">
      <c r="N778" s="5"/>
    </row>
    <row r="779">
      <c r="N779" s="5"/>
    </row>
    <row r="780">
      <c r="N780" s="5"/>
    </row>
    <row r="781">
      <c r="N781" s="5"/>
    </row>
    <row r="782">
      <c r="N782" s="5"/>
    </row>
    <row r="783">
      <c r="N783" s="5"/>
    </row>
    <row r="784">
      <c r="N784" s="5"/>
    </row>
    <row r="785">
      <c r="N785" s="5"/>
    </row>
    <row r="786">
      <c r="N786" s="5"/>
    </row>
    <row r="787">
      <c r="N787" s="5"/>
    </row>
    <row r="788">
      <c r="N788" s="5"/>
    </row>
    <row r="789">
      <c r="N789" s="5"/>
    </row>
    <row r="790">
      <c r="N790" s="5"/>
    </row>
    <row r="791">
      <c r="N791" s="5"/>
    </row>
    <row r="792">
      <c r="N792" s="5"/>
    </row>
    <row r="793">
      <c r="N793" s="5"/>
    </row>
    <row r="794">
      <c r="N794" s="5"/>
    </row>
    <row r="795">
      <c r="N795" s="5"/>
    </row>
    <row r="796">
      <c r="N796" s="5"/>
    </row>
    <row r="797">
      <c r="N797" s="5"/>
    </row>
    <row r="798">
      <c r="N798" s="5"/>
    </row>
    <row r="799">
      <c r="N799" s="5"/>
    </row>
    <row r="800">
      <c r="N800" s="5"/>
    </row>
    <row r="801">
      <c r="N801" s="5"/>
    </row>
    <row r="802">
      <c r="N802" s="5"/>
    </row>
    <row r="803">
      <c r="N803" s="5"/>
    </row>
    <row r="804">
      <c r="N804" s="5"/>
    </row>
    <row r="805">
      <c r="N805" s="5"/>
    </row>
    <row r="806">
      <c r="N806" s="5"/>
    </row>
    <row r="807">
      <c r="N807" s="5"/>
    </row>
    <row r="808">
      <c r="N808" s="5"/>
    </row>
    <row r="809">
      <c r="N809" s="5"/>
    </row>
    <row r="810">
      <c r="N810" s="5"/>
    </row>
    <row r="811">
      <c r="N811" s="5"/>
    </row>
    <row r="812">
      <c r="N812" s="5"/>
    </row>
    <row r="813">
      <c r="N813" s="5"/>
    </row>
    <row r="814">
      <c r="N814" s="5"/>
    </row>
    <row r="815">
      <c r="N815" s="5"/>
    </row>
    <row r="816">
      <c r="N816" s="5"/>
    </row>
    <row r="817">
      <c r="N817" s="5"/>
    </row>
    <row r="818">
      <c r="N818" s="5"/>
    </row>
    <row r="819">
      <c r="N819" s="5"/>
    </row>
    <row r="820">
      <c r="N820" s="5"/>
    </row>
    <row r="821">
      <c r="N821" s="5"/>
    </row>
    <row r="822">
      <c r="N822" s="5"/>
    </row>
    <row r="823">
      <c r="N823" s="5"/>
    </row>
    <row r="824">
      <c r="N824" s="5"/>
    </row>
    <row r="825">
      <c r="N825" s="5"/>
    </row>
    <row r="826">
      <c r="N826" s="5"/>
    </row>
    <row r="827">
      <c r="N827" s="5"/>
    </row>
    <row r="828">
      <c r="N828" s="5"/>
    </row>
    <row r="829">
      <c r="N829" s="5"/>
    </row>
    <row r="830">
      <c r="N830" s="5"/>
    </row>
    <row r="831">
      <c r="N831" s="5"/>
    </row>
    <row r="832">
      <c r="N832" s="5"/>
    </row>
    <row r="833">
      <c r="N833" s="5"/>
    </row>
    <row r="834">
      <c r="N834" s="5"/>
    </row>
    <row r="835">
      <c r="N835" s="5"/>
    </row>
    <row r="836">
      <c r="N836" s="5"/>
    </row>
    <row r="837">
      <c r="N837" s="5"/>
    </row>
    <row r="838">
      <c r="N838" s="5"/>
    </row>
    <row r="839">
      <c r="N839" s="5"/>
    </row>
    <row r="840">
      <c r="N840" s="5"/>
    </row>
    <row r="841">
      <c r="N841" s="5"/>
    </row>
    <row r="842">
      <c r="N842" s="5"/>
    </row>
    <row r="843">
      <c r="N843" s="5"/>
    </row>
    <row r="844">
      <c r="N844" s="5"/>
    </row>
    <row r="845">
      <c r="N845" s="5"/>
    </row>
    <row r="846">
      <c r="N846" s="5"/>
    </row>
    <row r="847">
      <c r="N847" s="5"/>
    </row>
    <row r="848">
      <c r="N848" s="5"/>
    </row>
    <row r="849">
      <c r="N849" s="5"/>
    </row>
    <row r="850">
      <c r="N850" s="5"/>
    </row>
    <row r="851">
      <c r="N851" s="5"/>
    </row>
    <row r="852">
      <c r="N852" s="5"/>
    </row>
    <row r="853">
      <c r="N853" s="5"/>
    </row>
    <row r="854">
      <c r="N854" s="5"/>
    </row>
    <row r="855">
      <c r="N855" s="5"/>
    </row>
    <row r="856">
      <c r="N856" s="5"/>
    </row>
    <row r="857">
      <c r="N857" s="5"/>
    </row>
    <row r="858">
      <c r="N858" s="5"/>
    </row>
    <row r="859">
      <c r="N859" s="5"/>
    </row>
    <row r="860">
      <c r="N860" s="5"/>
    </row>
    <row r="861">
      <c r="N861" s="5"/>
    </row>
    <row r="862">
      <c r="N862" s="5"/>
    </row>
    <row r="863">
      <c r="N863" s="5"/>
    </row>
    <row r="864">
      <c r="N864" s="5"/>
    </row>
    <row r="865">
      <c r="N865" s="5"/>
    </row>
    <row r="866">
      <c r="N866" s="5"/>
    </row>
    <row r="867">
      <c r="N867" s="5"/>
    </row>
    <row r="868">
      <c r="N868" s="5"/>
    </row>
    <row r="869">
      <c r="N869" s="5"/>
    </row>
    <row r="870">
      <c r="N870" s="5"/>
    </row>
    <row r="871">
      <c r="N871" s="5"/>
    </row>
    <row r="872">
      <c r="N872" s="5"/>
    </row>
    <row r="873">
      <c r="N873" s="5"/>
    </row>
    <row r="874">
      <c r="N874" s="5"/>
    </row>
    <row r="875">
      <c r="N875" s="5"/>
    </row>
    <row r="876">
      <c r="N876" s="5"/>
    </row>
    <row r="877">
      <c r="N877" s="5"/>
    </row>
    <row r="878">
      <c r="N878" s="5"/>
    </row>
    <row r="879">
      <c r="N879" s="5"/>
    </row>
    <row r="880">
      <c r="N880" s="5"/>
    </row>
    <row r="881">
      <c r="N881" s="5"/>
    </row>
    <row r="882">
      <c r="N882" s="5"/>
    </row>
    <row r="883">
      <c r="N883" s="5"/>
    </row>
    <row r="884">
      <c r="N884" s="5"/>
    </row>
    <row r="885">
      <c r="N885" s="5"/>
    </row>
    <row r="886">
      <c r="N886" s="5"/>
    </row>
    <row r="887">
      <c r="N887" s="5"/>
    </row>
    <row r="888">
      <c r="N888" s="5"/>
    </row>
    <row r="889">
      <c r="N889" s="5"/>
    </row>
    <row r="890">
      <c r="N890" s="5"/>
    </row>
    <row r="891">
      <c r="N891" s="5"/>
    </row>
    <row r="892">
      <c r="N892" s="5"/>
    </row>
    <row r="893">
      <c r="N893" s="5"/>
    </row>
    <row r="894">
      <c r="N894" s="5"/>
    </row>
    <row r="895">
      <c r="N895" s="5"/>
    </row>
    <row r="896">
      <c r="N896" s="5"/>
    </row>
    <row r="897">
      <c r="N897" s="5"/>
    </row>
    <row r="898">
      <c r="N898" s="5"/>
    </row>
    <row r="899">
      <c r="N899" s="5"/>
    </row>
    <row r="900">
      <c r="N900" s="5"/>
    </row>
    <row r="901">
      <c r="N901" s="5"/>
    </row>
    <row r="902">
      <c r="N902" s="5"/>
    </row>
    <row r="903">
      <c r="N903" s="5"/>
    </row>
    <row r="904">
      <c r="N904" s="5"/>
    </row>
    <row r="905">
      <c r="N905" s="5"/>
    </row>
    <row r="906">
      <c r="N906" s="5"/>
    </row>
    <row r="907">
      <c r="N907" s="5"/>
    </row>
    <row r="908">
      <c r="N908" s="5"/>
    </row>
    <row r="909">
      <c r="N909" s="5"/>
    </row>
    <row r="910">
      <c r="N910" s="5"/>
    </row>
    <row r="911">
      <c r="N911" s="5"/>
    </row>
    <row r="912">
      <c r="N912" s="5"/>
    </row>
    <row r="913">
      <c r="N913" s="5"/>
    </row>
    <row r="914">
      <c r="N914" s="5"/>
    </row>
    <row r="915">
      <c r="N915" s="5"/>
    </row>
    <row r="916">
      <c r="N916" s="5"/>
    </row>
    <row r="917">
      <c r="N917" s="5"/>
    </row>
    <row r="918">
      <c r="N918" s="5"/>
    </row>
    <row r="919">
      <c r="N919" s="5"/>
    </row>
    <row r="920">
      <c r="N920" s="5"/>
    </row>
    <row r="921">
      <c r="N921" s="5"/>
    </row>
    <row r="922">
      <c r="N922" s="5"/>
    </row>
    <row r="923">
      <c r="N923" s="5"/>
    </row>
    <row r="924">
      <c r="N924" s="5"/>
    </row>
    <row r="925">
      <c r="N925" s="5"/>
    </row>
    <row r="926">
      <c r="N926" s="5"/>
    </row>
    <row r="927">
      <c r="N927" s="5"/>
    </row>
    <row r="928">
      <c r="N928" s="5"/>
    </row>
    <row r="929">
      <c r="N929" s="5"/>
    </row>
    <row r="930">
      <c r="N930" s="5"/>
    </row>
    <row r="931">
      <c r="N931" s="5"/>
    </row>
    <row r="932">
      <c r="N932" s="5"/>
    </row>
    <row r="933">
      <c r="N933" s="5"/>
    </row>
    <row r="934">
      <c r="N934" s="5"/>
    </row>
    <row r="935">
      <c r="N935" s="5"/>
    </row>
    <row r="936">
      <c r="N936" s="5"/>
    </row>
    <row r="937">
      <c r="N937" s="5"/>
    </row>
    <row r="938">
      <c r="N938" s="5"/>
    </row>
    <row r="939">
      <c r="N939" s="5"/>
    </row>
    <row r="940">
      <c r="N940" s="5"/>
    </row>
    <row r="941">
      <c r="N941" s="5"/>
    </row>
    <row r="942">
      <c r="N942" s="5"/>
    </row>
    <row r="943">
      <c r="N943" s="5"/>
    </row>
    <row r="944">
      <c r="N944" s="5"/>
    </row>
    <row r="945">
      <c r="N945" s="5"/>
    </row>
    <row r="946">
      <c r="N946" s="5"/>
    </row>
    <row r="947">
      <c r="N947" s="5"/>
    </row>
    <row r="948">
      <c r="N948" s="5"/>
    </row>
    <row r="949">
      <c r="N949" s="5"/>
    </row>
    <row r="950">
      <c r="N950" s="5"/>
    </row>
    <row r="951">
      <c r="N951" s="5"/>
    </row>
    <row r="952">
      <c r="N952" s="5"/>
    </row>
    <row r="953">
      <c r="N953" s="5"/>
    </row>
    <row r="954">
      <c r="N954" s="5"/>
    </row>
    <row r="955">
      <c r="N955" s="5"/>
    </row>
    <row r="956">
      <c r="N956" s="5"/>
    </row>
    <row r="957">
      <c r="N957" s="5"/>
    </row>
    <row r="958">
      <c r="N958" s="5"/>
    </row>
    <row r="959">
      <c r="N959" s="5"/>
    </row>
    <row r="960">
      <c r="N960" s="5"/>
    </row>
    <row r="961">
      <c r="N961" s="5"/>
    </row>
    <row r="962">
      <c r="N962" s="5"/>
    </row>
    <row r="963">
      <c r="N963" s="5"/>
    </row>
    <row r="964">
      <c r="N964" s="5"/>
    </row>
    <row r="965">
      <c r="N965" s="5"/>
    </row>
    <row r="966">
      <c r="N966" s="5"/>
    </row>
    <row r="967">
      <c r="N967" s="5"/>
    </row>
    <row r="968">
      <c r="N968" s="5"/>
    </row>
    <row r="969">
      <c r="N969" s="5"/>
    </row>
    <row r="970">
      <c r="N970" s="5"/>
    </row>
    <row r="971">
      <c r="N971" s="5"/>
    </row>
    <row r="972">
      <c r="N972" s="5"/>
    </row>
    <row r="973">
      <c r="N973" s="5"/>
    </row>
    <row r="974">
      <c r="N974" s="5"/>
    </row>
    <row r="975">
      <c r="N975" s="5"/>
    </row>
    <row r="976">
      <c r="N976" s="5"/>
    </row>
    <row r="977">
      <c r="N977" s="5"/>
    </row>
    <row r="978">
      <c r="N978" s="5"/>
    </row>
    <row r="979">
      <c r="N979" s="5"/>
    </row>
    <row r="980">
      <c r="N980" s="5"/>
    </row>
    <row r="981">
      <c r="N981" s="5"/>
    </row>
    <row r="982">
      <c r="N982" s="5"/>
    </row>
    <row r="983">
      <c r="N983" s="5"/>
    </row>
    <row r="984">
      <c r="N984" s="5"/>
    </row>
    <row r="985">
      <c r="N985" s="5"/>
    </row>
    <row r="986">
      <c r="N986" s="5"/>
    </row>
    <row r="987">
      <c r="N987" s="5"/>
    </row>
    <row r="988">
      <c r="N988" s="5"/>
    </row>
    <row r="989">
      <c r="N989" s="5"/>
    </row>
    <row r="990">
      <c r="N990" s="5"/>
    </row>
    <row r="991">
      <c r="N991" s="5"/>
    </row>
    <row r="992">
      <c r="N992" s="5"/>
    </row>
    <row r="993">
      <c r="N993" s="5"/>
    </row>
    <row r="994">
      <c r="N994" s="5"/>
    </row>
    <row r="995">
      <c r="N995" s="5"/>
    </row>
    <row r="996">
      <c r="N996" s="5"/>
    </row>
    <row r="997">
      <c r="N997" s="5"/>
    </row>
    <row r="998">
      <c r="N998" s="5"/>
    </row>
    <row r="999">
      <c r="N999" s="5"/>
    </row>
    <row r="1000">
      <c r="N1000" s="5"/>
    </row>
    <row r="1001">
      <c r="N1001" s="5"/>
    </row>
    <row r="1002">
      <c r="N1002" s="5"/>
    </row>
    <row r="1003">
      <c r="N1003" s="5"/>
    </row>
    <row r="1004">
      <c r="N1004" s="5"/>
    </row>
    <row r="1005">
      <c r="N1005" s="5"/>
    </row>
    <row r="1006">
      <c r="N1006" s="5"/>
    </row>
    <row r="1007">
      <c r="N1007" s="5"/>
    </row>
    <row r="1008">
      <c r="N1008" s="5"/>
    </row>
    <row r="1009">
      <c r="N1009" s="5"/>
    </row>
    <row r="1010">
      <c r="N1010" s="5"/>
    </row>
    <row r="1011">
      <c r="N1011" s="5"/>
    </row>
    <row r="1012">
      <c r="N1012" s="5"/>
    </row>
    <row r="1013">
      <c r="N1013" s="5"/>
    </row>
    <row r="1014">
      <c r="N1014" s="5"/>
    </row>
    <row r="1015">
      <c r="N1015" s="5"/>
    </row>
    <row r="1016">
      <c r="N1016" s="5"/>
    </row>
    <row r="1017">
      <c r="N1017" s="5"/>
    </row>
    <row r="1018">
      <c r="N1018" s="5"/>
    </row>
    <row r="1019">
      <c r="N1019" s="5"/>
    </row>
    <row r="1020">
      <c r="N1020" s="5"/>
    </row>
    <row r="1021">
      <c r="N1021" s="5"/>
    </row>
    <row r="1022">
      <c r="N1022" s="5"/>
    </row>
    <row r="1023">
      <c r="N1023" s="5"/>
    </row>
    <row r="1024">
      <c r="N1024" s="5"/>
    </row>
    <row r="1025">
      <c r="N1025" s="5"/>
    </row>
    <row r="1026">
      <c r="N1026" s="5"/>
    </row>
    <row r="1027">
      <c r="N1027" s="5"/>
    </row>
    <row r="1028">
      <c r="N1028" s="5"/>
    </row>
    <row r="1029">
      <c r="N1029" s="5"/>
    </row>
    <row r="1030">
      <c r="N1030" s="5"/>
    </row>
    <row r="1031">
      <c r="N1031" s="5"/>
    </row>
    <row r="1032">
      <c r="N1032" s="5"/>
    </row>
    <row r="1033">
      <c r="N1033" s="5"/>
    </row>
    <row r="1034">
      <c r="N1034" s="5"/>
    </row>
    <row r="1035">
      <c r="N1035" s="5"/>
    </row>
    <row r="1036">
      <c r="N1036" s="5"/>
    </row>
    <row r="1037">
      <c r="N1037" s="5"/>
    </row>
    <row r="1038">
      <c r="N1038" s="5"/>
    </row>
    <row r="1039">
      <c r="N1039" s="5"/>
    </row>
    <row r="1040">
      <c r="N1040" s="5"/>
    </row>
    <row r="1041">
      <c r="N1041" s="5"/>
    </row>
    <row r="1042">
      <c r="N1042" s="5"/>
    </row>
    <row r="1043">
      <c r="N1043" s="5"/>
    </row>
    <row r="1044">
      <c r="N1044" s="5"/>
    </row>
    <row r="1045">
      <c r="N1045" s="5"/>
    </row>
    <row r="1046">
      <c r="N1046" s="5"/>
    </row>
    <row r="1047">
      <c r="N1047" s="5"/>
    </row>
    <row r="1048">
      <c r="N1048" s="5"/>
    </row>
    <row r="1049">
      <c r="N1049" s="5"/>
    </row>
    <row r="1050">
      <c r="N1050" s="5"/>
    </row>
    <row r="1051">
      <c r="N1051" s="5"/>
    </row>
    <row r="1052">
      <c r="N1052" s="5"/>
    </row>
    <row r="1053">
      <c r="N1053" s="5"/>
    </row>
    <row r="1054">
      <c r="N1054" s="5"/>
    </row>
    <row r="1055">
      <c r="N1055" s="5"/>
    </row>
    <row r="1056">
      <c r="N1056" s="5"/>
    </row>
    <row r="1057">
      <c r="N1057" s="5"/>
    </row>
    <row r="1058">
      <c r="N1058" s="5"/>
    </row>
    <row r="1059">
      <c r="N1059" s="5"/>
    </row>
    <row r="1060">
      <c r="N1060" s="5"/>
    </row>
    <row r="1061">
      <c r="N1061" s="5"/>
    </row>
    <row r="1062">
      <c r="N1062" s="5"/>
    </row>
    <row r="1063">
      <c r="N1063" s="5"/>
    </row>
    <row r="1064">
      <c r="N1064" s="5"/>
    </row>
    <row r="1065">
      <c r="N1065" s="5"/>
    </row>
    <row r="1066">
      <c r="N1066" s="5"/>
    </row>
    <row r="1067">
      <c r="N1067" s="5"/>
    </row>
    <row r="1068">
      <c r="N1068" s="5"/>
    </row>
    <row r="1069">
      <c r="N1069" s="5"/>
    </row>
    <row r="1070">
      <c r="N1070" s="5"/>
    </row>
    <row r="1071">
      <c r="N1071" s="5"/>
    </row>
    <row r="1072">
      <c r="N1072" s="5"/>
    </row>
    <row r="1073">
      <c r="N1073" s="5"/>
    </row>
    <row r="1074">
      <c r="N1074" s="5"/>
    </row>
    <row r="1075">
      <c r="N1075" s="5"/>
    </row>
    <row r="1076">
      <c r="N1076" s="5"/>
    </row>
    <row r="1077">
      <c r="N1077" s="5"/>
    </row>
    <row r="1078">
      <c r="N1078" s="5"/>
    </row>
    <row r="1079">
      <c r="N1079" s="5"/>
    </row>
    <row r="1080">
      <c r="N1080" s="5"/>
    </row>
    <row r="1081">
      <c r="N1081" s="5"/>
    </row>
    <row r="1082">
      <c r="N1082" s="5"/>
    </row>
    <row r="1083">
      <c r="N1083" s="5"/>
    </row>
    <row r="1084">
      <c r="N1084" s="5"/>
    </row>
    <row r="1085">
      <c r="N1085" s="5"/>
    </row>
    <row r="1086">
      <c r="N1086" s="5"/>
    </row>
    <row r="1087">
      <c r="N1087" s="5"/>
    </row>
    <row r="1088">
      <c r="N1088" s="5"/>
    </row>
    <row r="1089">
      <c r="N1089" s="5"/>
    </row>
    <row r="1090">
      <c r="N1090" s="5"/>
    </row>
    <row r="1091">
      <c r="N1091" s="5"/>
    </row>
    <row r="1092">
      <c r="N1092" s="5"/>
    </row>
    <row r="1093">
      <c r="N1093" s="5"/>
    </row>
    <row r="1094">
      <c r="N1094" s="5"/>
    </row>
    <row r="1095">
      <c r="N1095" s="5"/>
    </row>
    <row r="1096">
      <c r="N1096" s="5"/>
    </row>
    <row r="1097">
      <c r="N1097" s="5"/>
    </row>
    <row r="1098">
      <c r="N1098" s="5"/>
    </row>
    <row r="1099">
      <c r="N1099" s="5"/>
    </row>
    <row r="1100">
      <c r="N1100" s="5"/>
    </row>
    <row r="1101">
      <c r="N1101" s="5"/>
    </row>
    <row r="1102">
      <c r="N1102" s="5"/>
    </row>
    <row r="1103">
      <c r="N1103" s="5"/>
    </row>
    <row r="1104">
      <c r="N1104" s="5"/>
    </row>
    <row r="1105">
      <c r="N1105" s="5"/>
    </row>
    <row r="1106">
      <c r="N1106" s="5"/>
    </row>
    <row r="1107">
      <c r="N1107" s="5"/>
    </row>
    <row r="1108">
      <c r="N1108" s="5"/>
    </row>
    <row r="1109">
      <c r="N1109" s="5"/>
    </row>
    <row r="1110">
      <c r="N1110" s="5"/>
    </row>
    <row r="1111">
      <c r="N1111" s="5"/>
    </row>
    <row r="1112">
      <c r="N1112" s="5"/>
    </row>
    <row r="1113">
      <c r="N1113" s="5"/>
    </row>
    <row r="1114">
      <c r="N1114" s="5"/>
    </row>
    <row r="1115">
      <c r="N1115" s="5"/>
    </row>
    <row r="1116">
      <c r="N1116" s="5"/>
    </row>
    <row r="1117">
      <c r="N1117" s="5"/>
    </row>
    <row r="1118">
      <c r="N1118" s="5"/>
    </row>
    <row r="1119">
      <c r="N1119" s="5"/>
    </row>
    <row r="1120">
      <c r="N1120" s="5"/>
    </row>
    <row r="1121">
      <c r="N1121" s="5"/>
    </row>
    <row r="1122">
      <c r="N1122" s="5"/>
    </row>
    <row r="1123">
      <c r="N1123" s="5"/>
    </row>
    <row r="1124">
      <c r="N1124" s="5"/>
    </row>
    <row r="1125">
      <c r="N1125" s="5"/>
    </row>
    <row r="1126">
      <c r="N1126" s="5"/>
    </row>
    <row r="1127">
      <c r="N1127" s="5"/>
    </row>
    <row r="1128">
      <c r="N1128" s="5"/>
    </row>
    <row r="1129">
      <c r="N1129" s="5"/>
    </row>
    <row r="1130">
      <c r="N1130" s="5"/>
    </row>
    <row r="1131">
      <c r="N1131" s="5"/>
    </row>
    <row r="1132">
      <c r="N1132" s="5"/>
    </row>
    <row r="1133">
      <c r="N1133" s="5"/>
    </row>
    <row r="1134">
      <c r="N1134" s="5"/>
    </row>
    <row r="1135">
      <c r="N1135" s="5"/>
    </row>
    <row r="1136">
      <c r="N1136" s="5"/>
    </row>
    <row r="1137">
      <c r="N1137" s="5"/>
    </row>
    <row r="1138">
      <c r="N1138" s="5"/>
    </row>
    <row r="1139">
      <c r="N1139" s="5"/>
    </row>
    <row r="1140">
      <c r="N1140" s="5"/>
    </row>
    <row r="1141">
      <c r="N1141" s="5"/>
    </row>
    <row r="1142">
      <c r="N1142" s="5"/>
    </row>
    <row r="1143">
      <c r="N1143" s="5"/>
    </row>
    <row r="1144">
      <c r="N1144" s="5"/>
    </row>
    <row r="1145">
      <c r="N1145" s="5"/>
    </row>
    <row r="1146">
      <c r="N1146" s="5"/>
    </row>
    <row r="1147">
      <c r="N1147" s="5"/>
    </row>
    <row r="1148">
      <c r="N1148" s="5"/>
    </row>
    <row r="1149">
      <c r="N1149" s="5"/>
    </row>
    <row r="1150">
      <c r="N1150" s="5"/>
    </row>
    <row r="1151">
      <c r="N1151" s="5"/>
    </row>
    <row r="1152">
      <c r="N1152" s="5"/>
    </row>
    <row r="1153">
      <c r="N1153" s="5"/>
    </row>
    <row r="1154">
      <c r="N1154" s="5"/>
    </row>
    <row r="1155">
      <c r="N1155" s="5"/>
    </row>
    <row r="1156">
      <c r="N1156" s="5"/>
    </row>
    <row r="1157">
      <c r="N1157" s="5"/>
    </row>
    <row r="1158">
      <c r="N1158" s="5"/>
    </row>
    <row r="1159">
      <c r="N1159" s="5"/>
    </row>
    <row r="1160">
      <c r="N1160" s="5"/>
    </row>
    <row r="1161">
      <c r="N1161" s="5"/>
    </row>
    <row r="1162">
      <c r="N1162" s="5"/>
    </row>
    <row r="1163">
      <c r="N1163" s="5"/>
    </row>
    <row r="1164">
      <c r="N1164" s="5"/>
    </row>
    <row r="1165">
      <c r="N1165" s="5"/>
    </row>
    <row r="1166">
      <c r="N1166" s="5"/>
    </row>
    <row r="1167">
      <c r="N1167" s="5"/>
    </row>
    <row r="1168">
      <c r="N1168" s="5"/>
    </row>
    <row r="1169">
      <c r="N1169" s="5"/>
    </row>
    <row r="1170">
      <c r="N1170" s="5"/>
    </row>
    <row r="1171">
      <c r="N1171" s="5"/>
    </row>
    <row r="1172">
      <c r="N1172" s="5"/>
    </row>
    <row r="1173">
      <c r="N1173" s="5"/>
    </row>
    <row r="1174">
      <c r="N1174" s="5"/>
    </row>
    <row r="1175">
      <c r="N1175" s="5"/>
    </row>
    <row r="1176">
      <c r="N1176" s="5"/>
    </row>
    <row r="1177">
      <c r="N1177" s="5"/>
    </row>
    <row r="1178">
      <c r="N1178" s="5"/>
    </row>
    <row r="1179">
      <c r="N1179" s="5"/>
    </row>
    <row r="1180">
      <c r="N1180" s="5"/>
    </row>
    <row r="1181">
      <c r="N1181" s="5"/>
    </row>
    <row r="1182">
      <c r="N1182" s="5"/>
    </row>
    <row r="1183">
      <c r="N1183" s="5"/>
    </row>
    <row r="1184">
      <c r="N1184" s="5"/>
    </row>
    <row r="1185">
      <c r="N1185" s="5"/>
    </row>
    <row r="1186">
      <c r="N1186" s="5"/>
    </row>
    <row r="1187">
      <c r="N1187" s="5"/>
    </row>
    <row r="1188">
      <c r="N1188" s="5"/>
    </row>
    <row r="1189">
      <c r="N1189" s="5"/>
    </row>
    <row r="1190">
      <c r="N1190" s="5"/>
    </row>
    <row r="1191">
      <c r="N1191" s="5"/>
    </row>
    <row r="1192">
      <c r="N1192" s="5"/>
    </row>
    <row r="1193">
      <c r="N1193" s="5"/>
    </row>
    <row r="1194">
      <c r="N1194" s="5"/>
    </row>
    <row r="1195">
      <c r="N1195" s="5"/>
    </row>
    <row r="1196">
      <c r="N1196" s="5"/>
    </row>
    <row r="1197">
      <c r="N1197" s="5"/>
    </row>
    <row r="1198">
      <c r="N1198" s="5"/>
    </row>
    <row r="1199">
      <c r="N1199" s="5"/>
    </row>
    <row r="1200">
      <c r="N1200" s="5"/>
    </row>
    <row r="1201">
      <c r="N1201" s="5"/>
    </row>
    <row r="1202">
      <c r="N1202" s="5"/>
    </row>
    <row r="1203">
      <c r="N1203" s="5"/>
    </row>
    <row r="1204">
      <c r="N1204" s="5"/>
    </row>
    <row r="1205">
      <c r="N1205" s="5"/>
    </row>
    <row r="1206">
      <c r="N1206" s="5"/>
    </row>
    <row r="1207">
      <c r="N1207" s="5"/>
    </row>
    <row r="1208">
      <c r="N1208" s="5"/>
    </row>
    <row r="1209">
      <c r="N1209" s="5"/>
    </row>
    <row r="1210">
      <c r="N1210" s="5"/>
    </row>
    <row r="1211">
      <c r="N1211" s="5"/>
    </row>
    <row r="1212">
      <c r="N1212" s="5"/>
    </row>
    <row r="1213">
      <c r="N1213" s="5"/>
    </row>
    <row r="1214">
      <c r="N1214" s="5"/>
    </row>
    <row r="1215">
      <c r="N1215" s="5"/>
    </row>
    <row r="1216">
      <c r="N1216" s="5"/>
    </row>
    <row r="1217">
      <c r="N1217" s="5"/>
    </row>
    <row r="1218">
      <c r="N1218" s="5"/>
    </row>
    <row r="1219">
      <c r="N1219" s="5"/>
    </row>
    <row r="1220">
      <c r="N1220" s="5"/>
    </row>
    <row r="1221">
      <c r="N1221" s="5"/>
    </row>
    <row r="1222">
      <c r="N1222" s="5"/>
    </row>
    <row r="1223">
      <c r="N1223" s="5"/>
    </row>
    <row r="1224">
      <c r="N1224" s="5"/>
    </row>
    <row r="1225">
      <c r="N1225" s="5"/>
    </row>
    <row r="1226">
      <c r="N1226" s="5"/>
    </row>
    <row r="1227">
      <c r="N1227" s="5"/>
    </row>
    <row r="1228">
      <c r="N1228" s="5"/>
    </row>
    <row r="1229">
      <c r="N1229" s="5"/>
    </row>
    <row r="1230">
      <c r="N1230" s="5"/>
    </row>
    <row r="1231">
      <c r="N1231" s="5"/>
    </row>
    <row r="1232">
      <c r="N1232" s="5"/>
    </row>
    <row r="1233">
      <c r="N1233" s="5"/>
    </row>
    <row r="1234">
      <c r="N1234" s="5"/>
    </row>
    <row r="1235">
      <c r="N1235" s="5"/>
    </row>
    <row r="1236">
      <c r="N1236" s="5"/>
    </row>
    <row r="1237">
      <c r="N1237" s="5"/>
    </row>
    <row r="1238">
      <c r="N1238" s="5"/>
    </row>
    <row r="1239">
      <c r="N1239" s="5"/>
    </row>
    <row r="1240">
      <c r="N1240" s="5"/>
    </row>
    <row r="1241">
      <c r="N1241" s="5"/>
    </row>
    <row r="1242">
      <c r="N1242" s="5"/>
    </row>
    <row r="1243">
      <c r="N1243" s="5"/>
    </row>
    <row r="1244">
      <c r="N1244" s="5"/>
    </row>
    <row r="1245">
      <c r="N1245" s="5"/>
    </row>
    <row r="1246">
      <c r="N1246" s="5"/>
    </row>
    <row r="1247">
      <c r="N1247" s="5"/>
    </row>
    <row r="1248">
      <c r="N1248" s="5"/>
    </row>
    <row r="1249">
      <c r="N1249" s="5"/>
    </row>
    <row r="1250">
      <c r="N1250" s="5"/>
    </row>
    <row r="1251">
      <c r="N1251" s="5"/>
    </row>
    <row r="1252">
      <c r="N1252" s="5"/>
    </row>
    <row r="1253">
      <c r="N1253" s="5"/>
    </row>
    <row r="1254">
      <c r="N1254" s="5"/>
    </row>
    <row r="1255">
      <c r="N1255" s="5"/>
    </row>
    <row r="1256">
      <c r="N1256" s="5"/>
    </row>
    <row r="1257">
      <c r="N1257" s="5"/>
    </row>
    <row r="1258">
      <c r="N1258" s="5"/>
    </row>
    <row r="1259">
      <c r="N1259" s="5"/>
    </row>
    <row r="1260">
      <c r="N1260" s="5"/>
    </row>
    <row r="1261">
      <c r="N1261" s="5"/>
    </row>
    <row r="1262">
      <c r="N1262" s="5"/>
    </row>
    <row r="1263">
      <c r="N1263" s="5"/>
    </row>
    <row r="1264">
      <c r="N1264" s="5"/>
    </row>
    <row r="1265">
      <c r="N1265" s="5"/>
    </row>
    <row r="1266">
      <c r="N1266" s="5"/>
    </row>
    <row r="1267">
      <c r="N1267" s="5"/>
    </row>
    <row r="1268">
      <c r="N1268" s="5"/>
    </row>
    <row r="1269">
      <c r="N1269" s="5"/>
    </row>
    <row r="1270">
      <c r="N1270" s="5"/>
    </row>
    <row r="1271">
      <c r="N1271" s="5"/>
    </row>
    <row r="1272">
      <c r="N1272" s="5"/>
    </row>
    <row r="1273">
      <c r="N1273" s="5"/>
    </row>
    <row r="1274">
      <c r="N1274" s="5"/>
    </row>
    <row r="1275">
      <c r="N1275" s="5"/>
    </row>
    <row r="1276">
      <c r="N1276" s="5"/>
    </row>
    <row r="1277">
      <c r="N1277" s="5"/>
    </row>
    <row r="1278">
      <c r="N1278" s="5"/>
    </row>
    <row r="1279">
      <c r="N1279" s="5"/>
    </row>
    <row r="1280">
      <c r="N1280" s="5"/>
    </row>
    <row r="1281">
      <c r="N1281" s="5"/>
    </row>
    <row r="1282">
      <c r="N1282" s="5"/>
    </row>
    <row r="1283">
      <c r="N1283" s="5"/>
    </row>
    <row r="1284">
      <c r="N1284" s="5"/>
    </row>
    <row r="1285">
      <c r="N1285" s="5"/>
    </row>
    <row r="1286">
      <c r="N1286" s="5"/>
    </row>
    <row r="1287">
      <c r="N1287" s="5"/>
    </row>
    <row r="1288">
      <c r="N1288" s="5"/>
    </row>
    <row r="1289">
      <c r="N1289" s="5"/>
    </row>
    <row r="1290">
      <c r="N1290" s="5"/>
    </row>
    <row r="1291">
      <c r="N1291" s="5"/>
    </row>
    <row r="1292">
      <c r="N1292" s="5"/>
    </row>
    <row r="1293">
      <c r="N1293" s="5"/>
    </row>
    <row r="1294">
      <c r="N1294" s="5"/>
    </row>
    <row r="1295">
      <c r="N1295" s="5"/>
    </row>
    <row r="1296">
      <c r="N1296" s="5"/>
    </row>
    <row r="1297">
      <c r="N1297" s="5"/>
    </row>
    <row r="1298">
      <c r="N1298" s="5"/>
    </row>
    <row r="1299">
      <c r="N1299" s="5"/>
    </row>
    <row r="1300">
      <c r="N1300" s="5"/>
    </row>
    <row r="1301">
      <c r="N1301" s="5"/>
    </row>
    <row r="1302">
      <c r="N1302" s="5"/>
    </row>
    <row r="1303">
      <c r="N1303" s="5"/>
    </row>
    <row r="1304">
      <c r="N1304" s="5"/>
    </row>
    <row r="1305">
      <c r="N1305" s="5"/>
    </row>
    <row r="1306">
      <c r="N1306" s="5"/>
    </row>
    <row r="1307">
      <c r="N1307" s="5"/>
    </row>
    <row r="1308">
      <c r="N1308" s="5"/>
    </row>
    <row r="1309">
      <c r="N1309" s="5"/>
    </row>
    <row r="1310">
      <c r="N1310" s="5"/>
    </row>
    <row r="1311">
      <c r="N1311" s="5"/>
    </row>
    <row r="1312">
      <c r="N1312" s="5"/>
    </row>
    <row r="1313">
      <c r="N1313" s="5"/>
    </row>
    <row r="1314">
      <c r="N1314" s="5"/>
    </row>
    <row r="1315">
      <c r="N1315" s="5"/>
    </row>
    <row r="1316">
      <c r="N1316" s="5"/>
    </row>
    <row r="1317">
      <c r="N1317" s="5"/>
    </row>
    <row r="1318">
      <c r="N1318" s="5"/>
    </row>
    <row r="1319">
      <c r="N1319" s="5"/>
    </row>
    <row r="1320">
      <c r="N1320" s="5"/>
    </row>
    <row r="1321">
      <c r="N1321" s="5"/>
    </row>
    <row r="1322">
      <c r="N1322" s="5"/>
    </row>
    <row r="1323">
      <c r="N1323" s="5"/>
    </row>
    <row r="1324">
      <c r="N1324" s="5"/>
    </row>
    <row r="1325">
      <c r="N1325" s="5"/>
    </row>
    <row r="1326">
      <c r="N1326" s="5"/>
    </row>
    <row r="1327">
      <c r="N1327" s="5"/>
    </row>
    <row r="1328">
      <c r="N1328" s="5"/>
    </row>
    <row r="1329">
      <c r="N1329" s="5"/>
    </row>
    <row r="1330">
      <c r="N1330" s="5"/>
    </row>
    <row r="1331">
      <c r="N1331" s="5"/>
    </row>
    <row r="1332">
      <c r="N1332" s="5"/>
    </row>
    <row r="1333">
      <c r="N1333" s="5"/>
    </row>
    <row r="1334">
      <c r="N1334" s="5"/>
    </row>
    <row r="1335">
      <c r="N1335" s="5"/>
    </row>
    <row r="1336">
      <c r="N1336" s="5"/>
    </row>
    <row r="1337">
      <c r="N1337" s="5"/>
    </row>
    <row r="1338">
      <c r="N1338" s="5"/>
    </row>
    <row r="1339">
      <c r="N1339" s="5"/>
    </row>
    <row r="1340">
      <c r="N1340" s="5"/>
    </row>
    <row r="1341">
      <c r="N1341" s="5"/>
    </row>
    <row r="1342">
      <c r="N1342" s="5"/>
    </row>
    <row r="1343">
      <c r="N1343" s="5"/>
    </row>
    <row r="1344">
      <c r="N1344" s="5"/>
    </row>
    <row r="1345">
      <c r="N1345" s="5"/>
    </row>
    <row r="1346">
      <c r="N1346" s="5"/>
    </row>
    <row r="1347">
      <c r="N1347" s="5"/>
    </row>
    <row r="1348">
      <c r="N1348" s="5"/>
    </row>
    <row r="1349">
      <c r="N1349" s="5"/>
    </row>
    <row r="1350">
      <c r="N1350" s="5"/>
    </row>
    <row r="1351">
      <c r="N1351" s="5"/>
    </row>
    <row r="1352">
      <c r="N1352" s="5"/>
    </row>
    <row r="1353">
      <c r="N1353" s="5"/>
    </row>
    <row r="1354">
      <c r="N1354" s="5"/>
    </row>
    <row r="1355">
      <c r="N1355" s="5"/>
    </row>
    <row r="1356">
      <c r="N1356" s="5"/>
    </row>
    <row r="1357">
      <c r="N1357" s="5"/>
    </row>
    <row r="1358">
      <c r="N1358" s="5"/>
    </row>
    <row r="1359">
      <c r="N1359" s="5"/>
    </row>
    <row r="1360">
      <c r="N1360" s="5"/>
    </row>
    <row r="1361">
      <c r="N1361" s="5"/>
    </row>
    <row r="1362">
      <c r="N1362" s="5"/>
    </row>
    <row r="1363">
      <c r="N1363" s="5"/>
    </row>
    <row r="1364">
      <c r="N1364" s="5"/>
    </row>
    <row r="1365">
      <c r="N1365" s="5"/>
    </row>
    <row r="1366">
      <c r="N1366" s="5"/>
    </row>
    <row r="1367">
      <c r="N1367" s="5"/>
    </row>
    <row r="1368">
      <c r="N1368" s="5"/>
    </row>
    <row r="1369">
      <c r="N1369" s="5"/>
    </row>
    <row r="1370">
      <c r="N1370" s="5"/>
    </row>
    <row r="1371">
      <c r="N1371" s="5"/>
    </row>
    <row r="1372">
      <c r="N1372" s="5"/>
    </row>
    <row r="1373">
      <c r="N1373" s="5"/>
    </row>
    <row r="1374">
      <c r="N1374" s="5"/>
    </row>
    <row r="1375">
      <c r="N1375" s="5"/>
    </row>
    <row r="1376">
      <c r="N1376" s="5"/>
    </row>
    <row r="1377">
      <c r="N1377" s="5"/>
    </row>
    <row r="1378">
      <c r="N1378" s="5"/>
    </row>
    <row r="1379">
      <c r="N1379" s="5"/>
    </row>
    <row r="1380">
      <c r="N1380" s="5"/>
    </row>
    <row r="1381">
      <c r="N1381" s="5"/>
    </row>
    <row r="1382">
      <c r="N1382" s="5"/>
    </row>
    <row r="1383">
      <c r="N1383" s="5"/>
    </row>
    <row r="1384">
      <c r="N1384" s="5"/>
    </row>
    <row r="1385">
      <c r="N1385" s="5"/>
    </row>
    <row r="1386">
      <c r="N1386" s="5"/>
    </row>
    <row r="1387">
      <c r="N1387" s="5"/>
    </row>
    <row r="1388">
      <c r="N1388" s="5"/>
    </row>
    <row r="1389">
      <c r="N1389" s="5"/>
    </row>
    <row r="1390">
      <c r="N1390" s="5"/>
    </row>
    <row r="1391">
      <c r="N1391" s="5"/>
    </row>
    <row r="1392">
      <c r="N1392" s="5"/>
    </row>
    <row r="1393">
      <c r="N1393" s="5"/>
    </row>
    <row r="1394">
      <c r="N1394" s="5"/>
    </row>
    <row r="1395">
      <c r="N1395" s="5"/>
    </row>
    <row r="1396">
      <c r="N1396" s="5"/>
    </row>
    <row r="1397">
      <c r="N1397" s="5"/>
    </row>
    <row r="1398">
      <c r="N1398" s="5"/>
    </row>
    <row r="1399">
      <c r="N1399" s="5"/>
    </row>
    <row r="1400">
      <c r="N1400" s="5"/>
    </row>
    <row r="1401">
      <c r="N1401" s="5"/>
    </row>
    <row r="1402">
      <c r="N1402" s="5"/>
    </row>
    <row r="1403">
      <c r="N1403" s="5"/>
    </row>
    <row r="1404">
      <c r="N1404" s="5"/>
    </row>
    <row r="1405">
      <c r="N1405" s="5"/>
    </row>
    <row r="1406">
      <c r="N1406" s="5"/>
    </row>
    <row r="1407">
      <c r="N1407" s="5"/>
    </row>
    <row r="1408">
      <c r="N1408" s="5"/>
    </row>
    <row r="1409">
      <c r="N1409" s="5"/>
    </row>
    <row r="1410">
      <c r="N1410" s="5"/>
    </row>
    <row r="1411">
      <c r="N1411" s="5"/>
    </row>
    <row r="1412">
      <c r="N1412" s="5"/>
    </row>
    <row r="1413">
      <c r="N1413" s="5"/>
    </row>
    <row r="1414">
      <c r="N1414" s="5"/>
    </row>
    <row r="1415">
      <c r="N1415" s="5"/>
    </row>
    <row r="1416">
      <c r="N1416" s="5"/>
    </row>
    <row r="1417">
      <c r="N1417" s="5"/>
    </row>
    <row r="1418">
      <c r="N1418" s="5"/>
    </row>
    <row r="1419">
      <c r="N1419" s="5"/>
    </row>
    <row r="1420">
      <c r="N1420" s="5"/>
    </row>
    <row r="1421">
      <c r="N1421" s="5"/>
    </row>
    <row r="1422">
      <c r="N1422" s="5"/>
    </row>
    <row r="1423">
      <c r="N1423" s="5"/>
    </row>
    <row r="1424">
      <c r="N1424" s="5"/>
    </row>
    <row r="1425">
      <c r="N1425" s="5"/>
    </row>
    <row r="1426">
      <c r="N1426" s="5"/>
    </row>
    <row r="1427">
      <c r="N1427" s="5"/>
    </row>
    <row r="1428">
      <c r="N1428" s="5"/>
    </row>
    <row r="1429">
      <c r="N1429" s="5"/>
    </row>
    <row r="1430">
      <c r="N1430" s="5"/>
    </row>
    <row r="1431">
      <c r="N1431" s="5"/>
    </row>
    <row r="1432">
      <c r="N1432" s="5"/>
    </row>
    <row r="1433">
      <c r="N1433" s="5"/>
    </row>
    <row r="1434">
      <c r="N1434" s="5"/>
    </row>
    <row r="1435">
      <c r="N1435" s="5"/>
    </row>
    <row r="1436">
      <c r="N1436" s="5"/>
    </row>
    <row r="1437">
      <c r="N1437" s="5"/>
    </row>
    <row r="1438">
      <c r="N1438" s="5"/>
    </row>
    <row r="1439">
      <c r="N1439" s="5"/>
    </row>
    <row r="1440">
      <c r="N1440" s="5"/>
    </row>
    <row r="1441">
      <c r="N1441" s="5"/>
    </row>
    <row r="1442">
      <c r="N1442" s="5"/>
    </row>
    <row r="1443">
      <c r="N1443" s="5"/>
    </row>
    <row r="1444">
      <c r="N1444" s="5"/>
    </row>
    <row r="1445">
      <c r="N1445" s="5"/>
    </row>
    <row r="1446">
      <c r="N1446" s="5"/>
    </row>
    <row r="1447">
      <c r="N1447" s="5"/>
    </row>
    <row r="1448">
      <c r="N1448" s="5"/>
    </row>
    <row r="1449">
      <c r="N1449" s="5"/>
    </row>
    <row r="1450">
      <c r="N1450" s="5"/>
    </row>
    <row r="1451">
      <c r="N1451" s="5"/>
    </row>
    <row r="1452">
      <c r="N1452" s="5"/>
    </row>
    <row r="1453">
      <c r="N1453" s="5"/>
    </row>
    <row r="1454">
      <c r="N1454" s="5"/>
    </row>
    <row r="1455">
      <c r="N1455" s="5"/>
    </row>
    <row r="1456">
      <c r="N1456" s="5"/>
    </row>
    <row r="1457">
      <c r="N1457" s="5"/>
    </row>
    <row r="1458">
      <c r="N1458" s="5"/>
    </row>
    <row r="1459">
      <c r="N1459" s="5"/>
    </row>
    <row r="1460">
      <c r="N1460" s="5"/>
    </row>
    <row r="1461">
      <c r="N1461" s="5"/>
    </row>
    <row r="1462">
      <c r="N1462" s="5"/>
    </row>
    <row r="1463">
      <c r="N1463" s="5"/>
    </row>
    <row r="1464">
      <c r="N1464" s="5"/>
    </row>
    <row r="1465">
      <c r="N1465" s="5"/>
    </row>
    <row r="1466">
      <c r="N1466" s="5"/>
    </row>
    <row r="1467">
      <c r="N1467" s="5"/>
    </row>
    <row r="1468">
      <c r="N1468" s="5"/>
    </row>
    <row r="1469">
      <c r="N1469" s="5"/>
    </row>
    <row r="1470">
      <c r="N1470" s="5"/>
    </row>
    <row r="1471">
      <c r="N1471" s="5"/>
    </row>
    <row r="1472">
      <c r="N1472" s="5"/>
    </row>
    <row r="1473">
      <c r="N1473" s="5"/>
    </row>
    <row r="1474">
      <c r="N1474" s="5"/>
    </row>
    <row r="1475">
      <c r="N1475" s="5"/>
    </row>
    <row r="1476">
      <c r="N1476" s="5"/>
    </row>
    <row r="1477">
      <c r="N1477" s="5"/>
    </row>
    <row r="1478">
      <c r="N1478" s="5"/>
    </row>
    <row r="1479">
      <c r="N1479" s="5"/>
    </row>
    <row r="1480">
      <c r="N1480" s="5"/>
    </row>
    <row r="1481">
      <c r="N1481" s="5"/>
    </row>
    <row r="1482">
      <c r="N1482" s="5"/>
    </row>
    <row r="1483">
      <c r="N1483" s="5"/>
    </row>
    <row r="1484">
      <c r="N1484" s="5"/>
    </row>
    <row r="1485">
      <c r="N1485" s="5"/>
    </row>
    <row r="1486">
      <c r="N1486" s="5"/>
    </row>
    <row r="1487">
      <c r="N1487" s="5"/>
    </row>
    <row r="1488">
      <c r="N1488" s="5"/>
    </row>
    <row r="1489">
      <c r="N1489" s="5"/>
    </row>
    <row r="1490">
      <c r="N1490" s="5"/>
    </row>
    <row r="1491">
      <c r="N1491" s="5"/>
    </row>
    <row r="1492">
      <c r="N1492" s="5"/>
    </row>
    <row r="1493">
      <c r="N1493" s="5"/>
    </row>
    <row r="1494">
      <c r="N1494" s="5"/>
    </row>
    <row r="1495">
      <c r="N1495" s="5"/>
    </row>
    <row r="1496">
      <c r="N1496" s="5"/>
    </row>
    <row r="1497">
      <c r="N1497" s="5"/>
    </row>
    <row r="1498">
      <c r="N1498" s="5"/>
    </row>
    <row r="1499">
      <c r="N1499" s="5"/>
    </row>
    <row r="1500">
      <c r="N1500" s="5"/>
    </row>
    <row r="1501">
      <c r="N1501" s="5"/>
    </row>
    <row r="1502">
      <c r="N1502" s="5"/>
    </row>
    <row r="1503">
      <c r="N1503" s="5"/>
    </row>
    <row r="1504">
      <c r="N1504" s="5"/>
    </row>
    <row r="1505">
      <c r="N1505" s="5"/>
    </row>
    <row r="1506">
      <c r="N1506" s="5"/>
    </row>
    <row r="1507">
      <c r="N1507" s="5"/>
    </row>
    <row r="1508">
      <c r="N1508" s="5"/>
    </row>
    <row r="1509">
      <c r="N1509" s="5"/>
    </row>
    <row r="1510">
      <c r="N1510" s="5"/>
    </row>
    <row r="1511">
      <c r="N1511" s="5"/>
    </row>
    <row r="1512">
      <c r="N1512" s="5"/>
    </row>
    <row r="1513">
      <c r="N1513" s="5"/>
    </row>
    <row r="1514">
      <c r="N1514" s="5"/>
    </row>
    <row r="1515">
      <c r="N1515" s="5"/>
    </row>
    <row r="1516">
      <c r="N1516" s="5"/>
    </row>
    <row r="1517">
      <c r="N1517" s="5"/>
    </row>
    <row r="1518">
      <c r="N1518" s="5"/>
    </row>
    <row r="1519">
      <c r="N1519" s="5"/>
    </row>
    <row r="1520">
      <c r="N1520" s="5"/>
    </row>
    <row r="1521">
      <c r="N1521" s="5"/>
    </row>
    <row r="1522">
      <c r="N1522" s="5"/>
    </row>
    <row r="1523">
      <c r="N1523" s="5"/>
    </row>
    <row r="1524">
      <c r="N1524" s="5"/>
    </row>
    <row r="1525">
      <c r="N1525" s="5"/>
    </row>
    <row r="1526">
      <c r="N1526" s="5"/>
    </row>
    <row r="1527">
      <c r="N1527" s="5"/>
    </row>
    <row r="1528">
      <c r="N1528" s="5"/>
    </row>
    <row r="1529">
      <c r="N1529" s="5"/>
    </row>
    <row r="1530">
      <c r="N1530" s="5"/>
    </row>
    <row r="1531">
      <c r="N1531" s="5"/>
    </row>
    <row r="1532">
      <c r="N1532" s="5"/>
    </row>
    <row r="1533">
      <c r="N1533" s="5"/>
    </row>
    <row r="1534">
      <c r="N1534" s="5"/>
    </row>
    <row r="1535">
      <c r="N1535" s="5"/>
    </row>
    <row r="1536">
      <c r="N1536" s="5"/>
    </row>
    <row r="1537">
      <c r="N1537" s="5"/>
    </row>
    <row r="1538">
      <c r="N1538" s="5"/>
    </row>
    <row r="1539">
      <c r="N1539" s="5"/>
    </row>
    <row r="1540">
      <c r="N1540" s="5"/>
    </row>
    <row r="1541">
      <c r="N1541" s="5"/>
    </row>
    <row r="1542">
      <c r="N1542" s="5"/>
    </row>
    <row r="1543">
      <c r="N1543" s="5"/>
    </row>
    <row r="1544">
      <c r="N1544" s="5"/>
    </row>
    <row r="1545">
      <c r="N1545" s="5"/>
    </row>
    <row r="1546">
      <c r="N1546" s="5"/>
    </row>
    <row r="1547">
      <c r="N1547" s="5"/>
    </row>
    <row r="1548">
      <c r="N1548" s="5"/>
    </row>
    <row r="1549">
      <c r="N1549" s="5"/>
    </row>
    <row r="1550">
      <c r="N1550" s="5"/>
    </row>
    <row r="1551">
      <c r="N1551" s="5"/>
    </row>
    <row r="1552">
      <c r="N1552" s="5"/>
    </row>
    <row r="1553">
      <c r="N1553" s="5"/>
    </row>
    <row r="1554">
      <c r="N1554" s="5"/>
    </row>
    <row r="1555">
      <c r="N1555" s="5"/>
    </row>
    <row r="1556">
      <c r="N1556" s="5"/>
    </row>
    <row r="1557">
      <c r="N1557" s="5"/>
    </row>
    <row r="1558">
      <c r="N1558" s="5"/>
    </row>
    <row r="1559">
      <c r="N1559" s="5"/>
    </row>
    <row r="1560">
      <c r="N1560" s="5"/>
    </row>
    <row r="1561">
      <c r="N1561" s="5"/>
    </row>
    <row r="1562">
      <c r="N1562" s="5"/>
    </row>
    <row r="1563">
      <c r="N1563" s="5"/>
    </row>
    <row r="1564">
      <c r="N1564" s="5"/>
    </row>
    <row r="1565">
      <c r="N1565" s="5"/>
    </row>
    <row r="1566">
      <c r="N1566" s="5"/>
    </row>
    <row r="1567">
      <c r="N1567" s="5"/>
    </row>
    <row r="1568">
      <c r="N1568" s="5"/>
    </row>
    <row r="1569">
      <c r="N1569" s="5"/>
    </row>
    <row r="1570">
      <c r="N1570" s="5"/>
    </row>
    <row r="1571">
      <c r="N1571" s="5"/>
    </row>
    <row r="1572">
      <c r="N1572" s="5"/>
    </row>
    <row r="1573">
      <c r="N1573" s="5"/>
    </row>
    <row r="1574">
      <c r="N1574" s="5"/>
    </row>
    <row r="1575">
      <c r="N1575" s="5"/>
    </row>
    <row r="1576">
      <c r="N1576" s="5"/>
    </row>
    <row r="1577">
      <c r="N1577" s="5"/>
    </row>
    <row r="1578">
      <c r="N1578" s="5"/>
    </row>
    <row r="1579">
      <c r="N1579" s="5"/>
    </row>
    <row r="1580">
      <c r="N1580" s="5"/>
    </row>
    <row r="1581">
      <c r="N1581" s="5"/>
    </row>
    <row r="1582">
      <c r="N1582" s="5"/>
    </row>
    <row r="1583">
      <c r="N1583" s="5"/>
    </row>
    <row r="1584">
      <c r="N1584" s="5"/>
    </row>
    <row r="1585">
      <c r="N1585" s="5"/>
    </row>
    <row r="1586">
      <c r="N1586" s="5"/>
    </row>
    <row r="1587">
      <c r="N1587" s="5"/>
    </row>
    <row r="1588">
      <c r="N1588" s="5"/>
    </row>
    <row r="1589">
      <c r="N1589" s="5"/>
    </row>
    <row r="1590">
      <c r="N1590" s="5"/>
    </row>
    <row r="1591">
      <c r="N1591" s="5"/>
    </row>
    <row r="1592">
      <c r="N1592" s="5"/>
    </row>
    <row r="1593">
      <c r="N1593" s="5"/>
    </row>
    <row r="1594">
      <c r="N1594" s="5"/>
    </row>
    <row r="1595">
      <c r="N1595" s="5"/>
    </row>
    <row r="1596">
      <c r="N1596" s="5"/>
    </row>
    <row r="1597">
      <c r="N1597" s="5"/>
    </row>
    <row r="1598">
      <c r="N1598" s="5"/>
    </row>
    <row r="1599">
      <c r="N1599" s="5"/>
    </row>
    <row r="1600">
      <c r="N1600" s="5"/>
    </row>
    <row r="1601">
      <c r="N1601" s="5"/>
    </row>
    <row r="1602">
      <c r="N1602" s="5"/>
    </row>
    <row r="1603">
      <c r="N1603" s="5"/>
    </row>
    <row r="1604">
      <c r="N1604" s="5"/>
    </row>
    <row r="1605">
      <c r="N1605" s="5"/>
    </row>
    <row r="1606">
      <c r="N1606" s="5"/>
    </row>
    <row r="1607">
      <c r="N1607" s="5"/>
    </row>
    <row r="1608">
      <c r="N1608" s="5"/>
    </row>
    <row r="1609">
      <c r="N1609" s="5"/>
    </row>
    <row r="1610">
      <c r="N1610" s="5"/>
    </row>
    <row r="1611">
      <c r="N1611" s="5"/>
    </row>
    <row r="1612">
      <c r="N1612" s="5"/>
    </row>
    <row r="1613">
      <c r="N1613" s="5"/>
    </row>
    <row r="1614">
      <c r="N1614" s="5"/>
    </row>
    <row r="1615">
      <c r="N1615" s="5"/>
    </row>
    <row r="1616">
      <c r="N1616" s="5"/>
    </row>
    <row r="1617">
      <c r="N1617" s="5"/>
    </row>
    <row r="1618">
      <c r="N1618" s="5"/>
    </row>
    <row r="1619">
      <c r="N1619" s="5"/>
    </row>
    <row r="1620">
      <c r="N1620" s="5"/>
    </row>
    <row r="1621">
      <c r="N1621" s="5"/>
    </row>
    <row r="1622">
      <c r="N1622" s="5"/>
    </row>
    <row r="1623">
      <c r="N1623" s="5"/>
    </row>
    <row r="1624">
      <c r="N1624" s="5"/>
    </row>
    <row r="1625">
      <c r="N1625" s="5"/>
    </row>
    <row r="1626">
      <c r="N1626" s="5"/>
    </row>
    <row r="1627">
      <c r="N1627" s="5"/>
    </row>
    <row r="1628">
      <c r="N1628" s="5"/>
    </row>
    <row r="1629">
      <c r="N1629" s="5"/>
    </row>
    <row r="1630">
      <c r="N1630" s="5"/>
    </row>
    <row r="1631">
      <c r="N1631" s="5"/>
    </row>
    <row r="1632">
      <c r="N1632" s="5"/>
    </row>
    <row r="1633">
      <c r="N1633" s="5"/>
    </row>
    <row r="1634">
      <c r="N1634" s="5"/>
    </row>
    <row r="1635">
      <c r="N1635" s="5"/>
    </row>
    <row r="1636">
      <c r="N1636" s="5"/>
    </row>
    <row r="1637">
      <c r="N1637" s="5"/>
    </row>
    <row r="1638">
      <c r="N1638" s="5"/>
    </row>
    <row r="1639">
      <c r="N1639" s="5"/>
    </row>
    <row r="1640">
      <c r="N1640" s="5"/>
    </row>
    <row r="1641">
      <c r="N1641" s="5"/>
    </row>
    <row r="1642">
      <c r="N1642" s="5"/>
    </row>
    <row r="1643">
      <c r="N1643" s="5"/>
    </row>
    <row r="1644">
      <c r="N1644" s="5"/>
    </row>
    <row r="1645">
      <c r="N1645" s="5"/>
    </row>
    <row r="1646">
      <c r="N1646" s="5"/>
    </row>
    <row r="1647">
      <c r="N1647" s="5"/>
    </row>
    <row r="1648">
      <c r="N1648" s="5"/>
    </row>
    <row r="1649">
      <c r="N1649" s="5"/>
    </row>
    <row r="1650">
      <c r="N1650" s="5"/>
    </row>
    <row r="1651">
      <c r="N1651" s="5"/>
    </row>
    <row r="1652">
      <c r="N1652" s="5"/>
    </row>
    <row r="1653">
      <c r="N1653" s="5"/>
    </row>
    <row r="1654">
      <c r="N1654" s="5"/>
    </row>
    <row r="1655">
      <c r="N1655" s="5"/>
    </row>
    <row r="1656">
      <c r="N1656" s="5"/>
    </row>
    <row r="1657">
      <c r="N1657" s="5"/>
    </row>
    <row r="1658">
      <c r="N1658" s="5"/>
    </row>
    <row r="1659">
      <c r="N1659" s="5"/>
    </row>
    <row r="1660">
      <c r="N1660" s="5"/>
    </row>
    <row r="1661">
      <c r="N1661" s="5"/>
    </row>
    <row r="1662">
      <c r="N1662" s="5"/>
    </row>
    <row r="1663">
      <c r="N1663" s="5"/>
    </row>
    <row r="1664">
      <c r="N1664" s="5"/>
    </row>
    <row r="1665">
      <c r="N1665" s="5"/>
    </row>
    <row r="1666">
      <c r="N1666" s="5"/>
    </row>
    <row r="1667">
      <c r="N1667" s="5"/>
    </row>
    <row r="1668">
      <c r="N1668" s="5"/>
    </row>
    <row r="1669">
      <c r="N1669" s="5"/>
    </row>
    <row r="1670">
      <c r="N1670" s="5"/>
    </row>
    <row r="1671">
      <c r="N1671" s="5"/>
    </row>
    <row r="1672">
      <c r="N1672" s="5"/>
    </row>
    <row r="1673">
      <c r="N1673" s="5"/>
    </row>
    <row r="1674">
      <c r="N1674" s="5"/>
    </row>
    <row r="1675">
      <c r="N1675" s="5"/>
    </row>
    <row r="1676">
      <c r="N1676" s="5"/>
    </row>
    <row r="1677">
      <c r="N1677" s="5"/>
    </row>
    <row r="1678">
      <c r="N1678" s="5"/>
    </row>
    <row r="1679">
      <c r="N1679" s="5"/>
    </row>
    <row r="1680">
      <c r="N1680" s="5"/>
    </row>
    <row r="1681">
      <c r="N1681" s="5"/>
    </row>
    <row r="1682">
      <c r="N1682" s="5"/>
    </row>
    <row r="1683">
      <c r="N1683" s="5"/>
    </row>
    <row r="1684">
      <c r="N1684" s="5"/>
    </row>
    <row r="1685">
      <c r="N1685" s="5"/>
    </row>
    <row r="1686">
      <c r="N1686" s="5"/>
    </row>
    <row r="1687">
      <c r="N1687" s="5"/>
    </row>
    <row r="1688">
      <c r="N1688" s="5"/>
    </row>
    <row r="1689">
      <c r="N1689" s="5"/>
    </row>
    <row r="1690">
      <c r="N1690" s="5"/>
    </row>
    <row r="1691">
      <c r="N1691" s="5"/>
    </row>
    <row r="1692">
      <c r="N1692" s="5"/>
    </row>
    <row r="1693">
      <c r="N1693" s="5"/>
    </row>
    <row r="1694">
      <c r="N1694" s="5"/>
    </row>
    <row r="1695">
      <c r="N1695" s="5"/>
    </row>
    <row r="1696">
      <c r="N1696" s="5"/>
    </row>
    <row r="1697">
      <c r="N1697" s="5"/>
    </row>
    <row r="1698">
      <c r="N1698" s="5"/>
    </row>
    <row r="1699">
      <c r="N1699" s="5"/>
    </row>
    <row r="1700">
      <c r="N1700" s="5"/>
    </row>
    <row r="1701">
      <c r="N1701" s="5"/>
    </row>
    <row r="1702">
      <c r="N1702" s="5"/>
    </row>
    <row r="1703">
      <c r="N1703" s="5"/>
    </row>
    <row r="1704">
      <c r="N1704" s="5"/>
    </row>
    <row r="1705">
      <c r="N1705" s="5"/>
    </row>
    <row r="1706">
      <c r="N1706" s="5"/>
    </row>
    <row r="1707">
      <c r="N1707" s="5"/>
    </row>
    <row r="1708">
      <c r="N1708" s="5"/>
    </row>
    <row r="1709">
      <c r="N1709" s="5"/>
    </row>
    <row r="1710">
      <c r="N1710" s="5"/>
    </row>
    <row r="1711">
      <c r="N1711" s="5"/>
    </row>
    <row r="1712">
      <c r="N1712" s="5"/>
    </row>
    <row r="1713">
      <c r="N1713" s="5"/>
    </row>
    <row r="1714">
      <c r="N1714" s="5"/>
    </row>
    <row r="1715">
      <c r="N1715" s="5"/>
    </row>
    <row r="1716">
      <c r="N1716" s="5"/>
    </row>
    <row r="1717">
      <c r="N1717" s="5"/>
    </row>
    <row r="1718">
      <c r="N1718" s="5"/>
    </row>
    <row r="1719">
      <c r="N1719" s="5"/>
    </row>
    <row r="1720">
      <c r="N1720" s="5"/>
    </row>
    <row r="1721">
      <c r="N1721" s="5"/>
    </row>
    <row r="1722">
      <c r="N1722" s="5"/>
    </row>
    <row r="1723">
      <c r="N1723" s="5"/>
    </row>
    <row r="1724">
      <c r="N1724" s="5"/>
    </row>
    <row r="1725">
      <c r="N1725" s="5"/>
    </row>
    <row r="1726">
      <c r="N1726" s="5"/>
    </row>
    <row r="1727">
      <c r="N1727" s="5"/>
    </row>
    <row r="1728">
      <c r="N1728" s="5"/>
    </row>
    <row r="1729">
      <c r="N1729" s="5"/>
    </row>
    <row r="1730">
      <c r="N1730" s="5"/>
    </row>
    <row r="1731">
      <c r="N1731" s="5"/>
    </row>
    <row r="1732">
      <c r="N1732" s="5"/>
    </row>
    <row r="1733">
      <c r="N1733" s="5"/>
    </row>
    <row r="1734">
      <c r="N1734" s="5"/>
    </row>
    <row r="1735">
      <c r="N1735" s="5"/>
    </row>
    <row r="1736">
      <c r="N1736" s="5"/>
    </row>
    <row r="1737">
      <c r="N1737" s="5"/>
    </row>
    <row r="1738">
      <c r="N1738" s="5"/>
    </row>
    <row r="1739">
      <c r="N1739" s="5"/>
    </row>
    <row r="1740">
      <c r="N1740" s="5"/>
    </row>
    <row r="1741">
      <c r="N1741" s="5"/>
    </row>
    <row r="1742">
      <c r="N1742" s="5"/>
    </row>
    <row r="1743">
      <c r="N1743" s="5"/>
    </row>
    <row r="1744">
      <c r="N1744" s="5"/>
    </row>
    <row r="1745">
      <c r="N1745" s="5"/>
    </row>
    <row r="1746">
      <c r="N1746" s="5"/>
    </row>
    <row r="1747">
      <c r="N1747" s="5"/>
    </row>
    <row r="1748">
      <c r="N1748" s="5"/>
    </row>
    <row r="1749">
      <c r="N1749" s="5"/>
    </row>
    <row r="1750">
      <c r="N1750" s="5"/>
    </row>
    <row r="1751">
      <c r="N1751" s="5"/>
    </row>
    <row r="1752">
      <c r="N1752" s="5"/>
    </row>
    <row r="1753">
      <c r="N1753" s="5"/>
    </row>
    <row r="1754">
      <c r="N1754" s="5"/>
    </row>
    <row r="1755">
      <c r="N1755" s="5"/>
    </row>
    <row r="1756">
      <c r="N1756" s="5"/>
    </row>
    <row r="1757">
      <c r="N1757" s="5"/>
    </row>
    <row r="1758">
      <c r="N1758" s="5"/>
    </row>
    <row r="1759">
      <c r="N1759" s="5"/>
    </row>
    <row r="1760">
      <c r="N1760" s="5"/>
    </row>
    <row r="1761">
      <c r="N1761" s="5"/>
    </row>
    <row r="1762">
      <c r="N1762" s="5"/>
    </row>
    <row r="1763">
      <c r="N1763" s="5"/>
    </row>
    <row r="1764">
      <c r="N1764" s="5"/>
    </row>
    <row r="1765">
      <c r="N1765" s="5"/>
    </row>
    <row r="1766">
      <c r="N1766" s="5"/>
    </row>
    <row r="1767">
      <c r="N1767" s="5"/>
    </row>
    <row r="1768">
      <c r="N1768" s="5"/>
    </row>
    <row r="1769">
      <c r="N1769" s="5"/>
    </row>
    <row r="1770">
      <c r="N1770" s="5"/>
    </row>
    <row r="1771">
      <c r="N1771" s="5"/>
    </row>
    <row r="1772">
      <c r="N1772" s="5"/>
    </row>
    <row r="1773">
      <c r="N1773" s="5"/>
    </row>
    <row r="1774">
      <c r="N1774" s="5"/>
    </row>
    <row r="1775">
      <c r="N1775" s="5"/>
    </row>
    <row r="1776">
      <c r="N1776" s="5"/>
    </row>
    <row r="1777">
      <c r="N1777" s="5"/>
    </row>
    <row r="1778">
      <c r="N1778" s="5"/>
    </row>
    <row r="1779">
      <c r="N1779" s="5"/>
    </row>
    <row r="1780">
      <c r="N1780" s="5"/>
    </row>
    <row r="1781">
      <c r="N1781" s="5"/>
    </row>
    <row r="1782">
      <c r="N1782" s="5"/>
    </row>
    <row r="1783">
      <c r="N1783" s="5"/>
    </row>
    <row r="1784">
      <c r="N1784" s="5"/>
    </row>
    <row r="1785">
      <c r="N1785" s="5"/>
    </row>
    <row r="1786">
      <c r="N1786" s="5"/>
    </row>
    <row r="1787">
      <c r="N1787" s="5"/>
    </row>
    <row r="1788">
      <c r="N1788" s="5"/>
    </row>
    <row r="1789">
      <c r="N1789" s="5"/>
    </row>
    <row r="1790">
      <c r="N1790" s="5"/>
    </row>
    <row r="1791">
      <c r="N1791" s="5"/>
    </row>
    <row r="1792">
      <c r="N1792" s="5"/>
    </row>
    <row r="1793">
      <c r="N1793" s="5"/>
    </row>
    <row r="1794">
      <c r="N1794" s="5"/>
    </row>
    <row r="1795">
      <c r="N1795" s="5"/>
    </row>
    <row r="1796">
      <c r="N1796" s="5"/>
    </row>
    <row r="1797">
      <c r="N1797" s="5"/>
    </row>
    <row r="1798">
      <c r="N1798" s="5"/>
    </row>
    <row r="1799">
      <c r="N1799" s="5"/>
    </row>
    <row r="1800">
      <c r="N1800" s="5"/>
    </row>
    <row r="1801">
      <c r="N1801" s="5"/>
    </row>
    <row r="1802">
      <c r="N1802" s="5"/>
    </row>
    <row r="1803">
      <c r="N1803" s="5"/>
    </row>
    <row r="1804">
      <c r="N1804" s="5"/>
    </row>
    <row r="1805">
      <c r="N1805" s="5"/>
    </row>
    <row r="1806">
      <c r="N1806" s="5"/>
    </row>
    <row r="1807">
      <c r="N1807" s="5"/>
    </row>
    <row r="1808">
      <c r="N1808" s="5"/>
    </row>
    <row r="1809">
      <c r="N1809" s="5"/>
    </row>
    <row r="1810">
      <c r="N1810" s="5"/>
    </row>
    <row r="1811">
      <c r="N1811" s="5"/>
    </row>
    <row r="1812">
      <c r="N1812" s="5"/>
    </row>
    <row r="1813">
      <c r="N1813" s="5"/>
    </row>
    <row r="1814">
      <c r="N1814" s="5"/>
    </row>
    <row r="1815">
      <c r="N1815" s="5"/>
    </row>
    <row r="1816">
      <c r="N1816" s="5"/>
    </row>
    <row r="1817">
      <c r="N1817" s="5"/>
    </row>
    <row r="1818">
      <c r="N1818" s="5"/>
    </row>
    <row r="1819">
      <c r="N1819" s="5"/>
    </row>
    <row r="1820">
      <c r="N1820" s="5"/>
    </row>
    <row r="1821">
      <c r="N1821" s="5"/>
    </row>
    <row r="1822">
      <c r="N1822" s="5"/>
    </row>
    <row r="1823">
      <c r="N1823" s="5"/>
    </row>
    <row r="1824">
      <c r="N1824" s="5"/>
    </row>
    <row r="1825">
      <c r="N1825" s="5"/>
    </row>
    <row r="1826">
      <c r="N1826" s="5"/>
    </row>
    <row r="1827">
      <c r="N1827" s="5"/>
    </row>
    <row r="1828">
      <c r="N1828" s="5"/>
    </row>
    <row r="1829">
      <c r="N1829" s="5"/>
    </row>
    <row r="1830">
      <c r="N1830" s="5"/>
    </row>
    <row r="1831">
      <c r="N1831" s="5"/>
    </row>
    <row r="1832">
      <c r="N1832" s="5"/>
    </row>
    <row r="1833">
      <c r="N1833" s="5"/>
    </row>
    <row r="1834">
      <c r="N1834" s="5"/>
    </row>
    <row r="1835">
      <c r="N1835" s="5"/>
    </row>
    <row r="1836">
      <c r="N1836" s="5"/>
    </row>
    <row r="1837">
      <c r="N1837" s="5"/>
    </row>
    <row r="1838">
      <c r="N1838" s="5"/>
    </row>
    <row r="1839">
      <c r="N1839" s="5"/>
    </row>
    <row r="1840">
      <c r="N1840" s="5"/>
    </row>
    <row r="1841">
      <c r="N1841" s="5"/>
    </row>
    <row r="1842">
      <c r="N1842" s="5"/>
    </row>
    <row r="1843">
      <c r="N1843" s="5"/>
    </row>
    <row r="1844">
      <c r="N1844" s="5"/>
    </row>
    <row r="1845">
      <c r="N1845" s="5"/>
    </row>
    <row r="1846">
      <c r="N1846" s="5"/>
    </row>
    <row r="1847">
      <c r="N1847" s="5"/>
    </row>
    <row r="1848">
      <c r="N1848" s="5"/>
    </row>
    <row r="1849">
      <c r="N1849" s="5"/>
    </row>
    <row r="1850">
      <c r="N1850" s="5"/>
    </row>
    <row r="1851">
      <c r="N1851" s="5"/>
    </row>
    <row r="1852">
      <c r="N1852" s="5"/>
    </row>
    <row r="1853">
      <c r="N1853" s="5"/>
    </row>
    <row r="1854">
      <c r="N1854" s="5"/>
    </row>
    <row r="1855">
      <c r="N1855" s="5"/>
    </row>
    <row r="1856">
      <c r="N1856" s="5"/>
    </row>
    <row r="1857">
      <c r="N1857" s="5"/>
    </row>
    <row r="1858">
      <c r="N1858" s="5"/>
    </row>
    <row r="1859">
      <c r="N1859" s="5"/>
    </row>
    <row r="1860">
      <c r="N1860" s="5"/>
    </row>
    <row r="1861">
      <c r="N1861" s="5"/>
    </row>
    <row r="1862">
      <c r="N1862" s="5"/>
    </row>
    <row r="1863">
      <c r="N1863" s="5"/>
    </row>
    <row r="1864">
      <c r="N1864" s="5"/>
    </row>
    <row r="1865">
      <c r="N1865" s="5"/>
    </row>
    <row r="1866">
      <c r="N1866" s="5"/>
    </row>
    <row r="1867">
      <c r="N1867" s="5"/>
    </row>
    <row r="1868">
      <c r="N1868" s="5"/>
    </row>
    <row r="1869">
      <c r="N1869" s="5"/>
    </row>
    <row r="1870">
      <c r="N1870" s="5"/>
    </row>
    <row r="1871">
      <c r="N1871" s="5"/>
    </row>
    <row r="1872">
      <c r="N1872" s="5"/>
    </row>
    <row r="1873">
      <c r="N1873" s="5"/>
    </row>
    <row r="1874">
      <c r="N1874" s="5"/>
    </row>
    <row r="1875">
      <c r="N1875" s="5"/>
    </row>
    <row r="1876">
      <c r="N1876" s="5"/>
    </row>
    <row r="1877">
      <c r="N1877" s="5"/>
    </row>
    <row r="1878">
      <c r="N1878" s="5"/>
    </row>
    <row r="1879">
      <c r="N1879" s="5"/>
    </row>
    <row r="1880">
      <c r="N1880" s="5"/>
    </row>
    <row r="1881">
      <c r="N1881" s="5"/>
    </row>
    <row r="1882">
      <c r="N1882" s="5"/>
    </row>
    <row r="1883">
      <c r="N1883" s="5"/>
    </row>
    <row r="1884">
      <c r="N1884" s="5"/>
    </row>
    <row r="1885">
      <c r="N1885" s="5"/>
    </row>
    <row r="1886">
      <c r="N1886" s="5"/>
    </row>
    <row r="1887">
      <c r="N1887" s="5"/>
    </row>
    <row r="1888">
      <c r="N1888" s="5"/>
    </row>
    <row r="1889">
      <c r="N1889" s="5"/>
    </row>
    <row r="1890">
      <c r="N1890" s="5"/>
    </row>
    <row r="1891">
      <c r="N1891" s="5"/>
    </row>
    <row r="1892">
      <c r="N1892" s="5"/>
    </row>
    <row r="1893">
      <c r="N1893" s="5"/>
    </row>
    <row r="1894">
      <c r="N1894" s="5"/>
    </row>
    <row r="1895">
      <c r="N1895" s="5"/>
    </row>
    <row r="1896">
      <c r="N1896" s="5"/>
    </row>
    <row r="1897">
      <c r="N1897" s="5"/>
    </row>
    <row r="1898">
      <c r="N1898" s="5"/>
    </row>
    <row r="1899">
      <c r="N1899" s="5"/>
    </row>
    <row r="1900">
      <c r="N1900" s="5"/>
    </row>
    <row r="1901">
      <c r="N1901" s="5"/>
    </row>
    <row r="1902">
      <c r="N1902" s="5"/>
    </row>
    <row r="1903">
      <c r="N1903" s="5"/>
    </row>
    <row r="1904">
      <c r="N1904" s="5"/>
    </row>
    <row r="1905">
      <c r="N1905" s="5"/>
    </row>
    <row r="1906">
      <c r="N1906" s="5"/>
    </row>
    <row r="1907">
      <c r="N1907" s="5"/>
    </row>
    <row r="1908">
      <c r="N1908" s="5"/>
    </row>
    <row r="1909">
      <c r="N1909" s="5"/>
    </row>
    <row r="1910">
      <c r="N1910" s="5"/>
    </row>
    <row r="1911">
      <c r="N1911" s="5"/>
    </row>
    <row r="1912">
      <c r="N1912" s="5"/>
    </row>
    <row r="1913">
      <c r="N1913" s="5"/>
    </row>
    <row r="1914">
      <c r="N1914" s="5"/>
    </row>
    <row r="1915">
      <c r="N1915" s="5"/>
    </row>
    <row r="1916">
      <c r="N1916" s="5"/>
    </row>
    <row r="1917">
      <c r="N1917" s="5"/>
    </row>
    <row r="1918">
      <c r="N1918" s="5"/>
    </row>
    <row r="1919">
      <c r="N1919" s="5"/>
    </row>
    <row r="1920">
      <c r="N1920" s="5"/>
    </row>
    <row r="1921">
      <c r="N1921" s="5"/>
    </row>
    <row r="1922">
      <c r="N1922" s="5"/>
    </row>
    <row r="1923">
      <c r="N1923" s="5"/>
    </row>
    <row r="1924">
      <c r="N1924" s="5"/>
    </row>
    <row r="1925">
      <c r="N1925" s="5"/>
    </row>
    <row r="1926">
      <c r="N1926" s="5"/>
    </row>
    <row r="1927">
      <c r="N1927" s="5"/>
    </row>
    <row r="1928">
      <c r="N1928" s="5"/>
    </row>
    <row r="1929">
      <c r="N1929" s="5"/>
    </row>
    <row r="1930">
      <c r="N1930" s="5"/>
    </row>
    <row r="1931">
      <c r="N1931" s="5"/>
    </row>
    <row r="1932">
      <c r="N1932" s="5"/>
    </row>
    <row r="1933">
      <c r="N1933" s="5"/>
    </row>
    <row r="1934">
      <c r="N1934" s="5"/>
    </row>
    <row r="1935">
      <c r="N1935" s="5"/>
    </row>
    <row r="1936">
      <c r="N1936" s="5"/>
    </row>
    <row r="1937">
      <c r="N1937" s="5"/>
    </row>
    <row r="1938">
      <c r="N1938" s="5"/>
    </row>
    <row r="1939">
      <c r="N1939" s="5"/>
    </row>
    <row r="1940">
      <c r="N1940" s="5"/>
    </row>
    <row r="1941">
      <c r="N1941" s="5"/>
    </row>
    <row r="1942">
      <c r="N1942" s="5"/>
    </row>
    <row r="1943">
      <c r="N1943" s="5"/>
    </row>
    <row r="1944">
      <c r="N1944" s="5"/>
    </row>
    <row r="1945">
      <c r="N1945" s="5"/>
    </row>
    <row r="1946">
      <c r="N1946" s="5"/>
    </row>
    <row r="1947">
      <c r="N1947" s="5"/>
    </row>
    <row r="1948">
      <c r="N1948" s="5"/>
    </row>
    <row r="1949">
      <c r="N1949" s="5"/>
    </row>
    <row r="1950">
      <c r="N1950" s="5"/>
    </row>
    <row r="1951">
      <c r="N1951" s="5"/>
    </row>
    <row r="1952">
      <c r="N1952" s="5"/>
    </row>
    <row r="1953">
      <c r="N1953" s="5"/>
    </row>
    <row r="1954">
      <c r="N1954" s="5"/>
    </row>
    <row r="1955">
      <c r="N1955" s="5"/>
    </row>
    <row r="1956">
      <c r="N1956" s="5"/>
    </row>
    <row r="1957">
      <c r="N1957" s="5"/>
    </row>
    <row r="1958">
      <c r="N1958" s="5"/>
    </row>
    <row r="1959">
      <c r="N1959" s="5"/>
    </row>
    <row r="1960">
      <c r="N1960" s="5"/>
    </row>
    <row r="1961">
      <c r="N1961" s="5"/>
    </row>
    <row r="1962">
      <c r="N1962" s="5"/>
    </row>
    <row r="1963">
      <c r="N1963" s="5"/>
    </row>
    <row r="1964">
      <c r="N1964" s="5"/>
    </row>
    <row r="1965">
      <c r="N1965" s="5"/>
    </row>
    <row r="1966">
      <c r="N1966" s="5"/>
    </row>
    <row r="1967">
      <c r="N1967" s="5"/>
    </row>
    <row r="1968">
      <c r="N1968" s="5"/>
    </row>
    <row r="1969">
      <c r="N1969" s="5"/>
    </row>
    <row r="1970">
      <c r="N1970" s="5"/>
    </row>
    <row r="1971">
      <c r="N1971" s="5"/>
    </row>
    <row r="1972">
      <c r="N1972" s="5"/>
    </row>
    <row r="1973">
      <c r="N1973" s="5"/>
    </row>
    <row r="1974">
      <c r="N1974" s="5"/>
    </row>
    <row r="1975">
      <c r="N1975" s="5"/>
    </row>
    <row r="1976">
      <c r="N1976" s="5"/>
    </row>
    <row r="1977">
      <c r="N1977" s="5"/>
    </row>
    <row r="1978">
      <c r="N1978" s="5"/>
    </row>
    <row r="1979">
      <c r="N1979" s="5"/>
    </row>
    <row r="1980">
      <c r="N1980" s="5"/>
    </row>
    <row r="1981">
      <c r="N1981" s="5"/>
    </row>
    <row r="1982">
      <c r="N1982" s="5"/>
    </row>
    <row r="1983">
      <c r="N1983" s="5"/>
    </row>
    <row r="1984">
      <c r="N1984" s="5"/>
    </row>
    <row r="1985">
      <c r="N1985" s="5"/>
    </row>
    <row r="1986">
      <c r="N1986" s="5"/>
    </row>
    <row r="1987">
      <c r="N1987" s="5"/>
    </row>
    <row r="1988">
      <c r="N1988" s="5"/>
    </row>
    <row r="1989">
      <c r="N1989" s="5"/>
    </row>
    <row r="1990">
      <c r="N1990" s="5"/>
    </row>
    <row r="1991">
      <c r="N1991" s="5"/>
    </row>
    <row r="1992">
      <c r="N1992" s="5"/>
    </row>
    <row r="1993">
      <c r="N1993" s="5"/>
    </row>
    <row r="1994">
      <c r="N1994" s="5"/>
    </row>
    <row r="1995">
      <c r="N1995" s="5"/>
    </row>
    <row r="1996">
      <c r="N1996" s="5"/>
    </row>
    <row r="1997">
      <c r="N1997" s="5"/>
    </row>
    <row r="1998">
      <c r="N1998" s="5"/>
    </row>
    <row r="1999">
      <c r="N1999" s="5"/>
    </row>
    <row r="2000">
      <c r="N2000" s="5"/>
    </row>
    <row r="2001">
      <c r="N2001" s="5"/>
    </row>
    <row r="2002">
      <c r="N2002" s="5"/>
    </row>
    <row r="2003">
      <c r="N2003" s="5"/>
    </row>
    <row r="2004">
      <c r="N2004" s="5"/>
    </row>
    <row r="2005">
      <c r="N2005" s="5"/>
    </row>
    <row r="2006">
      <c r="N2006" s="5"/>
    </row>
    <row r="2007">
      <c r="N2007" s="5"/>
    </row>
    <row r="2008">
      <c r="N2008" s="5"/>
    </row>
    <row r="2009">
      <c r="N2009" s="5"/>
    </row>
    <row r="2010">
      <c r="N2010" s="5"/>
    </row>
    <row r="2011">
      <c r="N2011" s="5"/>
    </row>
    <row r="2012">
      <c r="N2012" s="5"/>
    </row>
    <row r="2013">
      <c r="N2013" s="5"/>
    </row>
    <row r="2014">
      <c r="N2014" s="5"/>
    </row>
    <row r="2015">
      <c r="N2015" s="5"/>
    </row>
    <row r="2016">
      <c r="N2016" s="5"/>
    </row>
    <row r="2017">
      <c r="N2017" s="5"/>
    </row>
    <row r="2018">
      <c r="N2018" s="5"/>
    </row>
    <row r="2019">
      <c r="N2019" s="5"/>
    </row>
    <row r="2020">
      <c r="N2020" s="5"/>
    </row>
    <row r="2021">
      <c r="N2021" s="5"/>
    </row>
    <row r="2022">
      <c r="N2022" s="5"/>
    </row>
    <row r="2023">
      <c r="N2023" s="5"/>
    </row>
    <row r="2024">
      <c r="N2024" s="5"/>
    </row>
    <row r="2025">
      <c r="N2025" s="5"/>
    </row>
    <row r="2026">
      <c r="N2026" s="5"/>
    </row>
    <row r="2027">
      <c r="N2027" s="5"/>
    </row>
    <row r="2028">
      <c r="N2028" s="5"/>
    </row>
    <row r="2029">
      <c r="N2029" s="5"/>
    </row>
    <row r="2030">
      <c r="N2030" s="5"/>
    </row>
    <row r="2031">
      <c r="N2031" s="5"/>
    </row>
    <row r="2032">
      <c r="N2032" s="5"/>
    </row>
    <row r="2033">
      <c r="N2033" s="5"/>
    </row>
    <row r="2034">
      <c r="N2034" s="5"/>
    </row>
    <row r="2035">
      <c r="N2035" s="5"/>
    </row>
    <row r="2036">
      <c r="N2036" s="5"/>
    </row>
    <row r="2037">
      <c r="N2037" s="5"/>
    </row>
    <row r="2038">
      <c r="N2038" s="5"/>
    </row>
    <row r="2039">
      <c r="N2039" s="5"/>
    </row>
    <row r="2040">
      <c r="N2040" s="5"/>
    </row>
    <row r="2041">
      <c r="N2041" s="5"/>
    </row>
    <row r="2042">
      <c r="N2042" s="5"/>
    </row>
    <row r="2043">
      <c r="N2043" s="5"/>
    </row>
    <row r="2044">
      <c r="N2044" s="5"/>
    </row>
    <row r="2045">
      <c r="N2045" s="5"/>
    </row>
    <row r="2046">
      <c r="N2046" s="5"/>
    </row>
    <row r="2047">
      <c r="N2047" s="5"/>
    </row>
    <row r="2048">
      <c r="N2048" s="5"/>
    </row>
    <row r="2049">
      <c r="N2049" s="5"/>
    </row>
    <row r="2050">
      <c r="N2050" s="5"/>
    </row>
    <row r="2051">
      <c r="N2051" s="5"/>
    </row>
    <row r="2052">
      <c r="N2052" s="5"/>
    </row>
    <row r="2053">
      <c r="N2053" s="5"/>
    </row>
    <row r="2054">
      <c r="N2054" s="5"/>
    </row>
    <row r="2055">
      <c r="N2055" s="5"/>
    </row>
    <row r="2056">
      <c r="N2056" s="5"/>
    </row>
    <row r="2057">
      <c r="N2057" s="5"/>
    </row>
    <row r="2058">
      <c r="N2058" s="5"/>
    </row>
    <row r="2059">
      <c r="N2059" s="5"/>
    </row>
    <row r="2060">
      <c r="N2060" s="5"/>
    </row>
    <row r="2061">
      <c r="N2061" s="5"/>
    </row>
    <row r="2062">
      <c r="N2062" s="5"/>
    </row>
    <row r="2063">
      <c r="N2063" s="5"/>
    </row>
    <row r="2064">
      <c r="N2064" s="5"/>
    </row>
    <row r="2065">
      <c r="N2065" s="5"/>
    </row>
    <row r="2066">
      <c r="N2066" s="5"/>
    </row>
    <row r="2067">
      <c r="N2067" s="5"/>
    </row>
    <row r="2068">
      <c r="N2068" s="5"/>
    </row>
    <row r="2069">
      <c r="N2069" s="5"/>
    </row>
    <row r="2070">
      <c r="N2070" s="5"/>
    </row>
    <row r="2071">
      <c r="N2071" s="5"/>
    </row>
    <row r="2072">
      <c r="N2072" s="5"/>
    </row>
    <row r="2073">
      <c r="N2073" s="5"/>
    </row>
    <row r="2074">
      <c r="N2074" s="5"/>
    </row>
    <row r="2075">
      <c r="N2075" s="5"/>
    </row>
    <row r="2076">
      <c r="N2076" s="5"/>
    </row>
    <row r="2077">
      <c r="N2077" s="5"/>
    </row>
    <row r="2078">
      <c r="N2078" s="5"/>
    </row>
    <row r="2079">
      <c r="N2079" s="5"/>
    </row>
    <row r="2080">
      <c r="N2080" s="5"/>
    </row>
    <row r="2081">
      <c r="N2081" s="5"/>
    </row>
    <row r="2082">
      <c r="N2082" s="5"/>
    </row>
    <row r="2083">
      <c r="N2083" s="5"/>
    </row>
    <row r="2084">
      <c r="N2084" s="5"/>
    </row>
    <row r="2085">
      <c r="N2085" s="5"/>
    </row>
    <row r="2086">
      <c r="N2086" s="5"/>
    </row>
    <row r="2087">
      <c r="N2087" s="5"/>
    </row>
    <row r="2088">
      <c r="N2088" s="5"/>
    </row>
    <row r="2089">
      <c r="N2089" s="5"/>
    </row>
    <row r="2090">
      <c r="N2090" s="5"/>
    </row>
    <row r="2091">
      <c r="N2091" s="5"/>
    </row>
    <row r="2092">
      <c r="N2092" s="5"/>
    </row>
    <row r="2093">
      <c r="N2093" s="5"/>
    </row>
    <row r="2094">
      <c r="N2094" s="5"/>
    </row>
    <row r="2095">
      <c r="N2095" s="5"/>
    </row>
    <row r="2096">
      <c r="N2096" s="5"/>
    </row>
    <row r="2097">
      <c r="N2097" s="5"/>
    </row>
    <row r="2098">
      <c r="N2098" s="5"/>
    </row>
    <row r="2099">
      <c r="N2099" s="5"/>
    </row>
    <row r="2100">
      <c r="N2100" s="5"/>
    </row>
    <row r="2101">
      <c r="N2101" s="5"/>
    </row>
    <row r="2102">
      <c r="N2102" s="5"/>
    </row>
    <row r="2103">
      <c r="N2103" s="5"/>
    </row>
    <row r="2104">
      <c r="N2104" s="5"/>
    </row>
    <row r="2105">
      <c r="N2105" s="5"/>
    </row>
    <row r="2106">
      <c r="N2106" s="5"/>
    </row>
    <row r="2107">
      <c r="N2107" s="5"/>
    </row>
    <row r="2108">
      <c r="N2108" s="5"/>
    </row>
    <row r="2109">
      <c r="N2109" s="5"/>
    </row>
    <row r="2110">
      <c r="N2110" s="5"/>
    </row>
    <row r="2111">
      <c r="N2111" s="5"/>
    </row>
    <row r="2112">
      <c r="N2112" s="5"/>
    </row>
    <row r="2113">
      <c r="N2113" s="5"/>
    </row>
    <row r="2114">
      <c r="N2114" s="5"/>
    </row>
    <row r="2115">
      <c r="N2115" s="5"/>
    </row>
    <row r="2116">
      <c r="N2116" s="5"/>
    </row>
    <row r="2117">
      <c r="N2117" s="5"/>
    </row>
    <row r="2118">
      <c r="N2118" s="5"/>
    </row>
    <row r="2119">
      <c r="N2119" s="5"/>
    </row>
    <row r="2120">
      <c r="N2120" s="5"/>
    </row>
    <row r="2121">
      <c r="N2121" s="5"/>
    </row>
    <row r="2122">
      <c r="N2122" s="5"/>
    </row>
    <row r="2123">
      <c r="N2123" s="5"/>
    </row>
    <row r="2124">
      <c r="N2124" s="5"/>
    </row>
    <row r="2125">
      <c r="N2125" s="5"/>
    </row>
    <row r="2126">
      <c r="N2126" s="5"/>
    </row>
    <row r="2127">
      <c r="N2127" s="5"/>
    </row>
    <row r="2128">
      <c r="N2128" s="5"/>
    </row>
    <row r="2129">
      <c r="N2129" s="5"/>
    </row>
    <row r="2130">
      <c r="N2130" s="5"/>
    </row>
    <row r="2131">
      <c r="N2131" s="5"/>
    </row>
    <row r="2132">
      <c r="N2132" s="5"/>
    </row>
    <row r="2133">
      <c r="N2133" s="5"/>
    </row>
    <row r="2134">
      <c r="N2134" s="5"/>
    </row>
    <row r="2135">
      <c r="N2135" s="5"/>
    </row>
    <row r="2136">
      <c r="N2136" s="5"/>
    </row>
    <row r="2137">
      <c r="N2137" s="5"/>
    </row>
    <row r="2138">
      <c r="N2138" s="5"/>
    </row>
    <row r="2139">
      <c r="N2139" s="5"/>
    </row>
    <row r="2140">
      <c r="N2140" s="5"/>
    </row>
    <row r="2141">
      <c r="N2141" s="5"/>
    </row>
    <row r="2142">
      <c r="N2142" s="5"/>
    </row>
    <row r="2143">
      <c r="N2143" s="5"/>
    </row>
    <row r="2144">
      <c r="N2144" s="5"/>
    </row>
    <row r="2145">
      <c r="N2145" s="5"/>
    </row>
    <row r="2146">
      <c r="N2146" s="5"/>
    </row>
    <row r="2147">
      <c r="N2147" s="5"/>
    </row>
    <row r="2148">
      <c r="N2148" s="5"/>
    </row>
    <row r="2149">
      <c r="N2149" s="5"/>
    </row>
    <row r="2150">
      <c r="N2150" s="5"/>
    </row>
    <row r="2151">
      <c r="N2151" s="5"/>
    </row>
    <row r="2152">
      <c r="N2152" s="5"/>
    </row>
    <row r="2153">
      <c r="N2153" s="5"/>
    </row>
    <row r="2154">
      <c r="N2154" s="5"/>
    </row>
    <row r="2155">
      <c r="N2155" s="5"/>
    </row>
    <row r="2156">
      <c r="N2156" s="5"/>
    </row>
    <row r="2157">
      <c r="N2157" s="5"/>
    </row>
    <row r="2158">
      <c r="N2158" s="5"/>
    </row>
    <row r="2159">
      <c r="N2159" s="5"/>
    </row>
    <row r="2160">
      <c r="N2160" s="5"/>
    </row>
    <row r="2161">
      <c r="N2161" s="5"/>
    </row>
    <row r="2162">
      <c r="N2162" s="5"/>
    </row>
    <row r="2163">
      <c r="N2163" s="5"/>
    </row>
    <row r="2164">
      <c r="N2164" s="5"/>
    </row>
    <row r="2165">
      <c r="N2165" s="5"/>
    </row>
    <row r="2166">
      <c r="N2166" s="5"/>
    </row>
    <row r="2167">
      <c r="N2167" s="5"/>
    </row>
    <row r="2168">
      <c r="N2168" s="5"/>
    </row>
    <row r="2169">
      <c r="N2169" s="5"/>
    </row>
    <row r="2170">
      <c r="N2170" s="5"/>
    </row>
    <row r="2171">
      <c r="N2171" s="5"/>
    </row>
    <row r="2172">
      <c r="N2172" s="5"/>
    </row>
    <row r="2173">
      <c r="N2173" s="5"/>
    </row>
    <row r="2174">
      <c r="N2174" s="5"/>
    </row>
    <row r="2175">
      <c r="N2175" s="5"/>
    </row>
    <row r="2176">
      <c r="N2176" s="5"/>
    </row>
    <row r="2177">
      <c r="N2177" s="5"/>
    </row>
    <row r="2178">
      <c r="N2178" s="5"/>
    </row>
    <row r="2179">
      <c r="N2179" s="5"/>
    </row>
    <row r="2180">
      <c r="N2180" s="5"/>
    </row>
    <row r="2181">
      <c r="N2181" s="5"/>
    </row>
    <row r="2182">
      <c r="N2182" s="5"/>
    </row>
    <row r="2183">
      <c r="N2183" s="5"/>
    </row>
    <row r="2184">
      <c r="N2184" s="5"/>
    </row>
    <row r="2185">
      <c r="N2185" s="5"/>
    </row>
    <row r="2186">
      <c r="N2186" s="5"/>
    </row>
    <row r="2187">
      <c r="N2187" s="5"/>
    </row>
    <row r="2188">
      <c r="N2188" s="5"/>
    </row>
    <row r="2189">
      <c r="N2189" s="5"/>
    </row>
    <row r="2190">
      <c r="N2190" s="5"/>
    </row>
    <row r="2191">
      <c r="N2191" s="5"/>
    </row>
    <row r="2192">
      <c r="N2192" s="5"/>
    </row>
    <row r="2193">
      <c r="N2193" s="5"/>
    </row>
    <row r="2194">
      <c r="N2194" s="5"/>
    </row>
    <row r="2195">
      <c r="N2195" s="5"/>
    </row>
    <row r="2196">
      <c r="N2196" s="5"/>
    </row>
    <row r="2197">
      <c r="N2197" s="5"/>
    </row>
    <row r="2198">
      <c r="N2198" s="5"/>
    </row>
    <row r="2199">
      <c r="N2199" s="5"/>
    </row>
    <row r="2200">
      <c r="N2200" s="5"/>
    </row>
    <row r="2201">
      <c r="N2201" s="5"/>
    </row>
    <row r="2202">
      <c r="N2202" s="5"/>
    </row>
    <row r="2203">
      <c r="N2203" s="5"/>
    </row>
    <row r="2204">
      <c r="N2204" s="5"/>
    </row>
    <row r="2205">
      <c r="N2205" s="5"/>
    </row>
    <row r="2206">
      <c r="N2206" s="5"/>
    </row>
    <row r="2207">
      <c r="N2207" s="5"/>
    </row>
    <row r="2208">
      <c r="N2208" s="5"/>
    </row>
    <row r="2209">
      <c r="N2209" s="5"/>
    </row>
    <row r="2210">
      <c r="N2210" s="5"/>
    </row>
    <row r="2211">
      <c r="N2211" s="5"/>
    </row>
    <row r="2212">
      <c r="N2212" s="5"/>
    </row>
    <row r="2213">
      <c r="N2213" s="5"/>
    </row>
    <row r="2214">
      <c r="N2214" s="5"/>
    </row>
    <row r="2215">
      <c r="N2215" s="5"/>
    </row>
    <row r="2216">
      <c r="N2216" s="5"/>
    </row>
    <row r="2217">
      <c r="N2217" s="5"/>
    </row>
    <row r="2218">
      <c r="N2218" s="5"/>
    </row>
    <row r="2219">
      <c r="N2219" s="5"/>
    </row>
    <row r="2220">
      <c r="N2220" s="5"/>
    </row>
    <row r="2221">
      <c r="N2221" s="5"/>
    </row>
    <row r="2222">
      <c r="N2222" s="5"/>
    </row>
    <row r="2223">
      <c r="N2223" s="5"/>
    </row>
    <row r="2224">
      <c r="N2224" s="5"/>
    </row>
    <row r="2225">
      <c r="N2225" s="5"/>
    </row>
    <row r="2226">
      <c r="N2226" s="5"/>
    </row>
    <row r="2227">
      <c r="N2227" s="5"/>
    </row>
    <row r="2228">
      <c r="N2228" s="5"/>
    </row>
    <row r="2229">
      <c r="N2229" s="5"/>
    </row>
    <row r="2230">
      <c r="N2230" s="5"/>
    </row>
    <row r="2231">
      <c r="N2231" s="5"/>
    </row>
    <row r="2232">
      <c r="N2232" s="5"/>
    </row>
    <row r="2233">
      <c r="N2233" s="5"/>
    </row>
    <row r="2234">
      <c r="N2234" s="5"/>
    </row>
    <row r="2235">
      <c r="N2235" s="5"/>
    </row>
    <row r="2236">
      <c r="N2236" s="5"/>
    </row>
    <row r="2237">
      <c r="N2237" s="5"/>
    </row>
    <row r="2238">
      <c r="N2238" s="5"/>
    </row>
    <row r="2239">
      <c r="N2239" s="5"/>
    </row>
    <row r="2240">
      <c r="N2240" s="5"/>
    </row>
    <row r="2241">
      <c r="N2241" s="5"/>
    </row>
    <row r="2242">
      <c r="N2242" s="5"/>
    </row>
    <row r="2243">
      <c r="N2243" s="5"/>
    </row>
    <row r="2244">
      <c r="N2244" s="5"/>
    </row>
    <row r="2245">
      <c r="N2245" s="5"/>
    </row>
    <row r="2246">
      <c r="N2246" s="5"/>
    </row>
    <row r="2247">
      <c r="N2247" s="5"/>
    </row>
    <row r="2248">
      <c r="N2248" s="5"/>
    </row>
    <row r="2249">
      <c r="N2249" s="5"/>
    </row>
    <row r="2250">
      <c r="N2250" s="5"/>
    </row>
    <row r="2251">
      <c r="N2251" s="5"/>
    </row>
    <row r="2252">
      <c r="N2252" s="5"/>
    </row>
    <row r="2253">
      <c r="N2253" s="5"/>
    </row>
    <row r="2254">
      <c r="N2254" s="5"/>
    </row>
    <row r="2255">
      <c r="N2255" s="5"/>
    </row>
    <row r="2256">
      <c r="N2256" s="5"/>
    </row>
    <row r="2257">
      <c r="N2257" s="5"/>
    </row>
    <row r="2258">
      <c r="N2258" s="5"/>
    </row>
    <row r="2259">
      <c r="N2259" s="5"/>
    </row>
    <row r="2260">
      <c r="N2260" s="5"/>
    </row>
    <row r="2261">
      <c r="N2261" s="5"/>
    </row>
    <row r="2262">
      <c r="N2262" s="5"/>
    </row>
    <row r="2263">
      <c r="N2263" s="5"/>
    </row>
    <row r="2264">
      <c r="N2264" s="5"/>
    </row>
    <row r="2265">
      <c r="N2265" s="5"/>
    </row>
    <row r="2266">
      <c r="N2266" s="5"/>
    </row>
    <row r="2267">
      <c r="N2267" s="5"/>
    </row>
    <row r="2268">
      <c r="N2268" s="5"/>
    </row>
    <row r="2269">
      <c r="N2269" s="5"/>
    </row>
    <row r="2270">
      <c r="N2270" s="5"/>
    </row>
    <row r="2271">
      <c r="N2271" s="5"/>
    </row>
    <row r="2272">
      <c r="N2272" s="5"/>
    </row>
    <row r="2273">
      <c r="N2273" s="5"/>
    </row>
    <row r="2274">
      <c r="N2274" s="5"/>
    </row>
    <row r="2275">
      <c r="N2275" s="5"/>
    </row>
    <row r="2276">
      <c r="N2276" s="5"/>
    </row>
    <row r="2277">
      <c r="N2277" s="5"/>
    </row>
    <row r="2278">
      <c r="N2278" s="5"/>
    </row>
    <row r="2279">
      <c r="N2279" s="5"/>
    </row>
    <row r="2280">
      <c r="N2280" s="5"/>
    </row>
    <row r="2281">
      <c r="N2281" s="5"/>
    </row>
    <row r="2282">
      <c r="N2282" s="5"/>
    </row>
    <row r="2283">
      <c r="N2283" s="5"/>
    </row>
    <row r="2284">
      <c r="N2284" s="5"/>
    </row>
    <row r="2285">
      <c r="N2285" s="5"/>
    </row>
    <row r="2286">
      <c r="N2286" s="5"/>
    </row>
    <row r="2287">
      <c r="N2287" s="5"/>
    </row>
    <row r="2288">
      <c r="N2288" s="5"/>
    </row>
    <row r="2289">
      <c r="N2289" s="5"/>
    </row>
    <row r="2290">
      <c r="N2290" s="5"/>
    </row>
    <row r="2291">
      <c r="N2291" s="5"/>
    </row>
    <row r="2292">
      <c r="N2292" s="5"/>
    </row>
    <row r="2293">
      <c r="N2293" s="5"/>
    </row>
    <row r="2294">
      <c r="N2294" s="5"/>
    </row>
    <row r="2295">
      <c r="N2295" s="5"/>
    </row>
    <row r="2296">
      <c r="N2296" s="5"/>
    </row>
    <row r="2297">
      <c r="N2297" s="5"/>
    </row>
    <row r="2298">
      <c r="N2298" s="5"/>
    </row>
    <row r="2299">
      <c r="N2299" s="5"/>
    </row>
    <row r="2300">
      <c r="N2300" s="5"/>
    </row>
    <row r="2301">
      <c r="N2301" s="5"/>
    </row>
    <row r="2302">
      <c r="N2302" s="5"/>
    </row>
    <row r="2303">
      <c r="N2303" s="5"/>
    </row>
    <row r="2304">
      <c r="N2304" s="5"/>
    </row>
    <row r="2305">
      <c r="N2305" s="5"/>
    </row>
    <row r="2306">
      <c r="N2306" s="5"/>
    </row>
    <row r="2307">
      <c r="N2307" s="5"/>
    </row>
    <row r="2308">
      <c r="N2308" s="5"/>
    </row>
    <row r="2309">
      <c r="N2309" s="5"/>
    </row>
    <row r="2310">
      <c r="N2310" s="5"/>
    </row>
    <row r="2311">
      <c r="N2311" s="5"/>
    </row>
    <row r="2312">
      <c r="N2312" s="5"/>
    </row>
    <row r="2313">
      <c r="N2313" s="5"/>
    </row>
    <row r="2314">
      <c r="N2314" s="5"/>
    </row>
    <row r="2315">
      <c r="N2315" s="5"/>
    </row>
    <row r="2316">
      <c r="N2316" s="5"/>
    </row>
    <row r="2317">
      <c r="N2317" s="5"/>
    </row>
    <row r="2318">
      <c r="N2318" s="5"/>
    </row>
    <row r="2319">
      <c r="N2319" s="5"/>
    </row>
    <row r="2320">
      <c r="N2320" s="5"/>
    </row>
    <row r="2321">
      <c r="N2321" s="5"/>
    </row>
    <row r="2322">
      <c r="N2322" s="5"/>
    </row>
    <row r="2323">
      <c r="N2323" s="5"/>
    </row>
    <row r="2324">
      <c r="N2324" s="5"/>
    </row>
    <row r="2325">
      <c r="N2325" s="5"/>
    </row>
    <row r="2326">
      <c r="N2326" s="5"/>
    </row>
    <row r="2327">
      <c r="N2327" s="5"/>
    </row>
    <row r="2328">
      <c r="N2328" s="5"/>
    </row>
    <row r="2329">
      <c r="N2329" s="5"/>
    </row>
    <row r="2330">
      <c r="N2330" s="5"/>
    </row>
    <row r="2331">
      <c r="N2331" s="5"/>
    </row>
    <row r="2332">
      <c r="N2332" s="5"/>
    </row>
    <row r="2333">
      <c r="N2333" s="5"/>
    </row>
    <row r="2334">
      <c r="N2334" s="5"/>
    </row>
    <row r="2335">
      <c r="N2335" s="5"/>
    </row>
    <row r="2336">
      <c r="N2336" s="5"/>
    </row>
    <row r="2337">
      <c r="N2337" s="5"/>
    </row>
    <row r="2338">
      <c r="N2338" s="5"/>
    </row>
    <row r="2339">
      <c r="N2339" s="5"/>
    </row>
    <row r="2340">
      <c r="N2340" s="5"/>
    </row>
    <row r="2341">
      <c r="N2341" s="5"/>
    </row>
    <row r="2342">
      <c r="N2342" s="5"/>
    </row>
    <row r="2343">
      <c r="N2343" s="5"/>
    </row>
    <row r="2344">
      <c r="N2344" s="5"/>
    </row>
    <row r="2345">
      <c r="N2345" s="5"/>
    </row>
    <row r="2346">
      <c r="N2346" s="5"/>
    </row>
    <row r="2347">
      <c r="N2347" s="5"/>
    </row>
    <row r="2348">
      <c r="N2348" s="5"/>
    </row>
    <row r="2349">
      <c r="N2349" s="5"/>
    </row>
    <row r="2350">
      <c r="N2350" s="5"/>
    </row>
    <row r="2351">
      <c r="N2351" s="5"/>
    </row>
    <row r="2352">
      <c r="N2352" s="5"/>
    </row>
    <row r="2353">
      <c r="N2353" s="5"/>
    </row>
    <row r="2354">
      <c r="N2354" s="5"/>
    </row>
    <row r="2355">
      <c r="N2355" s="5"/>
    </row>
    <row r="2356">
      <c r="N2356" s="5"/>
    </row>
    <row r="2357">
      <c r="N2357" s="5"/>
    </row>
    <row r="2358">
      <c r="N2358" s="5"/>
    </row>
    <row r="2359">
      <c r="N2359" s="5"/>
    </row>
    <row r="2360">
      <c r="N2360" s="5"/>
    </row>
    <row r="2361">
      <c r="N2361" s="5"/>
    </row>
    <row r="2362">
      <c r="N2362" s="5"/>
    </row>
    <row r="2363">
      <c r="N2363" s="5"/>
    </row>
    <row r="2364">
      <c r="N2364" s="5"/>
    </row>
    <row r="2365">
      <c r="N2365" s="5"/>
    </row>
    <row r="2366">
      <c r="N2366" s="5"/>
    </row>
    <row r="2367">
      <c r="N2367" s="5"/>
    </row>
    <row r="2368">
      <c r="N2368" s="5"/>
    </row>
    <row r="2369">
      <c r="N2369" s="5"/>
    </row>
    <row r="2370">
      <c r="N2370" s="5"/>
    </row>
    <row r="2371">
      <c r="N2371" s="5"/>
    </row>
    <row r="2372">
      <c r="N2372" s="5"/>
    </row>
    <row r="2373">
      <c r="N2373" s="5"/>
    </row>
    <row r="2374">
      <c r="N2374" s="5"/>
    </row>
    <row r="2375">
      <c r="N2375" s="5"/>
    </row>
    <row r="2376">
      <c r="N2376" s="5"/>
    </row>
    <row r="2377">
      <c r="N2377" s="5"/>
    </row>
    <row r="2378">
      <c r="N2378" s="5"/>
    </row>
    <row r="2379">
      <c r="N2379" s="5"/>
    </row>
    <row r="2380">
      <c r="N2380" s="5"/>
    </row>
    <row r="2381">
      <c r="N2381" s="5"/>
    </row>
    <row r="2382">
      <c r="N2382" s="5"/>
    </row>
    <row r="2383">
      <c r="N2383" s="5"/>
    </row>
    <row r="2384">
      <c r="N2384" s="5"/>
    </row>
    <row r="2385">
      <c r="N2385" s="5"/>
    </row>
    <row r="2386">
      <c r="N2386" s="5"/>
    </row>
    <row r="2387">
      <c r="N2387" s="5"/>
    </row>
    <row r="2388">
      <c r="N2388" s="5"/>
    </row>
    <row r="2389">
      <c r="N2389" s="5"/>
    </row>
    <row r="2390">
      <c r="N2390" s="5"/>
    </row>
    <row r="2391">
      <c r="N2391" s="5"/>
    </row>
    <row r="2392">
      <c r="N2392" s="5"/>
    </row>
    <row r="2393">
      <c r="N2393" s="5"/>
    </row>
    <row r="2394">
      <c r="N2394" s="5"/>
    </row>
    <row r="2395">
      <c r="N2395" s="5"/>
    </row>
    <row r="2396">
      <c r="N2396" s="5"/>
    </row>
    <row r="2397">
      <c r="N2397" s="5"/>
    </row>
    <row r="2398">
      <c r="N2398" s="5"/>
    </row>
    <row r="2399">
      <c r="N2399" s="5"/>
    </row>
    <row r="2400">
      <c r="N2400" s="5"/>
    </row>
    <row r="2401">
      <c r="N2401" s="5"/>
    </row>
    <row r="2402">
      <c r="N2402" s="5"/>
    </row>
    <row r="2403">
      <c r="N2403" s="5"/>
    </row>
    <row r="2404">
      <c r="N2404" s="5"/>
    </row>
    <row r="2405">
      <c r="N2405" s="5"/>
    </row>
    <row r="2406">
      <c r="N2406" s="5"/>
    </row>
    <row r="2407">
      <c r="N2407" s="5"/>
    </row>
    <row r="2408">
      <c r="N2408" s="5"/>
    </row>
    <row r="2409">
      <c r="N2409" s="5"/>
    </row>
    <row r="2410">
      <c r="N2410" s="5"/>
    </row>
    <row r="2411">
      <c r="N2411" s="5"/>
    </row>
    <row r="2412">
      <c r="N2412" s="5"/>
    </row>
    <row r="2413">
      <c r="N2413" s="5"/>
    </row>
    <row r="2414">
      <c r="N2414" s="5"/>
    </row>
    <row r="2415">
      <c r="N2415" s="5"/>
    </row>
    <row r="2416">
      <c r="N2416" s="5"/>
    </row>
    <row r="2417">
      <c r="N2417" s="5"/>
    </row>
    <row r="2418">
      <c r="N2418" s="5"/>
    </row>
    <row r="2419">
      <c r="N2419" s="5"/>
    </row>
    <row r="2420">
      <c r="N2420" s="5"/>
    </row>
    <row r="2421">
      <c r="N2421" s="5"/>
    </row>
    <row r="2422">
      <c r="N2422" s="5"/>
    </row>
    <row r="2423">
      <c r="N2423" s="5"/>
    </row>
    <row r="2424">
      <c r="N2424" s="5"/>
    </row>
    <row r="2425">
      <c r="N2425" s="5"/>
    </row>
    <row r="2426">
      <c r="N2426" s="5"/>
    </row>
    <row r="2427">
      <c r="N2427" s="5"/>
    </row>
    <row r="2428">
      <c r="N2428" s="5"/>
    </row>
    <row r="2429">
      <c r="N2429" s="5"/>
    </row>
    <row r="2430">
      <c r="N2430" s="5"/>
    </row>
    <row r="2431">
      <c r="N2431" s="5"/>
    </row>
    <row r="2432">
      <c r="N2432" s="5"/>
    </row>
    <row r="2433">
      <c r="N2433" s="5"/>
    </row>
    <row r="2434">
      <c r="N2434" s="5"/>
    </row>
    <row r="2435">
      <c r="N2435" s="5"/>
    </row>
    <row r="2436">
      <c r="N2436" s="5"/>
    </row>
    <row r="2437">
      <c r="N2437" s="5"/>
    </row>
    <row r="2438">
      <c r="N2438" s="5"/>
    </row>
    <row r="2439">
      <c r="N2439" s="5"/>
    </row>
    <row r="2440">
      <c r="N2440" s="5"/>
    </row>
    <row r="2441">
      <c r="N2441" s="5"/>
    </row>
    <row r="2442">
      <c r="N2442" s="5"/>
    </row>
    <row r="2443">
      <c r="N2443" s="5"/>
    </row>
    <row r="2444">
      <c r="N2444" s="5"/>
    </row>
    <row r="2445">
      <c r="N2445" s="5"/>
    </row>
    <row r="2446">
      <c r="N2446" s="5"/>
    </row>
    <row r="2447">
      <c r="N2447" s="5"/>
    </row>
    <row r="2448">
      <c r="N2448" s="5"/>
    </row>
    <row r="2449">
      <c r="N2449" s="5"/>
    </row>
    <row r="2450">
      <c r="N2450" s="5"/>
    </row>
    <row r="2451">
      <c r="N2451" s="5"/>
    </row>
    <row r="2452">
      <c r="N2452" s="5"/>
    </row>
    <row r="2453">
      <c r="N2453" s="5"/>
    </row>
    <row r="2454">
      <c r="N2454" s="5"/>
    </row>
    <row r="2455">
      <c r="N2455" s="5"/>
    </row>
    <row r="2456">
      <c r="N2456" s="5"/>
    </row>
    <row r="2457">
      <c r="N2457" s="5"/>
    </row>
    <row r="2458">
      <c r="N2458" s="5"/>
    </row>
    <row r="2459">
      <c r="N2459" s="5"/>
    </row>
    <row r="2460">
      <c r="N2460" s="5"/>
    </row>
    <row r="2461">
      <c r="N2461" s="5"/>
    </row>
    <row r="2462">
      <c r="N2462" s="5"/>
    </row>
    <row r="2463">
      <c r="N2463" s="5"/>
    </row>
    <row r="2464">
      <c r="N2464" s="5"/>
    </row>
    <row r="2465">
      <c r="N2465" s="5"/>
    </row>
    <row r="2466">
      <c r="N2466" s="5"/>
    </row>
    <row r="2467">
      <c r="N2467" s="5"/>
    </row>
    <row r="2468">
      <c r="N2468" s="5"/>
    </row>
    <row r="2469">
      <c r="N2469" s="5"/>
    </row>
    <row r="2470">
      <c r="N2470" s="5"/>
    </row>
    <row r="2471">
      <c r="N2471" s="5"/>
    </row>
    <row r="2472">
      <c r="N2472" s="5"/>
    </row>
    <row r="2473">
      <c r="N2473" s="5"/>
    </row>
    <row r="2474">
      <c r="N2474" s="5"/>
    </row>
    <row r="2475">
      <c r="N2475" s="5"/>
    </row>
    <row r="2476">
      <c r="N2476" s="5"/>
    </row>
    <row r="2477">
      <c r="N2477" s="5"/>
    </row>
    <row r="2478">
      <c r="N2478" s="5"/>
    </row>
    <row r="2479">
      <c r="N2479" s="5"/>
    </row>
    <row r="2480">
      <c r="N2480" s="5"/>
    </row>
    <row r="2481">
      <c r="N2481" s="5"/>
    </row>
    <row r="2482">
      <c r="N2482" s="5"/>
    </row>
    <row r="2483">
      <c r="N2483" s="5"/>
    </row>
    <row r="2484">
      <c r="N2484" s="5"/>
    </row>
    <row r="2485">
      <c r="N2485" s="5"/>
    </row>
    <row r="2486">
      <c r="N2486" s="5"/>
    </row>
    <row r="2487">
      <c r="N2487" s="5"/>
    </row>
    <row r="2488">
      <c r="N2488" s="5"/>
    </row>
    <row r="2489">
      <c r="N2489" s="5"/>
    </row>
    <row r="2490">
      <c r="N2490" s="5"/>
    </row>
    <row r="2491">
      <c r="N2491" s="5"/>
    </row>
    <row r="2492">
      <c r="N2492" s="5"/>
    </row>
    <row r="2493">
      <c r="N2493" s="5"/>
    </row>
    <row r="2494">
      <c r="N2494" s="5"/>
    </row>
    <row r="2495">
      <c r="N2495" s="5"/>
    </row>
    <row r="2496">
      <c r="N2496" s="5"/>
    </row>
    <row r="2497">
      <c r="N2497" s="5"/>
    </row>
    <row r="2498">
      <c r="N2498" s="5"/>
    </row>
    <row r="2499">
      <c r="N2499" s="5"/>
    </row>
    <row r="2500">
      <c r="N2500" s="5"/>
    </row>
    <row r="2501">
      <c r="N2501" s="5"/>
    </row>
    <row r="2502">
      <c r="N2502" s="5"/>
    </row>
    <row r="2503">
      <c r="N2503" s="5"/>
    </row>
    <row r="2504">
      <c r="N2504" s="5"/>
    </row>
    <row r="2505">
      <c r="N2505" s="5"/>
    </row>
    <row r="2506">
      <c r="N2506" s="5"/>
    </row>
    <row r="2507">
      <c r="N2507" s="5"/>
    </row>
    <row r="2508">
      <c r="N2508" s="5"/>
    </row>
    <row r="2509">
      <c r="N2509" s="5"/>
    </row>
    <row r="2510">
      <c r="N2510" s="5"/>
    </row>
    <row r="2511">
      <c r="N2511" s="5"/>
    </row>
    <row r="2512">
      <c r="N2512" s="5"/>
    </row>
    <row r="2513">
      <c r="N2513" s="5"/>
    </row>
    <row r="2514">
      <c r="N2514" s="5"/>
    </row>
    <row r="2515">
      <c r="N2515" s="5"/>
    </row>
    <row r="2516">
      <c r="N2516" s="5"/>
    </row>
    <row r="2517">
      <c r="N2517" s="5"/>
    </row>
    <row r="2518">
      <c r="N2518" s="5"/>
    </row>
    <row r="2519">
      <c r="N2519" s="5"/>
    </row>
    <row r="2520">
      <c r="N2520" s="5"/>
    </row>
    <row r="2521">
      <c r="N2521" s="5"/>
    </row>
    <row r="2522">
      <c r="N2522" s="5"/>
    </row>
    <row r="2523">
      <c r="N2523" s="5"/>
    </row>
    <row r="2524">
      <c r="N2524" s="5"/>
    </row>
    <row r="2525">
      <c r="N2525" s="5"/>
    </row>
    <row r="2526">
      <c r="N2526" s="5"/>
    </row>
    <row r="2527">
      <c r="N2527" s="5"/>
    </row>
    <row r="2528">
      <c r="N2528" s="5"/>
    </row>
    <row r="2529">
      <c r="N2529" s="5"/>
    </row>
    <row r="2530">
      <c r="N2530" s="5"/>
    </row>
    <row r="2531">
      <c r="N2531" s="5"/>
    </row>
    <row r="2532">
      <c r="N2532" s="5"/>
    </row>
    <row r="2533">
      <c r="N2533" s="5"/>
    </row>
    <row r="2534">
      <c r="N2534" s="5"/>
    </row>
    <row r="2535">
      <c r="N2535" s="5"/>
    </row>
    <row r="2536">
      <c r="N2536" s="5"/>
    </row>
    <row r="2537">
      <c r="N2537" s="5"/>
    </row>
    <row r="2538">
      <c r="N2538" s="5"/>
    </row>
    <row r="2539">
      <c r="N2539" s="5"/>
    </row>
    <row r="2540">
      <c r="N2540" s="5"/>
    </row>
    <row r="2541">
      <c r="N2541" s="5"/>
    </row>
    <row r="2542">
      <c r="N2542" s="5"/>
    </row>
    <row r="2543">
      <c r="N2543" s="5"/>
    </row>
    <row r="2544">
      <c r="N2544" s="5"/>
    </row>
    <row r="2545">
      <c r="N2545" s="5"/>
    </row>
    <row r="2546">
      <c r="N2546" s="5"/>
    </row>
    <row r="2547">
      <c r="N2547" s="5"/>
    </row>
    <row r="2548">
      <c r="N2548" s="5"/>
    </row>
    <row r="2549">
      <c r="N2549" s="5"/>
    </row>
    <row r="2550">
      <c r="N2550" s="5"/>
    </row>
    <row r="2551">
      <c r="N2551" s="5"/>
    </row>
    <row r="2552">
      <c r="N2552" s="5"/>
    </row>
    <row r="2553">
      <c r="N2553" s="5"/>
    </row>
    <row r="2554">
      <c r="N2554" s="5"/>
    </row>
    <row r="2555">
      <c r="N2555" s="5"/>
    </row>
    <row r="2556">
      <c r="N2556" s="5"/>
    </row>
    <row r="2557">
      <c r="N2557" s="5"/>
    </row>
    <row r="2558">
      <c r="N2558" s="5"/>
    </row>
    <row r="2559">
      <c r="N2559" s="5"/>
    </row>
    <row r="2560">
      <c r="N2560" s="5"/>
    </row>
    <row r="2561">
      <c r="N2561" s="5"/>
    </row>
    <row r="2562">
      <c r="N2562" s="5"/>
    </row>
    <row r="2563">
      <c r="N2563" s="5"/>
    </row>
    <row r="2564">
      <c r="N2564" s="5"/>
    </row>
    <row r="2565">
      <c r="N2565" s="5"/>
    </row>
    <row r="2566">
      <c r="N2566" s="5"/>
    </row>
    <row r="2567">
      <c r="N2567" s="5"/>
    </row>
    <row r="2568">
      <c r="N2568" s="5"/>
    </row>
    <row r="2569">
      <c r="N2569" s="5"/>
    </row>
    <row r="2570">
      <c r="N2570" s="5"/>
    </row>
    <row r="2571">
      <c r="N2571" s="5"/>
    </row>
    <row r="2572">
      <c r="N2572" s="5"/>
    </row>
    <row r="2573">
      <c r="N2573" s="5"/>
    </row>
    <row r="2574">
      <c r="N2574" s="5"/>
    </row>
    <row r="2575">
      <c r="N2575" s="5"/>
    </row>
    <row r="2576">
      <c r="N2576" s="5"/>
    </row>
    <row r="2577">
      <c r="N2577" s="5"/>
    </row>
    <row r="2578">
      <c r="N2578" s="5"/>
    </row>
    <row r="2579">
      <c r="N2579" s="5"/>
    </row>
    <row r="2580">
      <c r="N2580" s="5"/>
    </row>
    <row r="2581">
      <c r="N2581" s="5"/>
    </row>
    <row r="2582">
      <c r="N2582" s="5"/>
    </row>
    <row r="2583">
      <c r="N2583" s="5"/>
    </row>
    <row r="2584">
      <c r="N2584" s="5"/>
    </row>
    <row r="2585">
      <c r="N2585" s="5"/>
    </row>
    <row r="2586">
      <c r="N2586" s="5"/>
    </row>
    <row r="2587">
      <c r="N2587" s="5"/>
    </row>
    <row r="2588">
      <c r="N2588" s="5"/>
    </row>
    <row r="2589">
      <c r="N2589" s="5"/>
    </row>
    <row r="2590">
      <c r="N2590" s="5"/>
    </row>
    <row r="2591">
      <c r="N2591" s="5"/>
    </row>
    <row r="2592">
      <c r="N2592" s="5"/>
    </row>
    <row r="2593">
      <c r="N2593" s="5"/>
    </row>
    <row r="2594">
      <c r="N2594" s="5"/>
    </row>
    <row r="2595">
      <c r="N2595" s="5"/>
    </row>
    <row r="2596">
      <c r="N2596" s="5"/>
    </row>
    <row r="2597">
      <c r="N2597" s="5"/>
    </row>
    <row r="2598">
      <c r="N2598" s="5"/>
    </row>
    <row r="2599">
      <c r="N2599" s="5"/>
    </row>
    <row r="2600">
      <c r="N2600" s="5"/>
    </row>
    <row r="2601">
      <c r="N2601" s="5"/>
    </row>
    <row r="2602">
      <c r="N2602" s="5"/>
    </row>
    <row r="2603">
      <c r="N2603" s="5"/>
    </row>
    <row r="2604">
      <c r="N2604" s="5"/>
    </row>
    <row r="2605">
      <c r="N2605" s="5"/>
    </row>
    <row r="2606">
      <c r="N2606" s="5"/>
    </row>
    <row r="2607">
      <c r="N2607" s="5"/>
    </row>
    <row r="2608">
      <c r="N2608" s="5"/>
    </row>
    <row r="2609">
      <c r="N2609" s="5"/>
    </row>
    <row r="2610">
      <c r="N2610" s="5"/>
    </row>
    <row r="2611">
      <c r="N2611" s="5"/>
    </row>
    <row r="2612">
      <c r="N2612" s="5"/>
    </row>
    <row r="2613">
      <c r="N2613" s="5"/>
    </row>
    <row r="2614">
      <c r="N2614" s="5"/>
    </row>
    <row r="2615">
      <c r="N2615" s="5"/>
    </row>
    <row r="2616">
      <c r="N2616" s="5"/>
    </row>
    <row r="2617">
      <c r="N2617" s="5"/>
    </row>
    <row r="2618">
      <c r="N2618" s="5"/>
    </row>
    <row r="2619">
      <c r="N2619" s="5"/>
    </row>
    <row r="2620">
      <c r="N2620" s="5"/>
    </row>
    <row r="2621">
      <c r="N2621" s="5"/>
    </row>
    <row r="2622">
      <c r="N2622" s="5"/>
    </row>
    <row r="2623">
      <c r="N2623" s="5"/>
    </row>
    <row r="2624">
      <c r="N2624" s="5"/>
    </row>
    <row r="2625">
      <c r="N2625" s="5"/>
    </row>
    <row r="2626">
      <c r="N2626" s="5"/>
    </row>
    <row r="2627">
      <c r="N2627" s="5"/>
    </row>
    <row r="2628">
      <c r="N2628" s="5"/>
    </row>
    <row r="2629">
      <c r="N2629" s="5"/>
    </row>
    <row r="2630">
      <c r="N2630" s="5"/>
    </row>
    <row r="2631">
      <c r="N2631" s="5"/>
    </row>
    <row r="2632">
      <c r="N2632" s="5"/>
    </row>
    <row r="2633">
      <c r="N2633" s="5"/>
    </row>
    <row r="2634">
      <c r="N2634" s="5"/>
    </row>
    <row r="2635">
      <c r="N2635" s="5"/>
    </row>
    <row r="2636">
      <c r="N2636" s="5"/>
    </row>
    <row r="2637">
      <c r="N2637" s="5"/>
    </row>
    <row r="2638">
      <c r="N2638" s="5"/>
    </row>
    <row r="2639">
      <c r="N2639" s="5"/>
    </row>
    <row r="2640">
      <c r="N2640" s="5"/>
    </row>
    <row r="2641">
      <c r="N2641" s="5"/>
    </row>
    <row r="2642">
      <c r="N2642" s="5"/>
    </row>
    <row r="2643">
      <c r="N2643" s="5"/>
    </row>
    <row r="2644">
      <c r="N2644" s="5"/>
    </row>
    <row r="2645">
      <c r="N2645" s="5"/>
    </row>
    <row r="2646">
      <c r="N2646" s="5"/>
    </row>
    <row r="2647">
      <c r="N2647" s="5"/>
    </row>
    <row r="2648">
      <c r="N2648" s="5"/>
    </row>
    <row r="2649">
      <c r="N2649" s="5"/>
    </row>
    <row r="2650">
      <c r="N2650" s="5"/>
    </row>
    <row r="2651">
      <c r="N2651" s="5"/>
    </row>
    <row r="2652">
      <c r="N2652" s="5"/>
    </row>
    <row r="2653">
      <c r="N2653" s="5"/>
    </row>
    <row r="2654">
      <c r="N2654" s="5"/>
    </row>
    <row r="2655">
      <c r="N2655" s="5"/>
    </row>
    <row r="2656">
      <c r="N2656" s="5"/>
    </row>
    <row r="2657">
      <c r="N2657" s="5"/>
    </row>
    <row r="2658">
      <c r="N2658" s="5"/>
    </row>
    <row r="2659">
      <c r="N2659" s="5"/>
    </row>
    <row r="2660">
      <c r="N2660" s="5"/>
    </row>
    <row r="2661">
      <c r="N2661" s="5"/>
    </row>
    <row r="2662">
      <c r="N2662" s="5"/>
    </row>
    <row r="2663">
      <c r="N2663" s="5"/>
    </row>
    <row r="2664">
      <c r="N2664" s="5"/>
    </row>
    <row r="2665">
      <c r="N2665" s="5"/>
    </row>
    <row r="2666">
      <c r="N2666" s="5"/>
    </row>
    <row r="2667">
      <c r="N2667" s="5"/>
    </row>
    <row r="2668">
      <c r="N2668" s="5"/>
    </row>
    <row r="2669">
      <c r="N2669" s="5"/>
    </row>
    <row r="2670">
      <c r="N2670" s="5"/>
    </row>
    <row r="2671">
      <c r="N2671" s="5"/>
    </row>
    <row r="2672">
      <c r="N2672" s="5"/>
    </row>
    <row r="2673">
      <c r="N2673" s="5"/>
    </row>
    <row r="2674">
      <c r="N2674" s="5"/>
    </row>
    <row r="2675">
      <c r="N2675" s="5"/>
    </row>
    <row r="2676">
      <c r="N2676" s="5"/>
    </row>
    <row r="2677">
      <c r="N2677" s="5"/>
    </row>
    <row r="2678">
      <c r="N2678" s="5"/>
    </row>
    <row r="2679">
      <c r="N2679" s="5"/>
    </row>
    <row r="2680">
      <c r="N2680" s="5"/>
    </row>
    <row r="2681">
      <c r="N2681" s="5"/>
    </row>
    <row r="2682">
      <c r="N2682" s="5"/>
    </row>
    <row r="2683">
      <c r="N2683" s="5"/>
    </row>
    <row r="2684">
      <c r="N2684" s="5"/>
    </row>
    <row r="2685">
      <c r="N2685" s="5"/>
    </row>
    <row r="2686">
      <c r="N2686" s="5"/>
    </row>
    <row r="2687">
      <c r="N2687" s="5"/>
    </row>
    <row r="2688">
      <c r="N2688" s="5"/>
    </row>
    <row r="2689">
      <c r="N2689" s="5"/>
    </row>
    <row r="2690">
      <c r="N2690" s="5"/>
    </row>
    <row r="2691">
      <c r="N2691" s="5"/>
    </row>
    <row r="2692">
      <c r="N2692" s="5"/>
    </row>
    <row r="2693">
      <c r="N2693" s="5"/>
    </row>
    <row r="2694">
      <c r="N2694" s="5"/>
    </row>
    <row r="2695">
      <c r="N2695" s="5"/>
    </row>
    <row r="2696">
      <c r="N2696" s="5"/>
    </row>
    <row r="2697">
      <c r="N2697" s="5"/>
    </row>
    <row r="2698">
      <c r="N2698" s="5"/>
    </row>
    <row r="2699">
      <c r="N2699" s="5"/>
    </row>
    <row r="2700">
      <c r="N2700" s="5"/>
    </row>
    <row r="2701">
      <c r="N2701" s="5"/>
    </row>
    <row r="2702">
      <c r="N2702" s="5"/>
    </row>
    <row r="2703">
      <c r="N2703" s="5"/>
    </row>
    <row r="2704">
      <c r="N2704" s="5"/>
    </row>
    <row r="2705">
      <c r="N2705" s="5"/>
    </row>
    <row r="2706">
      <c r="N2706" s="5"/>
    </row>
    <row r="2707">
      <c r="N2707" s="5"/>
    </row>
    <row r="2708">
      <c r="N2708" s="5"/>
    </row>
    <row r="2709">
      <c r="N2709" s="5"/>
    </row>
    <row r="2710">
      <c r="N2710" s="5"/>
    </row>
    <row r="2711">
      <c r="N2711" s="5"/>
    </row>
    <row r="2712">
      <c r="N2712" s="5"/>
    </row>
    <row r="2713">
      <c r="N2713" s="5"/>
    </row>
    <row r="2714">
      <c r="N2714" s="5"/>
    </row>
    <row r="2715">
      <c r="N2715" s="5"/>
    </row>
    <row r="2716">
      <c r="N2716" s="5"/>
    </row>
    <row r="2717">
      <c r="N2717" s="5"/>
    </row>
    <row r="2718">
      <c r="N2718" s="5"/>
    </row>
    <row r="2719">
      <c r="N2719" s="5"/>
    </row>
    <row r="2720">
      <c r="N2720" s="5"/>
    </row>
    <row r="2721">
      <c r="N2721" s="5"/>
    </row>
    <row r="2722">
      <c r="N2722" s="5"/>
    </row>
    <row r="2723">
      <c r="N2723" s="5"/>
    </row>
    <row r="2724">
      <c r="N2724" s="5"/>
    </row>
    <row r="2725">
      <c r="N2725" s="5"/>
    </row>
    <row r="2726">
      <c r="N2726" s="5"/>
    </row>
    <row r="2727">
      <c r="N2727" s="5"/>
    </row>
    <row r="2728">
      <c r="N2728" s="5"/>
    </row>
    <row r="2729">
      <c r="N2729" s="5"/>
    </row>
    <row r="2730">
      <c r="N2730" s="5"/>
    </row>
    <row r="2731">
      <c r="N2731" s="5"/>
    </row>
    <row r="2732">
      <c r="N2732" s="5"/>
    </row>
    <row r="2733">
      <c r="N2733" s="5"/>
    </row>
    <row r="2734">
      <c r="N2734" s="5"/>
    </row>
    <row r="2735">
      <c r="N2735" s="5"/>
    </row>
    <row r="2736">
      <c r="N2736" s="5"/>
    </row>
    <row r="2737">
      <c r="N2737" s="5"/>
    </row>
    <row r="2738">
      <c r="N2738" s="5"/>
    </row>
    <row r="2739">
      <c r="N2739" s="5"/>
    </row>
    <row r="2740">
      <c r="N2740" s="5"/>
    </row>
    <row r="2741">
      <c r="N2741" s="5"/>
    </row>
    <row r="2742">
      <c r="N2742" s="5"/>
    </row>
    <row r="2743">
      <c r="N2743" s="5"/>
    </row>
    <row r="2744">
      <c r="N2744" s="5"/>
    </row>
    <row r="2745">
      <c r="N2745" s="5"/>
    </row>
    <row r="2746">
      <c r="N2746" s="5"/>
    </row>
    <row r="2747">
      <c r="N2747" s="5"/>
    </row>
    <row r="2748">
      <c r="N2748" s="5"/>
    </row>
    <row r="2749">
      <c r="N2749" s="5"/>
    </row>
    <row r="2750">
      <c r="N2750" s="5"/>
    </row>
    <row r="2751">
      <c r="N2751" s="5"/>
    </row>
    <row r="2752">
      <c r="N2752" s="5"/>
    </row>
    <row r="2753">
      <c r="N2753" s="5"/>
    </row>
    <row r="2754">
      <c r="N2754" s="5"/>
    </row>
    <row r="2755">
      <c r="N2755" s="5"/>
    </row>
    <row r="2756">
      <c r="N2756" s="5"/>
    </row>
    <row r="2757">
      <c r="N2757" s="5"/>
    </row>
    <row r="2758">
      <c r="N2758" s="5"/>
    </row>
    <row r="2759">
      <c r="N2759" s="5"/>
    </row>
    <row r="2760">
      <c r="N2760" s="5"/>
    </row>
    <row r="2761">
      <c r="N2761" s="5"/>
    </row>
    <row r="2762">
      <c r="N2762" s="5"/>
    </row>
    <row r="2763">
      <c r="N2763" s="5"/>
    </row>
    <row r="2764">
      <c r="N2764" s="5"/>
    </row>
    <row r="2765">
      <c r="N2765" s="5"/>
    </row>
    <row r="2766">
      <c r="N2766" s="5"/>
    </row>
    <row r="2767">
      <c r="N2767" s="5"/>
    </row>
    <row r="2768">
      <c r="N2768" s="5"/>
    </row>
    <row r="2769">
      <c r="N2769" s="5"/>
    </row>
    <row r="2770">
      <c r="N2770" s="5"/>
    </row>
    <row r="2771">
      <c r="N2771" s="5"/>
    </row>
    <row r="2772">
      <c r="N2772" s="5"/>
    </row>
    <row r="2773">
      <c r="N2773" s="5"/>
    </row>
    <row r="2774">
      <c r="N2774" s="5"/>
    </row>
    <row r="2775">
      <c r="N2775" s="5"/>
    </row>
    <row r="2776">
      <c r="N2776" s="5"/>
    </row>
    <row r="2777">
      <c r="N2777" s="5"/>
    </row>
    <row r="2778">
      <c r="N2778" s="5"/>
    </row>
    <row r="2779">
      <c r="N2779" s="5"/>
    </row>
    <row r="2780">
      <c r="N2780" s="5"/>
    </row>
    <row r="2781">
      <c r="N2781" s="5"/>
    </row>
    <row r="2782">
      <c r="N2782" s="5"/>
    </row>
    <row r="2783">
      <c r="N2783" s="5"/>
    </row>
    <row r="2784">
      <c r="N2784" s="5"/>
    </row>
    <row r="2785">
      <c r="N2785" s="5"/>
    </row>
    <row r="2786">
      <c r="N2786" s="5"/>
    </row>
    <row r="2787">
      <c r="N2787" s="5"/>
    </row>
    <row r="2788">
      <c r="N2788" s="5"/>
    </row>
    <row r="2789">
      <c r="N2789" s="5"/>
    </row>
    <row r="2790">
      <c r="N2790" s="5"/>
    </row>
    <row r="2791">
      <c r="N2791" s="5"/>
    </row>
    <row r="2792">
      <c r="N2792" s="5"/>
    </row>
    <row r="2793">
      <c r="N2793" s="5"/>
    </row>
    <row r="2794">
      <c r="N2794" s="5"/>
    </row>
    <row r="2795">
      <c r="N2795" s="5"/>
    </row>
    <row r="2796">
      <c r="N2796" s="5"/>
    </row>
    <row r="2797">
      <c r="N2797" s="5"/>
    </row>
    <row r="2798">
      <c r="N2798" s="5"/>
    </row>
    <row r="2799">
      <c r="N2799" s="5"/>
    </row>
    <row r="2800">
      <c r="N2800" s="5"/>
    </row>
    <row r="2801">
      <c r="N2801" s="5"/>
    </row>
    <row r="2802">
      <c r="N2802" s="5"/>
    </row>
    <row r="2803">
      <c r="N2803" s="5"/>
    </row>
    <row r="2804">
      <c r="N2804" s="5"/>
    </row>
    <row r="2805">
      <c r="N2805" s="5"/>
    </row>
    <row r="2806">
      <c r="N2806" s="5"/>
    </row>
    <row r="2807">
      <c r="N2807" s="5"/>
    </row>
    <row r="2808">
      <c r="N2808" s="5"/>
    </row>
    <row r="2809">
      <c r="N2809" s="5"/>
    </row>
    <row r="2810">
      <c r="N2810" s="5"/>
    </row>
    <row r="2811">
      <c r="N2811" s="5"/>
    </row>
    <row r="2812">
      <c r="N2812" s="5"/>
    </row>
    <row r="2813">
      <c r="N2813" s="5"/>
    </row>
    <row r="2814">
      <c r="N2814" s="5"/>
    </row>
    <row r="2815">
      <c r="N2815" s="5"/>
    </row>
    <row r="2816">
      <c r="N2816" s="5"/>
    </row>
    <row r="2817">
      <c r="N2817" s="5"/>
    </row>
    <row r="2818">
      <c r="N2818" s="5"/>
    </row>
    <row r="2819">
      <c r="N2819" s="5"/>
    </row>
    <row r="2820">
      <c r="N2820" s="5"/>
    </row>
    <row r="2821">
      <c r="N2821" s="5"/>
    </row>
    <row r="2822">
      <c r="N2822" s="5"/>
    </row>
    <row r="2823">
      <c r="N2823" s="5"/>
    </row>
    <row r="2824">
      <c r="N2824" s="5"/>
    </row>
    <row r="2825">
      <c r="N2825" s="5"/>
    </row>
    <row r="2826">
      <c r="N2826" s="5"/>
    </row>
    <row r="2827">
      <c r="N2827" s="5"/>
    </row>
    <row r="2828">
      <c r="N2828" s="5"/>
    </row>
    <row r="2829">
      <c r="N2829" s="5"/>
    </row>
    <row r="2830">
      <c r="N2830" s="5"/>
    </row>
    <row r="2831">
      <c r="N2831" s="5"/>
    </row>
    <row r="2832">
      <c r="N2832" s="5"/>
    </row>
    <row r="2833">
      <c r="N2833" s="5"/>
    </row>
    <row r="2834">
      <c r="N2834" s="5"/>
    </row>
    <row r="2835">
      <c r="N2835" s="5"/>
    </row>
    <row r="2836">
      <c r="N2836" s="5"/>
    </row>
    <row r="2837">
      <c r="N2837" s="5"/>
    </row>
    <row r="2838">
      <c r="N2838" s="5"/>
    </row>
    <row r="2839">
      <c r="N2839" s="5"/>
    </row>
    <row r="2840">
      <c r="N2840" s="5"/>
    </row>
    <row r="2841">
      <c r="N2841" s="5"/>
    </row>
    <row r="2842">
      <c r="N2842" s="5"/>
    </row>
    <row r="2843">
      <c r="N2843" s="5"/>
    </row>
    <row r="2844">
      <c r="N2844" s="5"/>
    </row>
    <row r="2845">
      <c r="N2845" s="5"/>
    </row>
    <row r="2846">
      <c r="N2846" s="5"/>
    </row>
    <row r="2847">
      <c r="N2847" s="5"/>
    </row>
    <row r="2848">
      <c r="N2848" s="5"/>
    </row>
    <row r="2849">
      <c r="N2849" s="5"/>
    </row>
    <row r="2850">
      <c r="N2850" s="5"/>
    </row>
    <row r="2851">
      <c r="N2851" s="5"/>
    </row>
    <row r="2852">
      <c r="N2852" s="5"/>
    </row>
    <row r="2853">
      <c r="N2853" s="5"/>
    </row>
    <row r="2854">
      <c r="N2854" s="5"/>
    </row>
    <row r="2855">
      <c r="N2855" s="5"/>
    </row>
    <row r="2856">
      <c r="N2856" s="5"/>
    </row>
    <row r="2857">
      <c r="N2857" s="5"/>
    </row>
    <row r="2858">
      <c r="N2858" s="5"/>
    </row>
    <row r="2859">
      <c r="N2859" s="5"/>
    </row>
    <row r="2860">
      <c r="N2860" s="5"/>
    </row>
    <row r="2861">
      <c r="N2861" s="5"/>
    </row>
    <row r="2862">
      <c r="N2862" s="5"/>
    </row>
    <row r="2863">
      <c r="N2863" s="5"/>
    </row>
    <row r="2864">
      <c r="N2864" s="5"/>
    </row>
    <row r="2865">
      <c r="N2865" s="5"/>
    </row>
    <row r="2866">
      <c r="N2866" s="5"/>
    </row>
    <row r="2867">
      <c r="N2867" s="5"/>
    </row>
    <row r="2868">
      <c r="N2868" s="5"/>
    </row>
    <row r="2869">
      <c r="N2869" s="5"/>
    </row>
    <row r="2870">
      <c r="N2870" s="5"/>
    </row>
    <row r="2871">
      <c r="N2871" s="5"/>
    </row>
    <row r="2872">
      <c r="N2872" s="5"/>
    </row>
    <row r="2873">
      <c r="N2873" s="5"/>
    </row>
    <row r="2874">
      <c r="N2874" s="5"/>
    </row>
    <row r="2875">
      <c r="N2875" s="5"/>
    </row>
    <row r="2876">
      <c r="N2876" s="5"/>
    </row>
    <row r="2877">
      <c r="N2877" s="5"/>
    </row>
    <row r="2878">
      <c r="N2878" s="5"/>
    </row>
    <row r="2879">
      <c r="N2879" s="5"/>
    </row>
    <row r="2880">
      <c r="N2880" s="5"/>
    </row>
    <row r="2881">
      <c r="N2881" s="5"/>
    </row>
    <row r="2882">
      <c r="N2882" s="5"/>
    </row>
    <row r="2883">
      <c r="N2883" s="5"/>
    </row>
    <row r="2884">
      <c r="N2884" s="5"/>
    </row>
    <row r="2885">
      <c r="N2885" s="5"/>
    </row>
    <row r="2886">
      <c r="N2886" s="5"/>
    </row>
    <row r="2887">
      <c r="N2887" s="5"/>
    </row>
    <row r="2888">
      <c r="N2888" s="5"/>
    </row>
    <row r="2889">
      <c r="N2889" s="5"/>
    </row>
    <row r="2890">
      <c r="N2890" s="5"/>
    </row>
    <row r="2891">
      <c r="N2891" s="5"/>
    </row>
    <row r="2892">
      <c r="N2892" s="5"/>
    </row>
    <row r="2893">
      <c r="N2893" s="5"/>
    </row>
    <row r="2894">
      <c r="N2894" s="5"/>
    </row>
    <row r="2895">
      <c r="N2895" s="5"/>
    </row>
    <row r="2896">
      <c r="N2896" s="5"/>
    </row>
    <row r="2897">
      <c r="N2897" s="5"/>
    </row>
    <row r="2898">
      <c r="N2898" s="5"/>
    </row>
    <row r="2899">
      <c r="N2899" s="5"/>
    </row>
    <row r="2900">
      <c r="N2900" s="5"/>
    </row>
    <row r="2901">
      <c r="N2901" s="5"/>
    </row>
    <row r="2902">
      <c r="N2902" s="5"/>
    </row>
    <row r="2903">
      <c r="N2903" s="5"/>
    </row>
    <row r="2904">
      <c r="N2904" s="5"/>
    </row>
    <row r="2905">
      <c r="N2905" s="5"/>
    </row>
    <row r="2906">
      <c r="N2906" s="5"/>
    </row>
    <row r="2907">
      <c r="N2907" s="5"/>
    </row>
    <row r="2908">
      <c r="N2908" s="5"/>
    </row>
    <row r="2909">
      <c r="N2909" s="5"/>
    </row>
    <row r="2910">
      <c r="N2910" s="5"/>
    </row>
    <row r="2911">
      <c r="N2911" s="5"/>
    </row>
    <row r="2912">
      <c r="N2912" s="5"/>
    </row>
    <row r="2913">
      <c r="N2913" s="5"/>
    </row>
    <row r="2914">
      <c r="N2914" s="5"/>
    </row>
    <row r="2915">
      <c r="N2915" s="5"/>
    </row>
    <row r="2916">
      <c r="N2916" s="5"/>
    </row>
    <row r="2917">
      <c r="N2917" s="5"/>
    </row>
    <row r="2918">
      <c r="N2918" s="5"/>
    </row>
    <row r="2919">
      <c r="N2919" s="5"/>
    </row>
    <row r="2920">
      <c r="N2920" s="5"/>
    </row>
    <row r="2921">
      <c r="N2921" s="5"/>
    </row>
    <row r="2922">
      <c r="N2922" s="5"/>
    </row>
    <row r="2923">
      <c r="N2923" s="5"/>
    </row>
    <row r="2924">
      <c r="N2924" s="5"/>
    </row>
    <row r="2925">
      <c r="N2925" s="5"/>
    </row>
    <row r="2926">
      <c r="N2926" s="5"/>
    </row>
    <row r="2927">
      <c r="N2927" s="5"/>
    </row>
    <row r="2928">
      <c r="N2928" s="5"/>
    </row>
    <row r="2929">
      <c r="N2929" s="5"/>
    </row>
    <row r="2930">
      <c r="N2930" s="5"/>
    </row>
    <row r="2931">
      <c r="N2931" s="5"/>
    </row>
    <row r="2932">
      <c r="N2932" s="5"/>
    </row>
    <row r="2933">
      <c r="N2933" s="5"/>
    </row>
    <row r="2934">
      <c r="N2934" s="5"/>
    </row>
    <row r="2935">
      <c r="N2935" s="5"/>
    </row>
    <row r="2936">
      <c r="N2936" s="5"/>
    </row>
    <row r="2937">
      <c r="N2937" s="5"/>
    </row>
    <row r="2938">
      <c r="N2938" s="5"/>
    </row>
    <row r="2939">
      <c r="N2939" s="5"/>
    </row>
    <row r="2940">
      <c r="N2940" s="5"/>
    </row>
    <row r="2941">
      <c r="N2941" s="5"/>
    </row>
    <row r="2942">
      <c r="N2942" s="5"/>
    </row>
    <row r="2943">
      <c r="N2943" s="5"/>
    </row>
    <row r="2944">
      <c r="N2944" s="5"/>
    </row>
    <row r="2945">
      <c r="N2945" s="5"/>
    </row>
    <row r="2946">
      <c r="N2946" s="5"/>
    </row>
    <row r="2947">
      <c r="N2947" s="5"/>
    </row>
    <row r="2948">
      <c r="N2948" s="5"/>
    </row>
    <row r="2949">
      <c r="N2949" s="5"/>
    </row>
    <row r="2950">
      <c r="N2950" s="5"/>
    </row>
    <row r="2951">
      <c r="N2951" s="5"/>
    </row>
    <row r="2952">
      <c r="N2952" s="5"/>
    </row>
    <row r="2953">
      <c r="N2953" s="5"/>
    </row>
    <row r="2954">
      <c r="N2954" s="5"/>
    </row>
    <row r="2955">
      <c r="N2955" s="5"/>
    </row>
    <row r="2956">
      <c r="N2956" s="5"/>
    </row>
    <row r="2957">
      <c r="N2957" s="5"/>
    </row>
    <row r="2958">
      <c r="N2958" s="5"/>
    </row>
    <row r="2959">
      <c r="N2959" s="5"/>
    </row>
    <row r="2960">
      <c r="N2960" s="5"/>
    </row>
    <row r="2961">
      <c r="N2961" s="5"/>
    </row>
    <row r="2962">
      <c r="N2962" s="5"/>
    </row>
    <row r="2963">
      <c r="N2963" s="5"/>
    </row>
    <row r="2964">
      <c r="N2964" s="5"/>
    </row>
    <row r="2965">
      <c r="N2965" s="5"/>
    </row>
    <row r="2966">
      <c r="N2966" s="5"/>
    </row>
    <row r="2967">
      <c r="N2967" s="5"/>
    </row>
    <row r="2968">
      <c r="N2968" s="5"/>
    </row>
    <row r="2969">
      <c r="N2969" s="5"/>
    </row>
    <row r="2970">
      <c r="N2970" s="5"/>
    </row>
    <row r="2971">
      <c r="N2971" s="5"/>
    </row>
    <row r="2972">
      <c r="N2972" s="5"/>
    </row>
    <row r="2973">
      <c r="N2973" s="5"/>
    </row>
    <row r="2974">
      <c r="N2974" s="5"/>
    </row>
    <row r="2975">
      <c r="N2975" s="5"/>
    </row>
    <row r="2976">
      <c r="N2976" s="5"/>
    </row>
    <row r="2977">
      <c r="N2977" s="5"/>
    </row>
    <row r="2978">
      <c r="N2978" s="5"/>
    </row>
    <row r="2979">
      <c r="N2979" s="5"/>
    </row>
    <row r="2980">
      <c r="N2980" s="5"/>
    </row>
    <row r="2981">
      <c r="N2981" s="5"/>
    </row>
    <row r="2982">
      <c r="N2982" s="5"/>
    </row>
    <row r="2983">
      <c r="N2983" s="5"/>
    </row>
    <row r="2984">
      <c r="N2984" s="5"/>
    </row>
    <row r="2985">
      <c r="N2985" s="5"/>
    </row>
    <row r="2986">
      <c r="N2986" s="5"/>
    </row>
    <row r="2987">
      <c r="N2987" s="5"/>
    </row>
    <row r="2988">
      <c r="N2988" s="5"/>
    </row>
    <row r="2989">
      <c r="N2989" s="5"/>
    </row>
    <row r="2990">
      <c r="N2990" s="5"/>
    </row>
    <row r="2991">
      <c r="N2991" s="5"/>
    </row>
    <row r="2992">
      <c r="N2992" s="5"/>
    </row>
    <row r="2993">
      <c r="N2993" s="5"/>
    </row>
    <row r="2994">
      <c r="N2994" s="5"/>
    </row>
    <row r="2995">
      <c r="N2995" s="5"/>
    </row>
    <row r="2996">
      <c r="N2996" s="5"/>
    </row>
    <row r="2997">
      <c r="N2997" s="5"/>
    </row>
    <row r="2998">
      <c r="N2998" s="5"/>
    </row>
    <row r="2999">
      <c r="N2999" s="5"/>
    </row>
    <row r="3000">
      <c r="N3000" s="5"/>
    </row>
    <row r="3001">
      <c r="N3001" s="5"/>
    </row>
    <row r="3002">
      <c r="N3002" s="5"/>
    </row>
    <row r="3003">
      <c r="N3003" s="5"/>
    </row>
    <row r="3004">
      <c r="N3004" s="5"/>
    </row>
    <row r="3005">
      <c r="N3005" s="5"/>
    </row>
    <row r="3006">
      <c r="N3006" s="5"/>
    </row>
    <row r="3007">
      <c r="N3007" s="5"/>
    </row>
    <row r="3008">
      <c r="N3008" s="5"/>
    </row>
    <row r="3009">
      <c r="N3009" s="5"/>
    </row>
    <row r="3010">
      <c r="N3010" s="5"/>
    </row>
    <row r="3011">
      <c r="N3011" s="5"/>
    </row>
    <row r="3012">
      <c r="N3012" s="5"/>
    </row>
    <row r="3013">
      <c r="N3013" s="5"/>
    </row>
    <row r="3014">
      <c r="N3014" s="5"/>
    </row>
    <row r="3015">
      <c r="N3015" s="5"/>
    </row>
    <row r="3016">
      <c r="N3016" s="5"/>
    </row>
    <row r="3017">
      <c r="N3017" s="5"/>
    </row>
    <row r="3018">
      <c r="N3018" s="5"/>
    </row>
    <row r="3019">
      <c r="N3019" s="5"/>
    </row>
    <row r="3020">
      <c r="N3020" s="5"/>
    </row>
    <row r="3021">
      <c r="N3021" s="5"/>
    </row>
    <row r="3022">
      <c r="N3022" s="5"/>
    </row>
    <row r="3023">
      <c r="N3023" s="5"/>
    </row>
    <row r="3024">
      <c r="N3024" s="5"/>
    </row>
    <row r="3025">
      <c r="N3025" s="5"/>
    </row>
    <row r="3026">
      <c r="N3026" s="5"/>
    </row>
    <row r="3027">
      <c r="N3027" s="5"/>
    </row>
    <row r="3028">
      <c r="N3028" s="5"/>
    </row>
    <row r="3029">
      <c r="N3029" s="5"/>
    </row>
    <row r="3030">
      <c r="N3030" s="5"/>
    </row>
    <row r="3031">
      <c r="N3031" s="5"/>
    </row>
    <row r="3032">
      <c r="N3032" s="5"/>
    </row>
    <row r="3033">
      <c r="N3033" s="5"/>
    </row>
    <row r="3034">
      <c r="N3034" s="5"/>
    </row>
    <row r="3035">
      <c r="N3035" s="5"/>
    </row>
    <row r="3036">
      <c r="N3036" s="5"/>
    </row>
    <row r="3037">
      <c r="N3037" s="5"/>
    </row>
    <row r="3038">
      <c r="N3038" s="5"/>
    </row>
    <row r="3039">
      <c r="N3039" s="5"/>
    </row>
    <row r="3040">
      <c r="N3040" s="5"/>
    </row>
    <row r="3041">
      <c r="N3041" s="5"/>
    </row>
    <row r="3042">
      <c r="N3042" s="5"/>
    </row>
    <row r="3043">
      <c r="N3043" s="5"/>
    </row>
    <row r="3044">
      <c r="N3044" s="5"/>
    </row>
    <row r="3045">
      <c r="N3045" s="5"/>
    </row>
    <row r="3046">
      <c r="N3046" s="5"/>
    </row>
    <row r="3047">
      <c r="N3047" s="5"/>
    </row>
    <row r="3048">
      <c r="N3048" s="5"/>
    </row>
    <row r="3049">
      <c r="N3049" s="5"/>
    </row>
    <row r="3050">
      <c r="N3050" s="5"/>
    </row>
    <row r="3051">
      <c r="N3051" s="5"/>
    </row>
    <row r="3052">
      <c r="N3052" s="5"/>
    </row>
    <row r="3053">
      <c r="N3053" s="5"/>
    </row>
    <row r="3054">
      <c r="N3054" s="5"/>
    </row>
    <row r="3055">
      <c r="N3055" s="5"/>
    </row>
    <row r="3056">
      <c r="N3056" s="5"/>
    </row>
    <row r="3057">
      <c r="N3057" s="5"/>
    </row>
    <row r="3058">
      <c r="N3058" s="5"/>
    </row>
    <row r="3059">
      <c r="N3059" s="5"/>
    </row>
    <row r="3060">
      <c r="N3060" s="5"/>
    </row>
    <row r="3061">
      <c r="N3061" s="5"/>
    </row>
    <row r="3062">
      <c r="N3062" s="5"/>
    </row>
    <row r="3063">
      <c r="N3063" s="5"/>
    </row>
    <row r="3064">
      <c r="N3064" s="5"/>
    </row>
    <row r="3065">
      <c r="N3065" s="5"/>
    </row>
    <row r="3066">
      <c r="N3066" s="5"/>
    </row>
    <row r="3067">
      <c r="N3067" s="5"/>
    </row>
    <row r="3068">
      <c r="N3068" s="5"/>
    </row>
    <row r="3069">
      <c r="N3069" s="5"/>
    </row>
    <row r="3070">
      <c r="N3070" s="5"/>
    </row>
    <row r="3071">
      <c r="N3071" s="5"/>
    </row>
    <row r="3072">
      <c r="N3072" s="5"/>
    </row>
    <row r="3073">
      <c r="N3073" s="5"/>
    </row>
    <row r="3074">
      <c r="N3074" s="5"/>
    </row>
    <row r="3075">
      <c r="N3075" s="5"/>
    </row>
    <row r="3076">
      <c r="N3076" s="5"/>
    </row>
    <row r="3077">
      <c r="N3077" s="5"/>
    </row>
    <row r="3078">
      <c r="N3078" s="5"/>
    </row>
    <row r="3079">
      <c r="N3079" s="5"/>
    </row>
    <row r="3080">
      <c r="N3080" s="5"/>
    </row>
    <row r="3081">
      <c r="N3081" s="5"/>
    </row>
    <row r="3082">
      <c r="N3082" s="5"/>
    </row>
    <row r="3083">
      <c r="N3083" s="5"/>
    </row>
    <row r="3084">
      <c r="N3084" s="5"/>
    </row>
    <row r="3085">
      <c r="N3085" s="5"/>
    </row>
    <row r="3086">
      <c r="N3086" s="5"/>
    </row>
    <row r="3087">
      <c r="N3087" s="5"/>
    </row>
    <row r="3088">
      <c r="N3088" s="5"/>
    </row>
    <row r="3089">
      <c r="N3089" s="5"/>
    </row>
    <row r="3090">
      <c r="N3090" s="5"/>
    </row>
    <row r="3091">
      <c r="N3091" s="5"/>
    </row>
    <row r="3092">
      <c r="N3092" s="5"/>
    </row>
    <row r="3093">
      <c r="N3093" s="5"/>
    </row>
    <row r="3094">
      <c r="N3094" s="5"/>
    </row>
    <row r="3095">
      <c r="N3095" s="5"/>
    </row>
    <row r="3096">
      <c r="N3096" s="5"/>
    </row>
    <row r="3097">
      <c r="N3097" s="5"/>
    </row>
    <row r="3098">
      <c r="N3098" s="5"/>
    </row>
    <row r="3099">
      <c r="N3099" s="5"/>
    </row>
    <row r="3100">
      <c r="N3100" s="5"/>
    </row>
    <row r="3101">
      <c r="N3101" s="5"/>
    </row>
    <row r="3102">
      <c r="N3102" s="5"/>
    </row>
    <row r="3103">
      <c r="N3103" s="5"/>
    </row>
    <row r="3104">
      <c r="N3104" s="5"/>
    </row>
    <row r="3105">
      <c r="N3105" s="5"/>
    </row>
    <row r="3106">
      <c r="N3106" s="5"/>
    </row>
    <row r="3107">
      <c r="N3107" s="5"/>
    </row>
    <row r="3108">
      <c r="N3108" s="5"/>
    </row>
    <row r="3109">
      <c r="N3109" s="5"/>
    </row>
    <row r="3110">
      <c r="N3110" s="5"/>
    </row>
    <row r="3111">
      <c r="N3111" s="5"/>
    </row>
    <row r="3112">
      <c r="N3112" s="5"/>
    </row>
    <row r="3113">
      <c r="N3113" s="5"/>
    </row>
    <row r="3114">
      <c r="N3114" s="5"/>
    </row>
    <row r="3115">
      <c r="N3115" s="5"/>
    </row>
    <row r="3116">
      <c r="N3116" s="5"/>
    </row>
    <row r="3117">
      <c r="N3117" s="5"/>
    </row>
    <row r="3118">
      <c r="N3118" s="5"/>
    </row>
    <row r="3119">
      <c r="N3119" s="5"/>
    </row>
    <row r="3120">
      <c r="N3120" s="5"/>
    </row>
    <row r="3121">
      <c r="N3121" s="5"/>
    </row>
    <row r="3122">
      <c r="N3122" s="5"/>
    </row>
    <row r="3123">
      <c r="N3123" s="5"/>
    </row>
    <row r="3124">
      <c r="N3124" s="5"/>
    </row>
    <row r="3125">
      <c r="N3125" s="5"/>
    </row>
    <row r="3126">
      <c r="N3126" s="5"/>
    </row>
    <row r="3127">
      <c r="N3127" s="5"/>
    </row>
    <row r="3128">
      <c r="N3128" s="5"/>
    </row>
    <row r="3129">
      <c r="N3129" s="5"/>
    </row>
    <row r="3130">
      <c r="N3130" s="5"/>
    </row>
    <row r="3131">
      <c r="N3131" s="5"/>
    </row>
    <row r="3132">
      <c r="N3132" s="5"/>
    </row>
    <row r="3133">
      <c r="N3133" s="5"/>
    </row>
    <row r="3134">
      <c r="N3134" s="5"/>
    </row>
    <row r="3135">
      <c r="N3135" s="5"/>
    </row>
    <row r="3136">
      <c r="N3136" s="5"/>
    </row>
    <row r="3137">
      <c r="N3137" s="5"/>
    </row>
    <row r="3138">
      <c r="N3138" s="5"/>
    </row>
    <row r="3139">
      <c r="N3139" s="5"/>
    </row>
    <row r="3140">
      <c r="N3140" s="5"/>
    </row>
    <row r="3141">
      <c r="N3141" s="5"/>
    </row>
    <row r="3142">
      <c r="N3142" s="5"/>
    </row>
    <row r="3143">
      <c r="N3143" s="5"/>
    </row>
    <row r="3144">
      <c r="N3144" s="5"/>
    </row>
    <row r="3145">
      <c r="N3145" s="5"/>
    </row>
    <row r="3146">
      <c r="N3146" s="5"/>
    </row>
    <row r="3147">
      <c r="N3147" s="5"/>
    </row>
    <row r="3148">
      <c r="N3148" s="5"/>
    </row>
    <row r="3149">
      <c r="N3149" s="5"/>
    </row>
    <row r="3150">
      <c r="N3150" s="5"/>
    </row>
    <row r="3151">
      <c r="N3151" s="5"/>
    </row>
    <row r="3152">
      <c r="N3152" s="5"/>
    </row>
    <row r="3153">
      <c r="N3153" s="5"/>
    </row>
    <row r="3154">
      <c r="N3154" s="5"/>
    </row>
    <row r="3155">
      <c r="N3155" s="5"/>
    </row>
    <row r="3156">
      <c r="N3156" s="5"/>
    </row>
    <row r="3157">
      <c r="N3157" s="5"/>
    </row>
    <row r="3158">
      <c r="N3158" s="5"/>
    </row>
    <row r="3159">
      <c r="N3159" s="5"/>
    </row>
    <row r="3160">
      <c r="N3160" s="5"/>
    </row>
    <row r="3161">
      <c r="N3161" s="5"/>
    </row>
    <row r="3162">
      <c r="N3162" s="5"/>
    </row>
    <row r="3163">
      <c r="N3163" s="5"/>
    </row>
    <row r="3164">
      <c r="N3164" s="5"/>
    </row>
    <row r="3165">
      <c r="N3165" s="5"/>
    </row>
    <row r="3166">
      <c r="N3166" s="5"/>
    </row>
    <row r="3167">
      <c r="N3167" s="5"/>
    </row>
    <row r="3168">
      <c r="N3168" s="5"/>
    </row>
    <row r="3169">
      <c r="N3169" s="5"/>
    </row>
    <row r="3170">
      <c r="N3170" s="5"/>
    </row>
    <row r="3171">
      <c r="N3171" s="5"/>
    </row>
    <row r="3172">
      <c r="N3172" s="5"/>
    </row>
    <row r="3173">
      <c r="N3173" s="5"/>
    </row>
    <row r="3174">
      <c r="N3174" s="5"/>
    </row>
    <row r="3175">
      <c r="N3175" s="5"/>
    </row>
    <row r="3176">
      <c r="N3176" s="5"/>
    </row>
    <row r="3177">
      <c r="N3177" s="5"/>
    </row>
    <row r="3178">
      <c r="N3178" s="5"/>
    </row>
    <row r="3179">
      <c r="N3179" s="5"/>
    </row>
    <row r="3180">
      <c r="N3180" s="5"/>
    </row>
    <row r="3181">
      <c r="N3181" s="5"/>
    </row>
    <row r="3182">
      <c r="N3182" s="5"/>
    </row>
    <row r="3183">
      <c r="N3183" s="5"/>
    </row>
    <row r="3184">
      <c r="N3184" s="5"/>
    </row>
    <row r="3185">
      <c r="N3185" s="5"/>
    </row>
    <row r="3186">
      <c r="N3186" s="5"/>
    </row>
    <row r="3187">
      <c r="N3187" s="5"/>
    </row>
    <row r="3188">
      <c r="N3188" s="5"/>
    </row>
    <row r="3189">
      <c r="N3189" s="5"/>
    </row>
    <row r="3190">
      <c r="N3190" s="5"/>
    </row>
    <row r="3191">
      <c r="N3191" s="5"/>
    </row>
    <row r="3192">
      <c r="N3192" s="5"/>
    </row>
    <row r="3193">
      <c r="N3193" s="5"/>
    </row>
    <row r="3194">
      <c r="N3194" s="5"/>
    </row>
    <row r="3195">
      <c r="N3195" s="5"/>
    </row>
    <row r="3196">
      <c r="N3196" s="5"/>
    </row>
    <row r="3197">
      <c r="N3197" s="5"/>
    </row>
    <row r="3198">
      <c r="N3198" s="5"/>
    </row>
    <row r="3199">
      <c r="N3199" s="5"/>
    </row>
    <row r="3200">
      <c r="N3200" s="5"/>
    </row>
    <row r="3201">
      <c r="N3201" s="5"/>
    </row>
    <row r="3202">
      <c r="N3202" s="5"/>
    </row>
    <row r="3203">
      <c r="N3203" s="5"/>
    </row>
    <row r="3204">
      <c r="N3204" s="5"/>
    </row>
    <row r="3205">
      <c r="N3205" s="5"/>
    </row>
    <row r="3206">
      <c r="N3206" s="5"/>
    </row>
    <row r="3207">
      <c r="N3207" s="5"/>
    </row>
    <row r="3208">
      <c r="N3208" s="5"/>
    </row>
    <row r="3209">
      <c r="N3209" s="5"/>
    </row>
    <row r="3210">
      <c r="N3210" s="5"/>
    </row>
    <row r="3211">
      <c r="N3211" s="5"/>
    </row>
    <row r="3212">
      <c r="N3212" s="5"/>
    </row>
    <row r="3213">
      <c r="N3213" s="5"/>
    </row>
    <row r="3214">
      <c r="N3214" s="5"/>
    </row>
    <row r="3215">
      <c r="N3215" s="5"/>
    </row>
    <row r="3216">
      <c r="N3216" s="5"/>
    </row>
    <row r="3217">
      <c r="N3217" s="5"/>
    </row>
    <row r="3218">
      <c r="N3218" s="5"/>
    </row>
    <row r="3219">
      <c r="N3219" s="5"/>
    </row>
    <row r="3220">
      <c r="N3220" s="5"/>
    </row>
    <row r="3221">
      <c r="N3221" s="5"/>
    </row>
    <row r="3222">
      <c r="N3222" s="5"/>
    </row>
    <row r="3223">
      <c r="N3223" s="5"/>
    </row>
    <row r="3224">
      <c r="N3224" s="5"/>
    </row>
    <row r="3225">
      <c r="N3225" s="5"/>
    </row>
    <row r="3226">
      <c r="N3226" s="5"/>
    </row>
    <row r="3227">
      <c r="N3227" s="5"/>
    </row>
    <row r="3228">
      <c r="N3228" s="5"/>
    </row>
    <row r="3229">
      <c r="N3229" s="5"/>
    </row>
    <row r="3230">
      <c r="N3230" s="5"/>
    </row>
    <row r="3231">
      <c r="N3231" s="5"/>
    </row>
    <row r="3232">
      <c r="N3232" s="5"/>
    </row>
    <row r="3233">
      <c r="N3233" s="5"/>
    </row>
    <row r="3234">
      <c r="N3234" s="5"/>
    </row>
    <row r="3235">
      <c r="N3235" s="5"/>
    </row>
    <row r="3236">
      <c r="N3236" s="5"/>
    </row>
    <row r="3237">
      <c r="N3237" s="5"/>
    </row>
    <row r="3238">
      <c r="N3238" s="5"/>
    </row>
    <row r="3239">
      <c r="N3239" s="5"/>
    </row>
    <row r="3240">
      <c r="N3240" s="5"/>
    </row>
    <row r="3241">
      <c r="N3241" s="5"/>
    </row>
    <row r="3242">
      <c r="N3242" s="5"/>
    </row>
    <row r="3243">
      <c r="N3243" s="5"/>
    </row>
    <row r="3244">
      <c r="N3244" s="5"/>
    </row>
    <row r="3245">
      <c r="N3245" s="5"/>
    </row>
    <row r="3246">
      <c r="N3246" s="5"/>
    </row>
    <row r="3247">
      <c r="N3247" s="5"/>
    </row>
    <row r="3248">
      <c r="N3248" s="5"/>
    </row>
    <row r="3249">
      <c r="N3249" s="5"/>
    </row>
    <row r="3250">
      <c r="N3250" s="5"/>
    </row>
    <row r="3251">
      <c r="N3251" s="5"/>
    </row>
    <row r="3252">
      <c r="N3252" s="5"/>
    </row>
    <row r="3253">
      <c r="N3253" s="5"/>
    </row>
    <row r="3254">
      <c r="N3254" s="5"/>
    </row>
    <row r="3255">
      <c r="N3255" s="5"/>
    </row>
    <row r="3256">
      <c r="N3256" s="5"/>
    </row>
    <row r="3257">
      <c r="N3257" s="5"/>
    </row>
    <row r="3258">
      <c r="N3258" s="5"/>
    </row>
    <row r="3259">
      <c r="N3259" s="5"/>
    </row>
    <row r="3260">
      <c r="N3260" s="5"/>
    </row>
    <row r="3261">
      <c r="N3261" s="5"/>
    </row>
    <row r="3262">
      <c r="N3262" s="5"/>
    </row>
    <row r="3263">
      <c r="N3263" s="5"/>
    </row>
    <row r="3264">
      <c r="N3264" s="5"/>
    </row>
    <row r="3265">
      <c r="N3265" s="5"/>
    </row>
    <row r="3266">
      <c r="N3266" s="5"/>
    </row>
    <row r="3267">
      <c r="N3267" s="5"/>
    </row>
    <row r="3268">
      <c r="N3268" s="5"/>
    </row>
    <row r="3269">
      <c r="N3269" s="5"/>
    </row>
    <row r="3270">
      <c r="N3270" s="5"/>
    </row>
    <row r="3271">
      <c r="N3271" s="5"/>
    </row>
    <row r="3272">
      <c r="N3272" s="5"/>
    </row>
    <row r="3273">
      <c r="N3273" s="5"/>
    </row>
    <row r="3274">
      <c r="N3274" s="5"/>
    </row>
    <row r="3275">
      <c r="N3275" s="5"/>
    </row>
    <row r="3276">
      <c r="N3276" s="5"/>
    </row>
    <row r="3277">
      <c r="N3277" s="5"/>
    </row>
    <row r="3278">
      <c r="N3278" s="5"/>
    </row>
    <row r="3279">
      <c r="N3279" s="5"/>
    </row>
    <row r="3280">
      <c r="N3280" s="5"/>
    </row>
    <row r="3281">
      <c r="N3281" s="5"/>
    </row>
    <row r="3282">
      <c r="N3282" s="5"/>
    </row>
    <row r="3283">
      <c r="N3283" s="5"/>
    </row>
    <row r="3284">
      <c r="N3284" s="5"/>
    </row>
    <row r="3285">
      <c r="N3285" s="5"/>
    </row>
    <row r="3286">
      <c r="N3286" s="5"/>
    </row>
    <row r="3287">
      <c r="N3287" s="5"/>
    </row>
    <row r="3288">
      <c r="N3288" s="5"/>
    </row>
    <row r="3289">
      <c r="N3289" s="5"/>
    </row>
    <row r="3290">
      <c r="N3290" s="5"/>
    </row>
    <row r="3291">
      <c r="N3291" s="5"/>
    </row>
    <row r="3292">
      <c r="N3292" s="5"/>
    </row>
    <row r="3293">
      <c r="N3293" s="5"/>
    </row>
    <row r="3294">
      <c r="N3294" s="5"/>
    </row>
    <row r="3295">
      <c r="N3295" s="5"/>
    </row>
    <row r="3296">
      <c r="N3296" s="5"/>
    </row>
    <row r="3297">
      <c r="N3297" s="5"/>
    </row>
    <row r="3298">
      <c r="N3298" s="5"/>
    </row>
    <row r="3299">
      <c r="N3299" s="5"/>
    </row>
    <row r="3300">
      <c r="N3300" s="5"/>
    </row>
    <row r="3301">
      <c r="N3301" s="5"/>
    </row>
    <row r="3302">
      <c r="N3302" s="5"/>
    </row>
    <row r="3303">
      <c r="N3303" s="5"/>
    </row>
    <row r="3304">
      <c r="N3304" s="5"/>
    </row>
    <row r="3305">
      <c r="N3305" s="5"/>
    </row>
    <row r="3306">
      <c r="N3306" s="5"/>
    </row>
    <row r="3307">
      <c r="N3307" s="5"/>
    </row>
    <row r="3308">
      <c r="N3308" s="5"/>
    </row>
    <row r="3309">
      <c r="N3309" s="5"/>
    </row>
    <row r="3310">
      <c r="N3310" s="5"/>
    </row>
    <row r="3311">
      <c r="N3311" s="5"/>
    </row>
    <row r="3312">
      <c r="N3312" s="5"/>
    </row>
    <row r="3313">
      <c r="N3313" s="5"/>
    </row>
    <row r="3314">
      <c r="N3314" s="5"/>
    </row>
    <row r="3315">
      <c r="N3315" s="5"/>
    </row>
    <row r="3316">
      <c r="N3316" s="5"/>
    </row>
    <row r="3317">
      <c r="N3317" s="5"/>
    </row>
    <row r="3318">
      <c r="N3318" s="5"/>
    </row>
    <row r="3319">
      <c r="N3319" s="5"/>
    </row>
    <row r="3320">
      <c r="N3320" s="5"/>
    </row>
    <row r="3321">
      <c r="N3321" s="5"/>
    </row>
    <row r="3322">
      <c r="N3322" s="5"/>
    </row>
    <row r="3323">
      <c r="N3323" s="5"/>
    </row>
    <row r="3324">
      <c r="N3324" s="5"/>
    </row>
    <row r="3325">
      <c r="N3325" s="5"/>
    </row>
    <row r="3326">
      <c r="N3326" s="5"/>
    </row>
    <row r="3327">
      <c r="N3327" s="5"/>
    </row>
    <row r="3328">
      <c r="N3328" s="5"/>
    </row>
    <row r="3329">
      <c r="N3329" s="5"/>
    </row>
    <row r="3330">
      <c r="N3330" s="5"/>
    </row>
    <row r="3331">
      <c r="N3331" s="5"/>
    </row>
    <row r="3332">
      <c r="N3332" s="5"/>
    </row>
    <row r="3333">
      <c r="N3333" s="5"/>
    </row>
    <row r="3334">
      <c r="N3334" s="5"/>
    </row>
    <row r="3335">
      <c r="N3335" s="5"/>
    </row>
    <row r="3336">
      <c r="N3336" s="5"/>
    </row>
    <row r="3337">
      <c r="N3337" s="5"/>
    </row>
    <row r="3338">
      <c r="N3338" s="5"/>
    </row>
    <row r="3339">
      <c r="N3339" s="5"/>
    </row>
    <row r="3340">
      <c r="N3340" s="5"/>
    </row>
    <row r="3341">
      <c r="N3341" s="5"/>
    </row>
    <row r="3342">
      <c r="N3342" s="5"/>
    </row>
    <row r="3343">
      <c r="N3343" s="5"/>
    </row>
    <row r="3344">
      <c r="N3344" s="5"/>
    </row>
    <row r="3345">
      <c r="N3345" s="5"/>
    </row>
    <row r="3346">
      <c r="N3346" s="5"/>
    </row>
    <row r="3347">
      <c r="N3347" s="5"/>
    </row>
    <row r="3348">
      <c r="N3348" s="5"/>
    </row>
    <row r="3349">
      <c r="N3349" s="5"/>
    </row>
    <row r="3350">
      <c r="N3350" s="5"/>
    </row>
    <row r="3351">
      <c r="N3351" s="5"/>
    </row>
    <row r="3352">
      <c r="N3352" s="5"/>
    </row>
    <row r="3353">
      <c r="N3353" s="5"/>
    </row>
    <row r="3354">
      <c r="N3354" s="5"/>
    </row>
    <row r="3355">
      <c r="N3355" s="5"/>
    </row>
    <row r="3356">
      <c r="N3356" s="5"/>
    </row>
    <row r="3357">
      <c r="N3357" s="5"/>
    </row>
    <row r="3358">
      <c r="N3358" s="5"/>
    </row>
    <row r="3359">
      <c r="N3359" s="5"/>
    </row>
    <row r="3360">
      <c r="N3360" s="5"/>
    </row>
    <row r="3361">
      <c r="N3361" s="5"/>
    </row>
    <row r="3362">
      <c r="N3362" s="5"/>
    </row>
    <row r="3363">
      <c r="N3363" s="5"/>
    </row>
    <row r="3364">
      <c r="N3364" s="5"/>
    </row>
    <row r="3365">
      <c r="N3365" s="5"/>
    </row>
    <row r="3366">
      <c r="N3366" s="5"/>
    </row>
    <row r="3367">
      <c r="N3367" s="5"/>
    </row>
    <row r="3368">
      <c r="N3368" s="5"/>
    </row>
    <row r="3369">
      <c r="N3369" s="5"/>
    </row>
    <row r="3370">
      <c r="N3370" s="5"/>
    </row>
    <row r="3371">
      <c r="N3371" s="5"/>
    </row>
    <row r="3372">
      <c r="N3372" s="5"/>
    </row>
    <row r="3373">
      <c r="N3373" s="5"/>
    </row>
    <row r="3374">
      <c r="N3374" s="5"/>
    </row>
    <row r="3375">
      <c r="N3375" s="5"/>
    </row>
    <row r="3376">
      <c r="N3376" s="5"/>
    </row>
    <row r="3377">
      <c r="N3377" s="5"/>
    </row>
    <row r="3378">
      <c r="N3378" s="5"/>
    </row>
    <row r="3379">
      <c r="N3379" s="5"/>
    </row>
    <row r="3380">
      <c r="N3380" s="5"/>
    </row>
    <row r="3381">
      <c r="N3381" s="5"/>
    </row>
    <row r="3382">
      <c r="N3382" s="5"/>
    </row>
    <row r="3383">
      <c r="N3383" s="5"/>
    </row>
    <row r="3384">
      <c r="N3384" s="5"/>
    </row>
    <row r="3385">
      <c r="N3385" s="5"/>
    </row>
    <row r="3386">
      <c r="N3386" s="5"/>
    </row>
    <row r="3387">
      <c r="N3387" s="5"/>
    </row>
    <row r="3388">
      <c r="N3388" s="5"/>
    </row>
    <row r="3389">
      <c r="N3389" s="5"/>
    </row>
    <row r="3390">
      <c r="N3390" s="5"/>
    </row>
    <row r="3391">
      <c r="N3391" s="5"/>
    </row>
    <row r="3392">
      <c r="N3392" s="5"/>
    </row>
    <row r="3393">
      <c r="N3393" s="5"/>
    </row>
    <row r="3394">
      <c r="N3394" s="5"/>
    </row>
    <row r="3395">
      <c r="N3395" s="5"/>
    </row>
    <row r="3396">
      <c r="N3396" s="5"/>
    </row>
    <row r="3397">
      <c r="N3397" s="5"/>
    </row>
    <row r="3398">
      <c r="N3398" s="5"/>
    </row>
    <row r="3399">
      <c r="N3399" s="5"/>
    </row>
    <row r="3400">
      <c r="N3400" s="5"/>
    </row>
    <row r="3401">
      <c r="N3401" s="5"/>
    </row>
    <row r="3402">
      <c r="N3402" s="5"/>
    </row>
    <row r="3403">
      <c r="N3403" s="5"/>
    </row>
    <row r="3404">
      <c r="N3404" s="5"/>
    </row>
    <row r="3405">
      <c r="N3405" s="5"/>
    </row>
    <row r="3406">
      <c r="N3406" s="5"/>
    </row>
    <row r="3407">
      <c r="N3407" s="5"/>
    </row>
    <row r="3408">
      <c r="N3408" s="5"/>
    </row>
    <row r="3409">
      <c r="N3409" s="5"/>
    </row>
    <row r="3410">
      <c r="N3410" s="5"/>
    </row>
    <row r="3411">
      <c r="N3411" s="5"/>
    </row>
    <row r="3412">
      <c r="N3412" s="5"/>
    </row>
    <row r="3413">
      <c r="N3413" s="5"/>
    </row>
    <row r="3414">
      <c r="N3414" s="5"/>
    </row>
    <row r="3415">
      <c r="N3415" s="5"/>
    </row>
    <row r="3416">
      <c r="N3416" s="5"/>
    </row>
    <row r="3417">
      <c r="N3417" s="5"/>
    </row>
    <row r="3418">
      <c r="N3418" s="5"/>
    </row>
    <row r="3419">
      <c r="N3419" s="5"/>
    </row>
    <row r="3420">
      <c r="N3420" s="5"/>
    </row>
    <row r="3421">
      <c r="N3421" s="5"/>
    </row>
    <row r="3422">
      <c r="N3422" s="5"/>
    </row>
    <row r="3423">
      <c r="N3423" s="5"/>
    </row>
    <row r="3424">
      <c r="N3424" s="5"/>
    </row>
    <row r="3425">
      <c r="N3425" s="5"/>
    </row>
    <row r="3426">
      <c r="N3426" s="5"/>
    </row>
    <row r="3427">
      <c r="N3427" s="5"/>
    </row>
    <row r="3428">
      <c r="N3428" s="5"/>
    </row>
    <row r="3429">
      <c r="N3429" s="5"/>
    </row>
    <row r="3430">
      <c r="N3430" s="5"/>
    </row>
    <row r="3431">
      <c r="N3431" s="5"/>
    </row>
    <row r="3432">
      <c r="N3432" s="5"/>
    </row>
    <row r="3433">
      <c r="N3433" s="5"/>
    </row>
    <row r="3434">
      <c r="N3434" s="5"/>
    </row>
    <row r="3435">
      <c r="N3435" s="5"/>
    </row>
    <row r="3436">
      <c r="N3436" s="5"/>
    </row>
    <row r="3437">
      <c r="N3437" s="5"/>
    </row>
    <row r="3438">
      <c r="N3438" s="5"/>
    </row>
    <row r="3439">
      <c r="N3439" s="5"/>
    </row>
    <row r="3440">
      <c r="N3440" s="5"/>
    </row>
    <row r="3441">
      <c r="N3441" s="5"/>
    </row>
    <row r="3442">
      <c r="N3442" s="5"/>
    </row>
    <row r="3443">
      <c r="N3443" s="5"/>
    </row>
    <row r="3444">
      <c r="N3444" s="5"/>
    </row>
    <row r="3445">
      <c r="N3445" s="5"/>
    </row>
    <row r="3446">
      <c r="N3446" s="5"/>
    </row>
    <row r="3447">
      <c r="N3447" s="5"/>
    </row>
    <row r="3448">
      <c r="N3448" s="5"/>
    </row>
    <row r="3449">
      <c r="N3449" s="5"/>
    </row>
    <row r="3450">
      <c r="N3450" s="5"/>
    </row>
    <row r="3451">
      <c r="N3451" s="5"/>
    </row>
    <row r="3452">
      <c r="N3452" s="5"/>
    </row>
    <row r="3453">
      <c r="N3453" s="5"/>
    </row>
    <row r="3454">
      <c r="N3454" s="5"/>
    </row>
    <row r="3455">
      <c r="N3455" s="5"/>
    </row>
    <row r="3456">
      <c r="N3456" s="5"/>
    </row>
    <row r="3457">
      <c r="N3457" s="5"/>
    </row>
    <row r="3458">
      <c r="N3458" s="5"/>
    </row>
    <row r="3459">
      <c r="N3459" s="5"/>
    </row>
    <row r="3460">
      <c r="N3460" s="5"/>
    </row>
    <row r="3461">
      <c r="N3461" s="5"/>
    </row>
    <row r="3462">
      <c r="N3462" s="5"/>
    </row>
    <row r="3463">
      <c r="N3463" s="5"/>
    </row>
    <row r="3464">
      <c r="N3464" s="5"/>
    </row>
    <row r="3465">
      <c r="N3465" s="5"/>
    </row>
    <row r="3466">
      <c r="N3466" s="5"/>
    </row>
    <row r="3467">
      <c r="N3467" s="5"/>
    </row>
    <row r="3468">
      <c r="N3468" s="5"/>
    </row>
    <row r="3469">
      <c r="N3469" s="5"/>
    </row>
    <row r="3470">
      <c r="N3470" s="5"/>
    </row>
    <row r="3471">
      <c r="N3471" s="5"/>
    </row>
    <row r="3472">
      <c r="N3472" s="5"/>
    </row>
    <row r="3473">
      <c r="N3473" s="5"/>
    </row>
    <row r="3474">
      <c r="N3474" s="5"/>
    </row>
    <row r="3475">
      <c r="N3475" s="5"/>
    </row>
    <row r="3476">
      <c r="N3476" s="5"/>
    </row>
    <row r="3477">
      <c r="N3477" s="5"/>
    </row>
    <row r="3478">
      <c r="N3478" s="5"/>
    </row>
    <row r="3479">
      <c r="N3479" s="5"/>
    </row>
    <row r="3480">
      <c r="N3480" s="5"/>
    </row>
    <row r="3481">
      <c r="N3481" s="5"/>
    </row>
    <row r="3482">
      <c r="N3482" s="5"/>
    </row>
    <row r="3483">
      <c r="N3483" s="5"/>
    </row>
    <row r="3484">
      <c r="N3484" s="5"/>
    </row>
    <row r="3485">
      <c r="N3485" s="5"/>
    </row>
    <row r="3486">
      <c r="N3486" s="5"/>
    </row>
    <row r="3487">
      <c r="N3487" s="5"/>
    </row>
    <row r="3488">
      <c r="N3488" s="5"/>
    </row>
    <row r="3489">
      <c r="N3489" s="5"/>
    </row>
    <row r="3490">
      <c r="N3490" s="5"/>
    </row>
    <row r="3491">
      <c r="N3491" s="5"/>
    </row>
    <row r="3492">
      <c r="N3492" s="5"/>
    </row>
    <row r="3493">
      <c r="N3493" s="5"/>
    </row>
    <row r="3494">
      <c r="N3494" s="5"/>
    </row>
    <row r="3495">
      <c r="N3495" s="5"/>
    </row>
    <row r="3496">
      <c r="N3496" s="5"/>
    </row>
    <row r="3497">
      <c r="N3497" s="5"/>
    </row>
    <row r="3498">
      <c r="N3498" s="5"/>
    </row>
    <row r="3499">
      <c r="N3499" s="5"/>
    </row>
    <row r="3500">
      <c r="N3500" s="5"/>
    </row>
    <row r="3501">
      <c r="N3501" s="5"/>
    </row>
    <row r="3502">
      <c r="N3502" s="5"/>
    </row>
    <row r="3503">
      <c r="N3503" s="5"/>
    </row>
    <row r="3504">
      <c r="N3504" s="5"/>
    </row>
    <row r="3505">
      <c r="N3505" s="5"/>
    </row>
    <row r="3506">
      <c r="N3506" s="5"/>
    </row>
    <row r="3507">
      <c r="N3507" s="5"/>
    </row>
    <row r="3508">
      <c r="N3508" s="5"/>
    </row>
    <row r="3509">
      <c r="N3509" s="5"/>
    </row>
    <row r="3510">
      <c r="N3510" s="5"/>
    </row>
    <row r="3511">
      <c r="N3511" s="5"/>
    </row>
    <row r="3512">
      <c r="N3512" s="5"/>
    </row>
    <row r="3513">
      <c r="N3513" s="5"/>
    </row>
    <row r="3514">
      <c r="N3514" s="5"/>
    </row>
    <row r="3515">
      <c r="N3515" s="5"/>
    </row>
    <row r="3516">
      <c r="N3516" s="5"/>
    </row>
    <row r="3517">
      <c r="N3517" s="5"/>
    </row>
    <row r="3518">
      <c r="N3518" s="5"/>
    </row>
    <row r="3519">
      <c r="N3519" s="5"/>
    </row>
    <row r="3520">
      <c r="N3520" s="5"/>
    </row>
    <row r="3521">
      <c r="N3521" s="5"/>
    </row>
    <row r="3522">
      <c r="N3522" s="5"/>
    </row>
    <row r="3523">
      <c r="N3523" s="5"/>
    </row>
    <row r="3524">
      <c r="N3524" s="5"/>
    </row>
    <row r="3525">
      <c r="N3525" s="5"/>
    </row>
    <row r="3526">
      <c r="N3526" s="5"/>
    </row>
    <row r="3527">
      <c r="N3527" s="5"/>
    </row>
    <row r="3528">
      <c r="N3528" s="5"/>
    </row>
    <row r="3529">
      <c r="N3529" s="5"/>
    </row>
    <row r="3530">
      <c r="N3530" s="5"/>
    </row>
    <row r="3531">
      <c r="N3531" s="5"/>
    </row>
    <row r="3532">
      <c r="N3532" s="5"/>
    </row>
    <row r="3533">
      <c r="N3533" s="5"/>
    </row>
    <row r="3534">
      <c r="N3534" s="5"/>
    </row>
    <row r="3535">
      <c r="N3535" s="5"/>
    </row>
    <row r="3536">
      <c r="N3536" s="5"/>
    </row>
    <row r="3537">
      <c r="N3537" s="5"/>
    </row>
    <row r="3538">
      <c r="N3538" s="5"/>
    </row>
    <row r="3539">
      <c r="N3539" s="5"/>
    </row>
    <row r="3540">
      <c r="N3540" s="5"/>
    </row>
    <row r="3541">
      <c r="N3541" s="5"/>
    </row>
    <row r="3542">
      <c r="N3542" s="5"/>
    </row>
    <row r="3543">
      <c r="N3543" s="5"/>
    </row>
    <row r="3544">
      <c r="N3544" s="5"/>
    </row>
    <row r="3545">
      <c r="N3545" s="5"/>
    </row>
    <row r="3546">
      <c r="N3546" s="5"/>
    </row>
    <row r="3547">
      <c r="N3547" s="5"/>
    </row>
    <row r="3548">
      <c r="N3548" s="5"/>
    </row>
    <row r="3549">
      <c r="N3549" s="5"/>
    </row>
    <row r="3550">
      <c r="N3550" s="5"/>
    </row>
    <row r="3551">
      <c r="N3551" s="5"/>
    </row>
    <row r="3552">
      <c r="N3552" s="5"/>
    </row>
    <row r="3553">
      <c r="N3553" s="5"/>
    </row>
    <row r="3554">
      <c r="N3554" s="5"/>
    </row>
    <row r="3555">
      <c r="N3555" s="5"/>
    </row>
    <row r="3556">
      <c r="N3556" s="5"/>
    </row>
    <row r="3557">
      <c r="N3557" s="5"/>
    </row>
    <row r="3558">
      <c r="N3558" s="5"/>
    </row>
    <row r="3559">
      <c r="N3559" s="5"/>
    </row>
    <row r="3560">
      <c r="N3560" s="5"/>
    </row>
    <row r="3561">
      <c r="N3561" s="5"/>
    </row>
    <row r="3562">
      <c r="N3562" s="5"/>
    </row>
    <row r="3563">
      <c r="N3563" s="5"/>
    </row>
    <row r="3564">
      <c r="N3564" s="5"/>
    </row>
    <row r="3565">
      <c r="N3565" s="5"/>
    </row>
    <row r="3566">
      <c r="N3566" s="5"/>
    </row>
    <row r="3567">
      <c r="N3567" s="5"/>
    </row>
    <row r="3568">
      <c r="N3568" s="5"/>
    </row>
    <row r="3569">
      <c r="N3569" s="5"/>
    </row>
    <row r="3570">
      <c r="N3570" s="5"/>
    </row>
    <row r="3571">
      <c r="N3571" s="5"/>
    </row>
    <row r="3572">
      <c r="N3572" s="5"/>
    </row>
    <row r="3573">
      <c r="N3573" s="5"/>
    </row>
    <row r="3574">
      <c r="N3574" s="5"/>
    </row>
    <row r="3575">
      <c r="N3575" s="5"/>
    </row>
    <row r="3576">
      <c r="N3576" s="5"/>
    </row>
    <row r="3577">
      <c r="N3577" s="5"/>
    </row>
    <row r="3578">
      <c r="N3578" s="5"/>
    </row>
    <row r="3579">
      <c r="N3579" s="5"/>
    </row>
    <row r="3580">
      <c r="N3580" s="5"/>
    </row>
    <row r="3581">
      <c r="N3581" s="5"/>
    </row>
    <row r="3582">
      <c r="N3582" s="5"/>
    </row>
    <row r="3583">
      <c r="N3583" s="5"/>
    </row>
    <row r="3584">
      <c r="N3584" s="5"/>
    </row>
    <row r="3585">
      <c r="N3585" s="5"/>
    </row>
    <row r="3586">
      <c r="N3586" s="5"/>
    </row>
    <row r="3587">
      <c r="N3587" s="5"/>
    </row>
    <row r="3588">
      <c r="N3588" s="5"/>
    </row>
    <row r="3589">
      <c r="N3589" s="5"/>
    </row>
    <row r="3590">
      <c r="N3590" s="5"/>
    </row>
    <row r="3591">
      <c r="N3591" s="5"/>
    </row>
    <row r="3592">
      <c r="N3592" s="5"/>
    </row>
    <row r="3593">
      <c r="N3593" s="5"/>
    </row>
    <row r="3594">
      <c r="N3594" s="5"/>
    </row>
    <row r="3595">
      <c r="N3595" s="5"/>
    </row>
    <row r="3596">
      <c r="N3596" s="5"/>
    </row>
    <row r="3597">
      <c r="N3597" s="5"/>
    </row>
    <row r="3598">
      <c r="N3598" s="5"/>
    </row>
    <row r="3599">
      <c r="N3599" s="5"/>
    </row>
    <row r="3600">
      <c r="N3600" s="5"/>
    </row>
    <row r="3601">
      <c r="N3601" s="5"/>
    </row>
    <row r="3602">
      <c r="N3602" s="5"/>
    </row>
    <row r="3603">
      <c r="N3603" s="5"/>
    </row>
    <row r="3604">
      <c r="N3604" s="5"/>
    </row>
    <row r="3605">
      <c r="N3605" s="5"/>
    </row>
    <row r="3606">
      <c r="N3606" s="5"/>
    </row>
    <row r="3607">
      <c r="N3607" s="5"/>
    </row>
    <row r="3608">
      <c r="N3608" s="5"/>
    </row>
    <row r="3609">
      <c r="N3609" s="5"/>
    </row>
    <row r="3610">
      <c r="N3610" s="5"/>
    </row>
    <row r="3611">
      <c r="N3611" s="5"/>
    </row>
    <row r="3612">
      <c r="N3612" s="5"/>
    </row>
    <row r="3613">
      <c r="N3613" s="5"/>
    </row>
    <row r="3614">
      <c r="N3614" s="5"/>
    </row>
    <row r="3615">
      <c r="N3615" s="5"/>
    </row>
    <row r="3616">
      <c r="N3616" s="5"/>
    </row>
    <row r="3617">
      <c r="N3617" s="5"/>
    </row>
    <row r="3618">
      <c r="N3618" s="5"/>
    </row>
    <row r="3619">
      <c r="N3619" s="5"/>
    </row>
    <row r="3620">
      <c r="N3620" s="5"/>
    </row>
    <row r="3621">
      <c r="N3621" s="5"/>
    </row>
    <row r="3622">
      <c r="N3622" s="5"/>
    </row>
    <row r="3623">
      <c r="N3623" s="5"/>
    </row>
    <row r="3624">
      <c r="N3624" s="5"/>
    </row>
    <row r="3625">
      <c r="N3625" s="5"/>
    </row>
    <row r="3626">
      <c r="N3626" s="5"/>
    </row>
    <row r="3627">
      <c r="N3627" s="5"/>
    </row>
    <row r="3628">
      <c r="N3628" s="5"/>
    </row>
    <row r="3629">
      <c r="N3629" s="5"/>
    </row>
    <row r="3630">
      <c r="N3630" s="5"/>
    </row>
    <row r="3631">
      <c r="N3631" s="5"/>
    </row>
    <row r="3632">
      <c r="N3632" s="5"/>
    </row>
    <row r="3633">
      <c r="N3633" s="5"/>
    </row>
    <row r="3634">
      <c r="N3634" s="5"/>
    </row>
    <row r="3635">
      <c r="N3635" s="5"/>
    </row>
    <row r="3636">
      <c r="N3636" s="5"/>
    </row>
    <row r="3637">
      <c r="N3637" s="5"/>
    </row>
    <row r="3638">
      <c r="N3638" s="5"/>
    </row>
    <row r="3639">
      <c r="N3639" s="5"/>
    </row>
    <row r="3640">
      <c r="N3640" s="5"/>
    </row>
    <row r="3641">
      <c r="N3641" s="5"/>
    </row>
    <row r="3642">
      <c r="N3642" s="5"/>
    </row>
    <row r="3643">
      <c r="N3643" s="5"/>
    </row>
    <row r="3644">
      <c r="N3644" s="5"/>
    </row>
    <row r="3645">
      <c r="N3645" s="5"/>
    </row>
    <row r="3646">
      <c r="N3646" s="5"/>
    </row>
    <row r="3647">
      <c r="N3647" s="5"/>
    </row>
    <row r="3648">
      <c r="N3648" s="5"/>
    </row>
    <row r="3649">
      <c r="N3649" s="5"/>
    </row>
    <row r="3650">
      <c r="N3650" s="5"/>
    </row>
    <row r="3651">
      <c r="N3651" s="5"/>
    </row>
    <row r="3652">
      <c r="N3652" s="5"/>
    </row>
    <row r="3653">
      <c r="N3653" s="5"/>
    </row>
    <row r="3654">
      <c r="N3654" s="5"/>
    </row>
    <row r="3655">
      <c r="N3655" s="5"/>
    </row>
    <row r="3656">
      <c r="N3656" s="5"/>
    </row>
    <row r="3657">
      <c r="N3657" s="5"/>
    </row>
    <row r="3658">
      <c r="N3658" s="5"/>
    </row>
    <row r="3659">
      <c r="N3659" s="5"/>
    </row>
    <row r="3660">
      <c r="N3660" s="5"/>
    </row>
    <row r="3661">
      <c r="N3661" s="5"/>
    </row>
    <row r="3662">
      <c r="N3662" s="5"/>
    </row>
    <row r="3663">
      <c r="N3663" s="5"/>
    </row>
    <row r="3664">
      <c r="N3664" s="5"/>
    </row>
    <row r="3665">
      <c r="N3665" s="5"/>
    </row>
    <row r="3666">
      <c r="N3666" s="5"/>
    </row>
    <row r="3667">
      <c r="N3667" s="5"/>
    </row>
    <row r="3668">
      <c r="N3668" s="5"/>
    </row>
    <row r="3669">
      <c r="N3669" s="5"/>
    </row>
    <row r="3670">
      <c r="N3670" s="5"/>
    </row>
    <row r="3671">
      <c r="N3671" s="5"/>
    </row>
    <row r="3672">
      <c r="N3672" s="5"/>
    </row>
    <row r="3673">
      <c r="N3673" s="5"/>
    </row>
    <row r="3674">
      <c r="N3674" s="5"/>
    </row>
    <row r="3675">
      <c r="N3675" s="5"/>
    </row>
    <row r="3676">
      <c r="N3676" s="5"/>
    </row>
    <row r="3677">
      <c r="N3677" s="5"/>
    </row>
    <row r="3678">
      <c r="N3678" s="5"/>
    </row>
    <row r="3679">
      <c r="N3679" s="5"/>
    </row>
    <row r="3680">
      <c r="N3680" s="5"/>
    </row>
    <row r="3681">
      <c r="N3681" s="5"/>
    </row>
    <row r="3682">
      <c r="N3682" s="5"/>
    </row>
    <row r="3683">
      <c r="N3683" s="5"/>
    </row>
    <row r="3684">
      <c r="N3684" s="5"/>
    </row>
    <row r="3685">
      <c r="N3685" s="5"/>
    </row>
    <row r="3686">
      <c r="N3686" s="5"/>
    </row>
    <row r="3687">
      <c r="N3687" s="5"/>
    </row>
    <row r="3688">
      <c r="N3688" s="5"/>
    </row>
    <row r="3689">
      <c r="N3689" s="5"/>
    </row>
    <row r="3690">
      <c r="N3690" s="5"/>
    </row>
    <row r="3691">
      <c r="N3691" s="5"/>
    </row>
    <row r="3692">
      <c r="N3692" s="5"/>
    </row>
    <row r="3693">
      <c r="N3693" s="5"/>
    </row>
    <row r="3694">
      <c r="N3694" s="5"/>
    </row>
    <row r="3695">
      <c r="N3695" s="5"/>
    </row>
    <row r="3696">
      <c r="N3696" s="5"/>
    </row>
    <row r="3697">
      <c r="N3697" s="5"/>
    </row>
    <row r="3698">
      <c r="N3698" s="5"/>
    </row>
    <row r="3699">
      <c r="N3699" s="5"/>
    </row>
    <row r="3700">
      <c r="N3700" s="5"/>
    </row>
    <row r="3701">
      <c r="N3701" s="5"/>
    </row>
    <row r="3702">
      <c r="N3702" s="5"/>
    </row>
    <row r="3703">
      <c r="N3703" s="5"/>
    </row>
    <row r="3704">
      <c r="N3704" s="5"/>
    </row>
    <row r="3705">
      <c r="N3705" s="5"/>
    </row>
    <row r="3706">
      <c r="N3706" s="5"/>
    </row>
    <row r="3707">
      <c r="N3707" s="5"/>
    </row>
    <row r="3708">
      <c r="N3708" s="5"/>
    </row>
    <row r="3709">
      <c r="N3709" s="5"/>
    </row>
    <row r="3710">
      <c r="N3710" s="5"/>
    </row>
    <row r="3711">
      <c r="N3711" s="5"/>
    </row>
    <row r="3712">
      <c r="N3712" s="5"/>
    </row>
    <row r="3713">
      <c r="N3713" s="5"/>
    </row>
    <row r="3714">
      <c r="N3714" s="5"/>
    </row>
    <row r="3715">
      <c r="N3715" s="5"/>
    </row>
    <row r="3716">
      <c r="N3716" s="5"/>
    </row>
    <row r="3717">
      <c r="N3717" s="5"/>
    </row>
    <row r="3718">
      <c r="N3718" s="5"/>
    </row>
    <row r="3719">
      <c r="N3719" s="5"/>
    </row>
    <row r="3720">
      <c r="N3720" s="5"/>
    </row>
    <row r="3721">
      <c r="N3721" s="5"/>
    </row>
    <row r="3722">
      <c r="N3722" s="5"/>
    </row>
    <row r="3723">
      <c r="N3723" s="5"/>
    </row>
    <row r="3724">
      <c r="N3724" s="5"/>
    </row>
    <row r="3725">
      <c r="N3725" s="5"/>
    </row>
    <row r="3726">
      <c r="N3726" s="5"/>
    </row>
    <row r="3727">
      <c r="N3727" s="5"/>
    </row>
    <row r="3728">
      <c r="N3728" s="5"/>
    </row>
    <row r="3729">
      <c r="N3729" s="5"/>
    </row>
    <row r="3730">
      <c r="N3730" s="5"/>
    </row>
    <row r="3731">
      <c r="N3731" s="5"/>
    </row>
    <row r="3732">
      <c r="N3732" s="5"/>
    </row>
    <row r="3733">
      <c r="N3733" s="5"/>
    </row>
    <row r="3734">
      <c r="N3734" s="5"/>
    </row>
    <row r="3735">
      <c r="N3735" s="5"/>
    </row>
    <row r="3736">
      <c r="N3736" s="5"/>
    </row>
    <row r="3737">
      <c r="N3737" s="5"/>
    </row>
    <row r="3738">
      <c r="N3738" s="5"/>
    </row>
    <row r="3739">
      <c r="N3739" s="5"/>
    </row>
    <row r="3740">
      <c r="N3740" s="5"/>
    </row>
    <row r="3741">
      <c r="N3741" s="5"/>
    </row>
    <row r="3742">
      <c r="N3742" s="5"/>
    </row>
    <row r="3743">
      <c r="N3743" s="5"/>
    </row>
    <row r="3744">
      <c r="N3744" s="5"/>
    </row>
    <row r="3745">
      <c r="N3745" s="5"/>
    </row>
    <row r="3746">
      <c r="N3746" s="5"/>
    </row>
    <row r="3747">
      <c r="N3747" s="5"/>
    </row>
    <row r="3748">
      <c r="N3748" s="5"/>
    </row>
    <row r="3749">
      <c r="N3749" s="5"/>
    </row>
    <row r="3750">
      <c r="N3750" s="5"/>
    </row>
    <row r="3751">
      <c r="N3751" s="5"/>
    </row>
    <row r="3752">
      <c r="N3752" s="5"/>
    </row>
    <row r="3753">
      <c r="N3753" s="5"/>
    </row>
    <row r="3754">
      <c r="N3754" s="5"/>
    </row>
    <row r="3755">
      <c r="N3755" s="5"/>
    </row>
    <row r="3756">
      <c r="N3756" s="5"/>
    </row>
    <row r="3757">
      <c r="N3757" s="5"/>
    </row>
    <row r="3758">
      <c r="N3758" s="5"/>
    </row>
    <row r="3759">
      <c r="N3759" s="5"/>
    </row>
    <row r="3760">
      <c r="N3760" s="5"/>
    </row>
    <row r="3761">
      <c r="N3761" s="5"/>
    </row>
    <row r="3762">
      <c r="N3762" s="5"/>
    </row>
    <row r="3763">
      <c r="N3763" s="5"/>
    </row>
    <row r="3764">
      <c r="N3764" s="5"/>
    </row>
    <row r="3765">
      <c r="N3765" s="5"/>
    </row>
    <row r="3766">
      <c r="N3766" s="5"/>
    </row>
    <row r="3767">
      <c r="N3767" s="5"/>
    </row>
    <row r="3768">
      <c r="N3768" s="5"/>
    </row>
    <row r="3769">
      <c r="N3769" s="5"/>
    </row>
    <row r="3770">
      <c r="N3770" s="5"/>
    </row>
    <row r="3771">
      <c r="N3771" s="5"/>
    </row>
    <row r="3772">
      <c r="N3772" s="5"/>
    </row>
    <row r="3773">
      <c r="N3773" s="5"/>
    </row>
    <row r="3774">
      <c r="N3774" s="5"/>
    </row>
    <row r="3775">
      <c r="N3775" s="5"/>
    </row>
    <row r="3776">
      <c r="N3776" s="5"/>
    </row>
    <row r="3777">
      <c r="N3777" s="5"/>
    </row>
    <row r="3778">
      <c r="N3778" s="5"/>
    </row>
    <row r="3779">
      <c r="N3779" s="5"/>
    </row>
    <row r="3780">
      <c r="N3780" s="5"/>
    </row>
    <row r="3781">
      <c r="N3781" s="5"/>
    </row>
    <row r="3782">
      <c r="N3782" s="5"/>
    </row>
    <row r="3783">
      <c r="N3783" s="5"/>
    </row>
    <row r="3784">
      <c r="N3784" s="5"/>
    </row>
    <row r="3785">
      <c r="N3785" s="5"/>
    </row>
    <row r="3786">
      <c r="N3786" s="5"/>
    </row>
    <row r="3787">
      <c r="N3787" s="5"/>
    </row>
    <row r="3788">
      <c r="N3788" s="5"/>
    </row>
    <row r="3789">
      <c r="N3789" s="5"/>
    </row>
    <row r="3790">
      <c r="N3790" s="5"/>
    </row>
    <row r="3791">
      <c r="N3791" s="5"/>
    </row>
    <row r="3792">
      <c r="N3792" s="5"/>
    </row>
    <row r="3793">
      <c r="N3793" s="5"/>
    </row>
    <row r="3794">
      <c r="N3794" s="5"/>
    </row>
    <row r="3795">
      <c r="N3795" s="5"/>
    </row>
    <row r="3796">
      <c r="N3796" s="5"/>
    </row>
    <row r="3797">
      <c r="N3797" s="5"/>
    </row>
    <row r="3798">
      <c r="N3798" s="5"/>
    </row>
    <row r="3799">
      <c r="N3799" s="5"/>
    </row>
    <row r="3800">
      <c r="N3800" s="5"/>
    </row>
    <row r="3801">
      <c r="N3801" s="5"/>
    </row>
    <row r="3802">
      <c r="N3802" s="5"/>
    </row>
    <row r="3803">
      <c r="N3803" s="5"/>
    </row>
    <row r="3804">
      <c r="N3804" s="5"/>
    </row>
    <row r="3805">
      <c r="N3805" s="5"/>
    </row>
    <row r="3806">
      <c r="N3806" s="5"/>
    </row>
    <row r="3807">
      <c r="N3807" s="5"/>
    </row>
    <row r="3808">
      <c r="N3808" s="5"/>
    </row>
    <row r="3809">
      <c r="N3809" s="5"/>
    </row>
    <row r="3810">
      <c r="N3810" s="5"/>
    </row>
    <row r="3811">
      <c r="N3811" s="5"/>
    </row>
    <row r="3812">
      <c r="N3812" s="5"/>
    </row>
    <row r="3813">
      <c r="N3813" s="5"/>
    </row>
    <row r="3814">
      <c r="N3814" s="5"/>
    </row>
    <row r="3815">
      <c r="N3815" s="5"/>
    </row>
    <row r="3816">
      <c r="N3816" s="5"/>
    </row>
    <row r="3817">
      <c r="N3817" s="5"/>
    </row>
    <row r="3818">
      <c r="N3818" s="5"/>
    </row>
    <row r="3819">
      <c r="N3819" s="5"/>
    </row>
    <row r="3820">
      <c r="N3820" s="5"/>
    </row>
    <row r="3821">
      <c r="N3821" s="5"/>
    </row>
    <row r="3822">
      <c r="N3822" s="5"/>
    </row>
    <row r="3823">
      <c r="N3823" s="5"/>
    </row>
    <row r="3824">
      <c r="N3824" s="5"/>
    </row>
    <row r="3825">
      <c r="N3825" s="5"/>
    </row>
    <row r="3826">
      <c r="N3826" s="5"/>
    </row>
    <row r="3827">
      <c r="N3827" s="5"/>
    </row>
    <row r="3828">
      <c r="N3828" s="5"/>
    </row>
    <row r="3829">
      <c r="N3829" s="5"/>
    </row>
    <row r="3830">
      <c r="N3830" s="5"/>
    </row>
    <row r="3831">
      <c r="N3831" s="5"/>
    </row>
    <row r="3832">
      <c r="N3832" s="5"/>
    </row>
    <row r="3833">
      <c r="N3833" s="5"/>
    </row>
    <row r="3834">
      <c r="N3834" s="5"/>
    </row>
    <row r="3835">
      <c r="N3835" s="5"/>
    </row>
    <row r="3836">
      <c r="N3836" s="5"/>
    </row>
    <row r="3837">
      <c r="N3837" s="5"/>
    </row>
    <row r="3838">
      <c r="N3838" s="5"/>
    </row>
    <row r="3839">
      <c r="N3839" s="5"/>
    </row>
    <row r="3840">
      <c r="N3840" s="5"/>
    </row>
    <row r="3841">
      <c r="N3841" s="5"/>
    </row>
    <row r="3842">
      <c r="N3842" s="5"/>
    </row>
    <row r="3843">
      <c r="N3843" s="5"/>
    </row>
    <row r="3844">
      <c r="N3844" s="5"/>
    </row>
    <row r="3845">
      <c r="N3845" s="5"/>
    </row>
    <row r="3846">
      <c r="N3846" s="5"/>
    </row>
    <row r="3847">
      <c r="N3847" s="5"/>
    </row>
    <row r="3848">
      <c r="N3848" s="5"/>
    </row>
    <row r="3849">
      <c r="N3849" s="5"/>
    </row>
    <row r="3850">
      <c r="N3850" s="5"/>
    </row>
    <row r="3851">
      <c r="N3851" s="5"/>
    </row>
    <row r="3852">
      <c r="N3852" s="5"/>
    </row>
    <row r="3853">
      <c r="N3853" s="5"/>
    </row>
    <row r="3854">
      <c r="N3854" s="5"/>
    </row>
    <row r="3855">
      <c r="N3855" s="5"/>
    </row>
    <row r="3856">
      <c r="N3856" s="5"/>
    </row>
    <row r="3857">
      <c r="N3857" s="5"/>
    </row>
    <row r="3858">
      <c r="N3858" s="5"/>
    </row>
    <row r="3859">
      <c r="N3859" s="5"/>
    </row>
    <row r="3860">
      <c r="N3860" s="5"/>
    </row>
    <row r="3861">
      <c r="N3861" s="5"/>
    </row>
    <row r="3862">
      <c r="N3862" s="5"/>
    </row>
    <row r="3863">
      <c r="N3863" s="5"/>
    </row>
    <row r="3864">
      <c r="N3864" s="5"/>
    </row>
    <row r="3865">
      <c r="N3865" s="5"/>
    </row>
    <row r="3866">
      <c r="N3866" s="5"/>
    </row>
    <row r="3867">
      <c r="N3867" s="5"/>
    </row>
    <row r="3868">
      <c r="N3868" s="5"/>
    </row>
    <row r="3869">
      <c r="N3869" s="5"/>
    </row>
    <row r="3870">
      <c r="N3870" s="5"/>
    </row>
    <row r="3871">
      <c r="N3871" s="5"/>
    </row>
    <row r="3872">
      <c r="N3872" s="5"/>
    </row>
    <row r="3873">
      <c r="N3873" s="5"/>
    </row>
    <row r="3874">
      <c r="N3874" s="5"/>
    </row>
    <row r="3875">
      <c r="N3875" s="5"/>
    </row>
    <row r="3876">
      <c r="N3876" s="5"/>
    </row>
    <row r="3877">
      <c r="N3877" s="5"/>
    </row>
    <row r="3878">
      <c r="N3878" s="5"/>
    </row>
    <row r="3879">
      <c r="N3879" s="5"/>
    </row>
    <row r="3880">
      <c r="N3880" s="5"/>
    </row>
    <row r="3881">
      <c r="N3881" s="5"/>
    </row>
    <row r="3882">
      <c r="N3882" s="5"/>
    </row>
    <row r="3883">
      <c r="N3883" s="5"/>
    </row>
    <row r="3884">
      <c r="N3884" s="5"/>
    </row>
    <row r="3885">
      <c r="N3885" s="5"/>
    </row>
    <row r="3886">
      <c r="N3886" s="5"/>
    </row>
    <row r="3887">
      <c r="N3887" s="5"/>
    </row>
    <row r="3888">
      <c r="N3888" s="5"/>
    </row>
    <row r="3889">
      <c r="N3889" s="5"/>
    </row>
    <row r="3890">
      <c r="N3890" s="5"/>
    </row>
    <row r="3891">
      <c r="N3891" s="5"/>
    </row>
    <row r="3892">
      <c r="N3892" s="5"/>
    </row>
    <row r="3893">
      <c r="N3893" s="5"/>
    </row>
    <row r="3894">
      <c r="N3894" s="5"/>
    </row>
    <row r="3895">
      <c r="N3895" s="5"/>
    </row>
    <row r="3896">
      <c r="N3896" s="5"/>
    </row>
    <row r="3897">
      <c r="N3897" s="5"/>
    </row>
    <row r="3898">
      <c r="N3898" s="5"/>
    </row>
    <row r="3899">
      <c r="N3899" s="5"/>
    </row>
    <row r="3900">
      <c r="N3900" s="5"/>
    </row>
    <row r="3901">
      <c r="N3901" s="5"/>
    </row>
    <row r="3902">
      <c r="N3902" s="5"/>
    </row>
    <row r="3903">
      <c r="N3903" s="5"/>
    </row>
    <row r="3904">
      <c r="N3904" s="5"/>
    </row>
    <row r="3905">
      <c r="N3905" s="5"/>
    </row>
    <row r="3906">
      <c r="N3906" s="5"/>
    </row>
    <row r="3907">
      <c r="N3907" s="5"/>
    </row>
    <row r="3908">
      <c r="N3908" s="5"/>
    </row>
    <row r="3909">
      <c r="N3909" s="5"/>
    </row>
    <row r="3910">
      <c r="N3910" s="5"/>
    </row>
    <row r="3911">
      <c r="N3911" s="5"/>
    </row>
    <row r="3912">
      <c r="N3912" s="5"/>
    </row>
    <row r="3913">
      <c r="N3913" s="5"/>
    </row>
    <row r="3914">
      <c r="N3914" s="5"/>
    </row>
    <row r="3915">
      <c r="N3915" s="5"/>
    </row>
    <row r="3916">
      <c r="N3916" s="5"/>
    </row>
    <row r="3917">
      <c r="N3917" s="5"/>
    </row>
    <row r="3918">
      <c r="N3918" s="5"/>
    </row>
    <row r="3919">
      <c r="N3919" s="5"/>
    </row>
    <row r="3920">
      <c r="N3920" s="5"/>
    </row>
    <row r="3921">
      <c r="N3921" s="5"/>
    </row>
    <row r="3922">
      <c r="N3922" s="5"/>
    </row>
    <row r="3923">
      <c r="N3923" s="5"/>
    </row>
    <row r="3924">
      <c r="N3924" s="5"/>
    </row>
    <row r="3925">
      <c r="N3925" s="5"/>
    </row>
    <row r="3926">
      <c r="N3926" s="5"/>
    </row>
    <row r="3927">
      <c r="N3927" s="5"/>
    </row>
    <row r="3928">
      <c r="N3928" s="5"/>
    </row>
    <row r="3929">
      <c r="N3929" s="5"/>
    </row>
    <row r="3930">
      <c r="N3930" s="5"/>
    </row>
    <row r="3931">
      <c r="N3931" s="5"/>
    </row>
    <row r="3932">
      <c r="N3932" s="5"/>
    </row>
    <row r="3933">
      <c r="N3933" s="5"/>
    </row>
    <row r="3934">
      <c r="N3934" s="5"/>
    </row>
    <row r="3935">
      <c r="N3935" s="5"/>
    </row>
    <row r="3936">
      <c r="N3936" s="5"/>
    </row>
    <row r="3937">
      <c r="N3937" s="5"/>
    </row>
    <row r="3938">
      <c r="N3938" s="5"/>
    </row>
    <row r="3939">
      <c r="N3939" s="5"/>
    </row>
    <row r="3940">
      <c r="N3940" s="5"/>
    </row>
    <row r="3941">
      <c r="N3941" s="5"/>
    </row>
    <row r="3942">
      <c r="N3942" s="5"/>
    </row>
    <row r="3943">
      <c r="N3943" s="5"/>
    </row>
    <row r="3944">
      <c r="N3944" s="5"/>
    </row>
    <row r="3945">
      <c r="N3945" s="5"/>
    </row>
    <row r="3946">
      <c r="N3946" s="5"/>
    </row>
    <row r="3947">
      <c r="N3947" s="5"/>
    </row>
    <row r="3948">
      <c r="N3948" s="5"/>
    </row>
    <row r="3949">
      <c r="N3949" s="5"/>
    </row>
    <row r="3950">
      <c r="N3950" s="5"/>
    </row>
    <row r="3951">
      <c r="N3951" s="5"/>
    </row>
    <row r="3952">
      <c r="N3952" s="5"/>
    </row>
    <row r="3953">
      <c r="N3953" s="5"/>
    </row>
    <row r="3954">
      <c r="N3954" s="5"/>
    </row>
    <row r="3955">
      <c r="N3955" s="5"/>
    </row>
    <row r="3956">
      <c r="N3956" s="5"/>
    </row>
    <row r="3957">
      <c r="N3957" s="5"/>
    </row>
    <row r="3958">
      <c r="N3958" s="5"/>
    </row>
    <row r="3959">
      <c r="N3959" s="5"/>
    </row>
    <row r="3960">
      <c r="N3960" s="5"/>
    </row>
    <row r="3961">
      <c r="N3961" s="5"/>
    </row>
    <row r="3962">
      <c r="N3962" s="5"/>
    </row>
    <row r="3963">
      <c r="N3963" s="5"/>
    </row>
    <row r="3964">
      <c r="N3964" s="5"/>
    </row>
    <row r="3965">
      <c r="N3965" s="5"/>
    </row>
    <row r="3966">
      <c r="N3966" s="5"/>
    </row>
    <row r="3967">
      <c r="N3967" s="5"/>
    </row>
    <row r="3968">
      <c r="N3968" s="5"/>
    </row>
    <row r="3969">
      <c r="N3969" s="5"/>
    </row>
    <row r="3970">
      <c r="N3970" s="5"/>
    </row>
    <row r="3971">
      <c r="N3971" s="5"/>
    </row>
    <row r="3972">
      <c r="N3972" s="5"/>
    </row>
    <row r="3973">
      <c r="N3973" s="5"/>
    </row>
    <row r="3974">
      <c r="N3974" s="5"/>
    </row>
    <row r="3975">
      <c r="N3975" s="5"/>
    </row>
    <row r="3976">
      <c r="N3976" s="5"/>
    </row>
    <row r="3977">
      <c r="N3977" s="5"/>
    </row>
    <row r="3978">
      <c r="N3978" s="5"/>
    </row>
    <row r="3979">
      <c r="N3979" s="5"/>
    </row>
    <row r="3980">
      <c r="N3980" s="5"/>
    </row>
    <row r="3981">
      <c r="N3981" s="5"/>
    </row>
    <row r="3982">
      <c r="N3982" s="5"/>
    </row>
    <row r="3983">
      <c r="N3983" s="5"/>
    </row>
    <row r="3984">
      <c r="N3984" s="5"/>
    </row>
    <row r="3985">
      <c r="N3985" s="5"/>
    </row>
    <row r="3986">
      <c r="N3986" s="5"/>
    </row>
    <row r="3987">
      <c r="N3987" s="5"/>
    </row>
    <row r="3988">
      <c r="N3988" s="5"/>
    </row>
    <row r="3989">
      <c r="N3989" s="5"/>
    </row>
    <row r="3990">
      <c r="N3990" s="5"/>
    </row>
    <row r="3991">
      <c r="N3991" s="5"/>
    </row>
    <row r="3992">
      <c r="N3992" s="5"/>
    </row>
    <row r="3993">
      <c r="N3993" s="5"/>
    </row>
    <row r="3994">
      <c r="N3994" s="5"/>
    </row>
    <row r="3995">
      <c r="N3995" s="5"/>
    </row>
    <row r="3996">
      <c r="N3996" s="5"/>
    </row>
    <row r="3997">
      <c r="N3997" s="5"/>
    </row>
    <row r="3998">
      <c r="N3998" s="5"/>
    </row>
    <row r="3999">
      <c r="N3999" s="5"/>
    </row>
    <row r="4000">
      <c r="N4000" s="5"/>
    </row>
    <row r="4001">
      <c r="N4001" s="5"/>
    </row>
    <row r="4002">
      <c r="N4002" s="5"/>
    </row>
    <row r="4003">
      <c r="N4003" s="5"/>
    </row>
    <row r="4004">
      <c r="N4004" s="5"/>
    </row>
    <row r="4005">
      <c r="N4005" s="5"/>
    </row>
    <row r="4006">
      <c r="N4006" s="5"/>
    </row>
    <row r="4007">
      <c r="N4007" s="5"/>
    </row>
    <row r="4008">
      <c r="N4008" s="5"/>
    </row>
    <row r="4009">
      <c r="N4009" s="5"/>
    </row>
    <row r="4010">
      <c r="N4010" s="5"/>
    </row>
    <row r="4011">
      <c r="N4011" s="5"/>
    </row>
    <row r="4012">
      <c r="N4012" s="5"/>
    </row>
    <row r="4013">
      <c r="N4013" s="5"/>
    </row>
    <row r="4014">
      <c r="N4014" s="5"/>
    </row>
    <row r="4015">
      <c r="N4015" s="5"/>
    </row>
    <row r="4016">
      <c r="N4016" s="5"/>
    </row>
    <row r="4017">
      <c r="N4017" s="5"/>
    </row>
    <row r="4018">
      <c r="N4018" s="5"/>
    </row>
    <row r="4019">
      <c r="N4019" s="5"/>
    </row>
    <row r="4020">
      <c r="N4020" s="5"/>
    </row>
    <row r="4021">
      <c r="N4021" s="5"/>
    </row>
    <row r="4022">
      <c r="N4022" s="5"/>
    </row>
    <row r="4023">
      <c r="N4023" s="5"/>
    </row>
    <row r="4024">
      <c r="N4024" s="5"/>
    </row>
    <row r="4025">
      <c r="N4025" s="5"/>
    </row>
    <row r="4026">
      <c r="N4026" s="5"/>
    </row>
    <row r="4027">
      <c r="N4027" s="5"/>
    </row>
    <row r="4028">
      <c r="N4028" s="5"/>
    </row>
    <row r="4029">
      <c r="N4029" s="5"/>
    </row>
    <row r="4030">
      <c r="N4030" s="5"/>
    </row>
    <row r="4031">
      <c r="N4031" s="5"/>
    </row>
    <row r="4032">
      <c r="N4032" s="5"/>
    </row>
    <row r="4033">
      <c r="N4033" s="5"/>
    </row>
    <row r="4034">
      <c r="N4034" s="5"/>
    </row>
    <row r="4035">
      <c r="N4035" s="5"/>
    </row>
    <row r="4036">
      <c r="N4036" s="5"/>
    </row>
    <row r="4037">
      <c r="N4037" s="5"/>
    </row>
    <row r="4038">
      <c r="N4038" s="5"/>
    </row>
    <row r="4039">
      <c r="N4039" s="5"/>
    </row>
    <row r="4040">
      <c r="N4040" s="5"/>
    </row>
    <row r="4041">
      <c r="N4041" s="5"/>
    </row>
    <row r="4042">
      <c r="N4042" s="5"/>
    </row>
    <row r="4043">
      <c r="N4043" s="5"/>
    </row>
    <row r="4044">
      <c r="N4044" s="5"/>
    </row>
    <row r="4045">
      <c r="N4045" s="5"/>
    </row>
    <row r="4046">
      <c r="N4046" s="5"/>
    </row>
    <row r="4047">
      <c r="N4047" s="5"/>
    </row>
    <row r="4048">
      <c r="N4048" s="5"/>
    </row>
    <row r="4049">
      <c r="N4049" s="5"/>
    </row>
    <row r="4050">
      <c r="N4050" s="5"/>
    </row>
    <row r="4051">
      <c r="N4051" s="5"/>
    </row>
    <row r="4052">
      <c r="N4052" s="5"/>
    </row>
    <row r="4053">
      <c r="N4053" s="5"/>
    </row>
    <row r="4054">
      <c r="N4054" s="5"/>
    </row>
    <row r="4055">
      <c r="N4055" s="5"/>
    </row>
    <row r="4056">
      <c r="N4056" s="5"/>
    </row>
    <row r="4057">
      <c r="N4057" s="5"/>
    </row>
    <row r="4058">
      <c r="N4058" s="5"/>
    </row>
    <row r="4059">
      <c r="N4059" s="5"/>
    </row>
    <row r="4060">
      <c r="N4060" s="5"/>
    </row>
    <row r="4061">
      <c r="N4061" s="5"/>
    </row>
    <row r="4062">
      <c r="N4062" s="5"/>
    </row>
    <row r="4063">
      <c r="N4063" s="5"/>
    </row>
    <row r="4064">
      <c r="N4064" s="5"/>
    </row>
    <row r="4065">
      <c r="N4065" s="5"/>
    </row>
    <row r="4066">
      <c r="N4066" s="5"/>
    </row>
    <row r="4067">
      <c r="N4067" s="5"/>
    </row>
    <row r="4068">
      <c r="N4068" s="5"/>
    </row>
    <row r="4069">
      <c r="N4069" s="5"/>
    </row>
    <row r="4070">
      <c r="N4070" s="5"/>
    </row>
    <row r="4071">
      <c r="N4071" s="5"/>
    </row>
    <row r="4072">
      <c r="N4072" s="5"/>
    </row>
    <row r="4073">
      <c r="N4073" s="5"/>
    </row>
    <row r="4074">
      <c r="N4074" s="5"/>
    </row>
    <row r="4075">
      <c r="N4075" s="5"/>
    </row>
    <row r="4076">
      <c r="N4076" s="5"/>
    </row>
    <row r="4077">
      <c r="N4077" s="5"/>
    </row>
    <row r="4078">
      <c r="N4078" s="5"/>
    </row>
    <row r="4079">
      <c r="N4079" s="5"/>
    </row>
    <row r="4080">
      <c r="N4080" s="5"/>
    </row>
    <row r="4081">
      <c r="N4081" s="5"/>
    </row>
    <row r="4082">
      <c r="N4082" s="5"/>
    </row>
    <row r="4083">
      <c r="N4083" s="5"/>
    </row>
    <row r="4084">
      <c r="N4084" s="5"/>
    </row>
    <row r="4085">
      <c r="N4085" s="5"/>
    </row>
    <row r="4086">
      <c r="N4086" s="5"/>
    </row>
    <row r="4087">
      <c r="N4087" s="5"/>
    </row>
    <row r="4088">
      <c r="N4088" s="5"/>
    </row>
    <row r="4089">
      <c r="N4089" s="5"/>
    </row>
    <row r="4090">
      <c r="N4090" s="5"/>
    </row>
    <row r="4091">
      <c r="N4091" s="5"/>
    </row>
    <row r="4092">
      <c r="N4092" s="5"/>
    </row>
    <row r="4093">
      <c r="N4093" s="5"/>
    </row>
    <row r="4094">
      <c r="N4094" s="5"/>
    </row>
    <row r="4095">
      <c r="N4095" s="5"/>
    </row>
    <row r="4096">
      <c r="N4096" s="5"/>
    </row>
    <row r="4097">
      <c r="N4097" s="5"/>
    </row>
    <row r="4098">
      <c r="N4098" s="5"/>
    </row>
    <row r="4099">
      <c r="N4099" s="5"/>
    </row>
    <row r="4100">
      <c r="N4100" s="5"/>
    </row>
    <row r="4101">
      <c r="N4101" s="5"/>
    </row>
    <row r="4102">
      <c r="N4102" s="5"/>
    </row>
    <row r="4103">
      <c r="N4103" s="5"/>
    </row>
    <row r="4104">
      <c r="N4104" s="5"/>
    </row>
    <row r="4105">
      <c r="N4105" s="5"/>
    </row>
    <row r="4106">
      <c r="N4106" s="5"/>
    </row>
    <row r="4107">
      <c r="N4107" s="5"/>
    </row>
    <row r="4108">
      <c r="N4108" s="5"/>
    </row>
    <row r="4109">
      <c r="N4109" s="5"/>
    </row>
    <row r="4110">
      <c r="N4110" s="5"/>
    </row>
    <row r="4111">
      <c r="N4111" s="5"/>
    </row>
    <row r="4112">
      <c r="N4112" s="5"/>
    </row>
    <row r="4113">
      <c r="N4113" s="5"/>
    </row>
    <row r="4114">
      <c r="N4114" s="5"/>
    </row>
    <row r="4115">
      <c r="N4115" s="5"/>
    </row>
    <row r="4116">
      <c r="N4116" s="5"/>
    </row>
    <row r="4117">
      <c r="N4117" s="5"/>
    </row>
    <row r="4118">
      <c r="N4118" s="5"/>
    </row>
    <row r="4119">
      <c r="N4119" s="5"/>
    </row>
    <row r="4120">
      <c r="N4120" s="5"/>
    </row>
    <row r="4121">
      <c r="N4121" s="5"/>
    </row>
    <row r="4122">
      <c r="N4122" s="5"/>
    </row>
    <row r="4123">
      <c r="N4123" s="5"/>
    </row>
    <row r="4124">
      <c r="N4124" s="5"/>
    </row>
    <row r="4125">
      <c r="N4125" s="5"/>
    </row>
    <row r="4126">
      <c r="N4126" s="5"/>
    </row>
    <row r="4127">
      <c r="N4127" s="5"/>
    </row>
    <row r="4128">
      <c r="N4128" s="5"/>
    </row>
    <row r="4129">
      <c r="N4129" s="5"/>
    </row>
    <row r="4130">
      <c r="N4130" s="5"/>
    </row>
    <row r="4131">
      <c r="N4131" s="5"/>
    </row>
    <row r="4132">
      <c r="N4132" s="5"/>
    </row>
    <row r="4133">
      <c r="N4133" s="5"/>
    </row>
    <row r="4134">
      <c r="N4134" s="5"/>
    </row>
    <row r="4135">
      <c r="N4135" s="5"/>
    </row>
    <row r="4136">
      <c r="N4136" s="5"/>
    </row>
    <row r="4137">
      <c r="N4137" s="5"/>
    </row>
    <row r="4138">
      <c r="N4138" s="5"/>
    </row>
    <row r="4139">
      <c r="N4139" s="5"/>
    </row>
    <row r="4140">
      <c r="N4140" s="5"/>
    </row>
    <row r="4141">
      <c r="N4141" s="5"/>
    </row>
    <row r="4142">
      <c r="N4142" s="5"/>
    </row>
    <row r="4143">
      <c r="N4143" s="5"/>
    </row>
    <row r="4144">
      <c r="N4144" s="5"/>
    </row>
    <row r="4145">
      <c r="N4145" s="5"/>
    </row>
    <row r="4146">
      <c r="N4146" s="5"/>
    </row>
    <row r="4147">
      <c r="N4147" s="5"/>
    </row>
    <row r="4148">
      <c r="N4148" s="5"/>
    </row>
    <row r="4149">
      <c r="N4149" s="5"/>
    </row>
    <row r="4150">
      <c r="N4150" s="5"/>
    </row>
    <row r="4151">
      <c r="N4151" s="5"/>
    </row>
    <row r="4152">
      <c r="N4152" s="5"/>
    </row>
    <row r="4153">
      <c r="N4153" s="5"/>
    </row>
    <row r="4154">
      <c r="N4154" s="5"/>
    </row>
    <row r="4155">
      <c r="N4155" s="5"/>
    </row>
    <row r="4156">
      <c r="N4156" s="5"/>
    </row>
    <row r="4157">
      <c r="N4157" s="5"/>
    </row>
    <row r="4158">
      <c r="N4158" s="5"/>
    </row>
    <row r="4159">
      <c r="N4159" s="5"/>
    </row>
    <row r="4160">
      <c r="N4160" s="5"/>
    </row>
    <row r="4161">
      <c r="N4161" s="5"/>
    </row>
    <row r="4162">
      <c r="N4162" s="5"/>
    </row>
    <row r="4163">
      <c r="N4163" s="5"/>
    </row>
    <row r="4164">
      <c r="N4164" s="5"/>
    </row>
    <row r="4165">
      <c r="N4165" s="5"/>
    </row>
    <row r="4166">
      <c r="N4166" s="5"/>
    </row>
    <row r="4167">
      <c r="N4167" s="5"/>
    </row>
    <row r="4168">
      <c r="N4168" s="5"/>
    </row>
    <row r="4169">
      <c r="N4169" s="5"/>
    </row>
    <row r="4170">
      <c r="N4170" s="5"/>
    </row>
    <row r="4171">
      <c r="N4171" s="5"/>
    </row>
    <row r="4172">
      <c r="N4172" s="5"/>
    </row>
    <row r="4173">
      <c r="N4173" s="5"/>
    </row>
    <row r="4174">
      <c r="N4174" s="5"/>
    </row>
    <row r="4175">
      <c r="N4175" s="5"/>
    </row>
    <row r="4176">
      <c r="N4176" s="5"/>
    </row>
    <row r="4177">
      <c r="N4177" s="5"/>
    </row>
    <row r="4178">
      <c r="N4178" s="5"/>
    </row>
    <row r="4179">
      <c r="N4179" s="5"/>
    </row>
    <row r="4180">
      <c r="N4180" s="5"/>
    </row>
    <row r="4181">
      <c r="N4181" s="5"/>
    </row>
    <row r="4182">
      <c r="N4182" s="5"/>
    </row>
    <row r="4183">
      <c r="N4183" s="5"/>
    </row>
    <row r="4184">
      <c r="N4184" s="5"/>
    </row>
    <row r="4185">
      <c r="N4185" s="5"/>
    </row>
    <row r="4186">
      <c r="N4186" s="5"/>
    </row>
    <row r="4187">
      <c r="N4187" s="5"/>
    </row>
    <row r="4188">
      <c r="N4188" s="5"/>
    </row>
    <row r="4189">
      <c r="N4189" s="5"/>
    </row>
    <row r="4190">
      <c r="N4190" s="5"/>
    </row>
    <row r="4191">
      <c r="N4191" s="5"/>
    </row>
    <row r="4192">
      <c r="N4192" s="5"/>
    </row>
    <row r="4193">
      <c r="N4193" s="5"/>
    </row>
    <row r="4194">
      <c r="N4194" s="5"/>
    </row>
    <row r="4195">
      <c r="N4195" s="5"/>
    </row>
    <row r="4196">
      <c r="N4196" s="5"/>
    </row>
    <row r="4197">
      <c r="N4197" s="5"/>
    </row>
    <row r="4198">
      <c r="N4198" s="5"/>
    </row>
    <row r="4199">
      <c r="N4199" s="5"/>
    </row>
    <row r="4200">
      <c r="N4200" s="5"/>
    </row>
    <row r="4201">
      <c r="N4201" s="5"/>
    </row>
    <row r="4202">
      <c r="N4202" s="5"/>
    </row>
    <row r="4203">
      <c r="N4203" s="5"/>
    </row>
    <row r="4204">
      <c r="N4204" s="5"/>
    </row>
    <row r="4205">
      <c r="N4205" s="5"/>
    </row>
    <row r="4206">
      <c r="N4206" s="5"/>
    </row>
    <row r="4207">
      <c r="N4207" s="5"/>
    </row>
    <row r="4208">
      <c r="N4208" s="5"/>
    </row>
    <row r="4209">
      <c r="N4209" s="5"/>
    </row>
    <row r="4210">
      <c r="N4210" s="5"/>
    </row>
    <row r="4211">
      <c r="N4211" s="5"/>
    </row>
    <row r="4212">
      <c r="N4212" s="5"/>
    </row>
    <row r="4213">
      <c r="N4213" s="5"/>
    </row>
    <row r="4214">
      <c r="N4214" s="5"/>
    </row>
    <row r="4215">
      <c r="N4215" s="5"/>
    </row>
    <row r="4216">
      <c r="N4216" s="5"/>
    </row>
    <row r="4217">
      <c r="N4217" s="5"/>
    </row>
    <row r="4218">
      <c r="N4218" s="5"/>
    </row>
    <row r="4219">
      <c r="N4219" s="5"/>
    </row>
    <row r="4220">
      <c r="N4220" s="5"/>
    </row>
    <row r="4221">
      <c r="N4221" s="5"/>
    </row>
    <row r="4222">
      <c r="N4222" s="5"/>
    </row>
    <row r="4223">
      <c r="N4223" s="5"/>
    </row>
    <row r="4224">
      <c r="N4224" s="5"/>
    </row>
    <row r="4225">
      <c r="N4225" s="5"/>
    </row>
    <row r="4226">
      <c r="N4226" s="5"/>
    </row>
    <row r="4227">
      <c r="N4227" s="5"/>
    </row>
    <row r="4228">
      <c r="N4228" s="5"/>
    </row>
    <row r="4229">
      <c r="N4229" s="5"/>
    </row>
    <row r="4230">
      <c r="N4230" s="5"/>
    </row>
    <row r="4231">
      <c r="N4231" s="5"/>
    </row>
    <row r="4232">
      <c r="N4232" s="5"/>
    </row>
    <row r="4233">
      <c r="N4233" s="5"/>
    </row>
    <row r="4234">
      <c r="N4234" s="5"/>
    </row>
    <row r="4235">
      <c r="N4235" s="5"/>
    </row>
    <row r="4236">
      <c r="N4236" s="5"/>
    </row>
    <row r="4237">
      <c r="N4237" s="5"/>
    </row>
    <row r="4238">
      <c r="N4238" s="5"/>
    </row>
    <row r="4239">
      <c r="N4239" s="5"/>
    </row>
    <row r="4240">
      <c r="N4240" s="5"/>
    </row>
    <row r="4241">
      <c r="N4241" s="5"/>
    </row>
    <row r="4242">
      <c r="N4242" s="5"/>
    </row>
    <row r="4243">
      <c r="N4243" s="5"/>
    </row>
    <row r="4244">
      <c r="N4244" s="5"/>
    </row>
    <row r="4245">
      <c r="N4245" s="5"/>
    </row>
    <row r="4246">
      <c r="N4246" s="5"/>
    </row>
    <row r="4247">
      <c r="N4247" s="5"/>
    </row>
    <row r="4248">
      <c r="N4248" s="5"/>
    </row>
    <row r="4249">
      <c r="N4249" s="5"/>
    </row>
    <row r="4250">
      <c r="N4250" s="5"/>
    </row>
    <row r="4251">
      <c r="N4251" s="5"/>
    </row>
    <row r="4252">
      <c r="N4252" s="5"/>
    </row>
    <row r="4253">
      <c r="N4253" s="5"/>
    </row>
    <row r="4254">
      <c r="N4254" s="5"/>
    </row>
    <row r="4255">
      <c r="N4255" s="5"/>
    </row>
    <row r="4256">
      <c r="N4256" s="5"/>
    </row>
    <row r="4257">
      <c r="N4257" s="5"/>
    </row>
    <row r="4258">
      <c r="N4258" s="5"/>
    </row>
    <row r="4259">
      <c r="N4259" s="5"/>
    </row>
    <row r="4260">
      <c r="N4260" s="5"/>
    </row>
    <row r="4261">
      <c r="N4261" s="5"/>
    </row>
    <row r="4262">
      <c r="N4262" s="5"/>
    </row>
    <row r="4263">
      <c r="N4263" s="5"/>
    </row>
    <row r="4264">
      <c r="N4264" s="5"/>
    </row>
    <row r="4265">
      <c r="N4265" s="5"/>
    </row>
    <row r="4266">
      <c r="N4266" s="5"/>
    </row>
    <row r="4267">
      <c r="N4267" s="5"/>
    </row>
    <row r="4268">
      <c r="N4268" s="5"/>
    </row>
    <row r="4269">
      <c r="N4269" s="5"/>
    </row>
    <row r="4270">
      <c r="N4270" s="5"/>
    </row>
    <row r="4271">
      <c r="N4271" s="5"/>
    </row>
    <row r="4272">
      <c r="N4272" s="5"/>
    </row>
    <row r="4273">
      <c r="N4273" s="5"/>
    </row>
    <row r="4274">
      <c r="N4274" s="5"/>
    </row>
    <row r="4275">
      <c r="N4275" s="5"/>
    </row>
    <row r="4276">
      <c r="N4276" s="5"/>
    </row>
    <row r="4277">
      <c r="N4277" s="5"/>
    </row>
    <row r="4278">
      <c r="N4278" s="5"/>
    </row>
    <row r="4279">
      <c r="N4279" s="5"/>
    </row>
    <row r="4280">
      <c r="N4280" s="5"/>
    </row>
    <row r="4281">
      <c r="N4281" s="5"/>
    </row>
    <row r="4282">
      <c r="N4282" s="5"/>
    </row>
    <row r="4283">
      <c r="N4283" s="5"/>
    </row>
    <row r="4284">
      <c r="N4284" s="5"/>
    </row>
    <row r="4285">
      <c r="N4285" s="5"/>
    </row>
    <row r="4286">
      <c r="N4286" s="5"/>
    </row>
    <row r="4287">
      <c r="N4287" s="5"/>
    </row>
    <row r="4288">
      <c r="N4288" s="5"/>
    </row>
    <row r="4289">
      <c r="N4289" s="5"/>
    </row>
    <row r="4290">
      <c r="N4290" s="5"/>
    </row>
    <row r="4291">
      <c r="N4291" s="5"/>
    </row>
    <row r="4292">
      <c r="N4292" s="5"/>
    </row>
    <row r="4293">
      <c r="N4293" s="5"/>
    </row>
    <row r="4294">
      <c r="N4294" s="5"/>
    </row>
    <row r="4295">
      <c r="N4295" s="5"/>
    </row>
    <row r="4296">
      <c r="N4296" s="5"/>
    </row>
    <row r="4297">
      <c r="N4297" s="5"/>
    </row>
    <row r="4298">
      <c r="N4298" s="5"/>
    </row>
    <row r="4299">
      <c r="N4299" s="5"/>
    </row>
    <row r="4300">
      <c r="N4300" s="5"/>
    </row>
    <row r="4301">
      <c r="N4301" s="5"/>
    </row>
    <row r="4302">
      <c r="N4302" s="5"/>
    </row>
    <row r="4303">
      <c r="N4303" s="5"/>
    </row>
    <row r="4304">
      <c r="N4304" s="5"/>
    </row>
    <row r="4305">
      <c r="N4305" s="5"/>
    </row>
    <row r="4306">
      <c r="N4306" s="5"/>
    </row>
    <row r="4307">
      <c r="N4307" s="5"/>
    </row>
    <row r="4308">
      <c r="N4308" s="5"/>
    </row>
    <row r="4309">
      <c r="N4309" s="5"/>
    </row>
    <row r="4310">
      <c r="N4310" s="5"/>
    </row>
    <row r="4311">
      <c r="N4311" s="5"/>
    </row>
    <row r="4312">
      <c r="N4312" s="5"/>
    </row>
    <row r="4313">
      <c r="N4313" s="5"/>
    </row>
    <row r="4314">
      <c r="N4314" s="5"/>
    </row>
    <row r="4315">
      <c r="N4315" s="5"/>
    </row>
    <row r="4316">
      <c r="N4316" s="5"/>
    </row>
    <row r="4317">
      <c r="N4317" s="5"/>
    </row>
    <row r="4318">
      <c r="N4318" s="5"/>
    </row>
    <row r="4319">
      <c r="N4319" s="5"/>
    </row>
    <row r="4320">
      <c r="N4320" s="5"/>
    </row>
    <row r="4321">
      <c r="N4321" s="5"/>
    </row>
    <row r="4322">
      <c r="N4322" s="5"/>
    </row>
    <row r="4323">
      <c r="N4323" s="5"/>
    </row>
    <row r="4324">
      <c r="N4324" s="5"/>
    </row>
    <row r="4325">
      <c r="N4325" s="5"/>
    </row>
    <row r="4326">
      <c r="N4326" s="5"/>
    </row>
    <row r="4327">
      <c r="N4327" s="5"/>
    </row>
    <row r="4328">
      <c r="N4328" s="5"/>
    </row>
    <row r="4329">
      <c r="N4329" s="5"/>
    </row>
    <row r="4330">
      <c r="N4330" s="5"/>
    </row>
    <row r="4331">
      <c r="N4331" s="5"/>
    </row>
    <row r="4332">
      <c r="N4332" s="5"/>
    </row>
    <row r="4333">
      <c r="N4333" s="5"/>
    </row>
    <row r="4334">
      <c r="N4334" s="5"/>
    </row>
    <row r="4335">
      <c r="N4335" s="5"/>
    </row>
    <row r="4336">
      <c r="N4336" s="5"/>
    </row>
    <row r="4337">
      <c r="N4337" s="5"/>
    </row>
    <row r="4338">
      <c r="N4338" s="5"/>
    </row>
    <row r="4339">
      <c r="N4339" s="5"/>
    </row>
    <row r="4340">
      <c r="N4340" s="5"/>
    </row>
    <row r="4341">
      <c r="N4341" s="5"/>
    </row>
    <row r="4342">
      <c r="N4342" s="5"/>
    </row>
    <row r="4343">
      <c r="N4343" s="5"/>
    </row>
    <row r="4344">
      <c r="N4344" s="5"/>
    </row>
    <row r="4345">
      <c r="N4345" s="5"/>
    </row>
    <row r="4346">
      <c r="N4346" s="5"/>
    </row>
    <row r="4347">
      <c r="N4347" s="5"/>
    </row>
    <row r="4348">
      <c r="N4348" s="5"/>
    </row>
    <row r="4349">
      <c r="N4349" s="5"/>
    </row>
    <row r="4350">
      <c r="N4350" s="5"/>
    </row>
    <row r="4351">
      <c r="N4351" s="5"/>
    </row>
    <row r="4352">
      <c r="N4352" s="5"/>
    </row>
    <row r="4353">
      <c r="N4353" s="5"/>
    </row>
    <row r="4354">
      <c r="N4354" s="5"/>
    </row>
    <row r="4355">
      <c r="N4355" s="5"/>
    </row>
    <row r="4356">
      <c r="N4356" s="5"/>
    </row>
    <row r="4357">
      <c r="N4357" s="5"/>
    </row>
    <row r="4358">
      <c r="N4358" s="5"/>
    </row>
    <row r="4359">
      <c r="N4359" s="5"/>
    </row>
    <row r="4360">
      <c r="N4360" s="5"/>
    </row>
    <row r="4361">
      <c r="N4361" s="5"/>
    </row>
    <row r="4362">
      <c r="N4362" s="5"/>
    </row>
    <row r="4363">
      <c r="N4363" s="5"/>
    </row>
    <row r="4364">
      <c r="N4364" s="5"/>
    </row>
    <row r="4365">
      <c r="N4365" s="5"/>
    </row>
    <row r="4366">
      <c r="N4366" s="5"/>
    </row>
    <row r="4367">
      <c r="N4367" s="5"/>
    </row>
    <row r="4368">
      <c r="N4368" s="5"/>
    </row>
    <row r="4369">
      <c r="N4369" s="5"/>
    </row>
    <row r="4370">
      <c r="N4370" s="5"/>
    </row>
    <row r="4371">
      <c r="N4371" s="5"/>
    </row>
    <row r="4372">
      <c r="N4372" s="5"/>
    </row>
    <row r="4373">
      <c r="N4373" s="5"/>
    </row>
    <row r="4374">
      <c r="N4374" s="5"/>
    </row>
    <row r="4375">
      <c r="N4375" s="5"/>
    </row>
    <row r="4376">
      <c r="N4376" s="5"/>
    </row>
    <row r="4377">
      <c r="N4377" s="5"/>
    </row>
    <row r="4378">
      <c r="N4378" s="5"/>
    </row>
    <row r="4379">
      <c r="N4379" s="5"/>
    </row>
    <row r="4380">
      <c r="N4380" s="5"/>
    </row>
    <row r="4381">
      <c r="N4381" s="5"/>
    </row>
    <row r="4382">
      <c r="N4382" s="5"/>
    </row>
    <row r="4383">
      <c r="N4383" s="5"/>
    </row>
    <row r="4384">
      <c r="N4384" s="5"/>
    </row>
    <row r="4385">
      <c r="N4385" s="5"/>
    </row>
    <row r="4386">
      <c r="N4386" s="5"/>
    </row>
    <row r="4387">
      <c r="N4387" s="5"/>
    </row>
    <row r="4388">
      <c r="N4388" s="5"/>
    </row>
    <row r="4389">
      <c r="N4389" s="5"/>
    </row>
    <row r="4390">
      <c r="N4390" s="5"/>
    </row>
    <row r="4391">
      <c r="N4391" s="5"/>
    </row>
    <row r="4392">
      <c r="N4392" s="5"/>
    </row>
    <row r="4393">
      <c r="N4393" s="5"/>
    </row>
    <row r="4394">
      <c r="N4394" s="5"/>
    </row>
    <row r="4395">
      <c r="N4395" s="5"/>
    </row>
    <row r="4396">
      <c r="N4396" s="5"/>
    </row>
    <row r="4397">
      <c r="N4397" s="5"/>
    </row>
    <row r="4398">
      <c r="N4398" s="5"/>
    </row>
    <row r="4399">
      <c r="N4399" s="5"/>
    </row>
    <row r="4400">
      <c r="N4400" s="5"/>
    </row>
    <row r="4401">
      <c r="N4401" s="5"/>
    </row>
    <row r="4402">
      <c r="N4402" s="5"/>
    </row>
    <row r="4403">
      <c r="N4403" s="5"/>
    </row>
    <row r="4404">
      <c r="N4404" s="5"/>
    </row>
    <row r="4405">
      <c r="N4405" s="5"/>
    </row>
    <row r="4406">
      <c r="N4406" s="5"/>
    </row>
    <row r="4407">
      <c r="N4407" s="5"/>
    </row>
    <row r="4408">
      <c r="N4408" s="5"/>
    </row>
    <row r="4409">
      <c r="N4409" s="5"/>
    </row>
    <row r="4410">
      <c r="N4410" s="5"/>
    </row>
    <row r="4411">
      <c r="N4411" s="5"/>
    </row>
    <row r="4412">
      <c r="N4412" s="5"/>
    </row>
    <row r="4413">
      <c r="N4413" s="5"/>
    </row>
    <row r="4414">
      <c r="N4414" s="5"/>
    </row>
    <row r="4415">
      <c r="N4415" s="5"/>
    </row>
    <row r="4416">
      <c r="N4416" s="5"/>
    </row>
    <row r="4417">
      <c r="N4417" s="5"/>
    </row>
    <row r="4418">
      <c r="N4418" s="5"/>
    </row>
    <row r="4419">
      <c r="N4419" s="5"/>
    </row>
    <row r="4420">
      <c r="N4420" s="5"/>
    </row>
    <row r="4421">
      <c r="N4421" s="5"/>
    </row>
    <row r="4422">
      <c r="N4422" s="5"/>
    </row>
    <row r="4423">
      <c r="N4423" s="5"/>
    </row>
    <row r="4424">
      <c r="N4424" s="5"/>
    </row>
    <row r="4425">
      <c r="N4425" s="5"/>
    </row>
    <row r="4426">
      <c r="N4426" s="5"/>
    </row>
    <row r="4427">
      <c r="N4427" s="5"/>
    </row>
    <row r="4428">
      <c r="N4428" s="5"/>
    </row>
    <row r="4429">
      <c r="N4429" s="5"/>
    </row>
    <row r="4430">
      <c r="N4430" s="5"/>
    </row>
    <row r="4431">
      <c r="N4431" s="5"/>
    </row>
    <row r="4432">
      <c r="N4432" s="5"/>
    </row>
    <row r="4433">
      <c r="N4433" s="5"/>
    </row>
    <row r="4434">
      <c r="N4434" s="5"/>
    </row>
    <row r="4435">
      <c r="N4435" s="5"/>
    </row>
    <row r="4436">
      <c r="N4436" s="5"/>
    </row>
    <row r="4437">
      <c r="N4437" s="5"/>
    </row>
    <row r="4438">
      <c r="N4438" s="5"/>
    </row>
    <row r="4439">
      <c r="N4439" s="5"/>
    </row>
    <row r="4440">
      <c r="N4440" s="5"/>
    </row>
    <row r="4441">
      <c r="N4441" s="5"/>
    </row>
    <row r="4442">
      <c r="N4442" s="5"/>
    </row>
    <row r="4443">
      <c r="N4443" s="5"/>
    </row>
    <row r="4444">
      <c r="N4444" s="5"/>
    </row>
    <row r="4445">
      <c r="N4445" s="5"/>
    </row>
    <row r="4446">
      <c r="N4446" s="5"/>
    </row>
    <row r="4447">
      <c r="N4447" s="5"/>
    </row>
    <row r="4448">
      <c r="N4448" s="5"/>
    </row>
    <row r="4449">
      <c r="N4449" s="5"/>
    </row>
    <row r="4450">
      <c r="N4450" s="5"/>
    </row>
    <row r="4451">
      <c r="N4451" s="5"/>
    </row>
    <row r="4452">
      <c r="N4452" s="5"/>
    </row>
    <row r="4453">
      <c r="N4453" s="5"/>
    </row>
    <row r="4454">
      <c r="N4454" s="5"/>
    </row>
    <row r="4455">
      <c r="N4455" s="5"/>
    </row>
    <row r="4456">
      <c r="N4456" s="5"/>
    </row>
    <row r="4457">
      <c r="N4457" s="5"/>
    </row>
    <row r="4458">
      <c r="N4458" s="5"/>
    </row>
    <row r="4459">
      <c r="N4459" s="5"/>
    </row>
    <row r="4460">
      <c r="N4460" s="5"/>
    </row>
    <row r="4461">
      <c r="N4461" s="5"/>
    </row>
    <row r="4462">
      <c r="N4462" s="5"/>
    </row>
    <row r="4463">
      <c r="N4463" s="5"/>
    </row>
    <row r="4464">
      <c r="N4464" s="5"/>
    </row>
    <row r="4465">
      <c r="N4465" s="5"/>
    </row>
    <row r="4466">
      <c r="N4466" s="5"/>
    </row>
    <row r="4467">
      <c r="N4467" s="5"/>
    </row>
    <row r="4468">
      <c r="N4468" s="5"/>
    </row>
    <row r="4469">
      <c r="N4469" s="5"/>
    </row>
    <row r="4470">
      <c r="N4470" s="5"/>
    </row>
    <row r="4471">
      <c r="N4471" s="5"/>
    </row>
    <row r="4472">
      <c r="N4472" s="5"/>
    </row>
    <row r="4473">
      <c r="N4473" s="5"/>
    </row>
    <row r="4474">
      <c r="N4474" s="5"/>
    </row>
    <row r="4475">
      <c r="N4475" s="5"/>
    </row>
    <row r="4476">
      <c r="N4476" s="5"/>
    </row>
    <row r="4477">
      <c r="N4477" s="5"/>
    </row>
    <row r="4478">
      <c r="N4478" s="5"/>
    </row>
    <row r="4479">
      <c r="N4479" s="5"/>
    </row>
    <row r="4480">
      <c r="N4480" s="5"/>
    </row>
    <row r="4481">
      <c r="N4481" s="5"/>
    </row>
    <row r="4482">
      <c r="N4482" s="5"/>
    </row>
    <row r="4483">
      <c r="N4483" s="5"/>
    </row>
    <row r="4484">
      <c r="N4484" s="5"/>
    </row>
    <row r="4485">
      <c r="N4485" s="5"/>
    </row>
    <row r="4486">
      <c r="N4486" s="5"/>
    </row>
    <row r="4487">
      <c r="N4487" s="5"/>
    </row>
    <row r="4488">
      <c r="N4488" s="5"/>
    </row>
    <row r="4489">
      <c r="N4489" s="5"/>
    </row>
    <row r="4490">
      <c r="N4490" s="5"/>
    </row>
    <row r="4491">
      <c r="N4491" s="5"/>
    </row>
    <row r="4492">
      <c r="N4492" s="5"/>
    </row>
    <row r="4493">
      <c r="N4493" s="5"/>
    </row>
    <row r="4494">
      <c r="N4494" s="5"/>
    </row>
    <row r="4495">
      <c r="N4495" s="5"/>
    </row>
    <row r="4496">
      <c r="N4496" s="5"/>
    </row>
    <row r="4497">
      <c r="N4497" s="5"/>
    </row>
    <row r="4498">
      <c r="N4498" s="5"/>
    </row>
    <row r="4499">
      <c r="N4499" s="5"/>
    </row>
    <row r="4500">
      <c r="N4500" s="5"/>
    </row>
    <row r="4501">
      <c r="N4501" s="5"/>
    </row>
    <row r="4502">
      <c r="N4502" s="5"/>
    </row>
    <row r="4503">
      <c r="N4503" s="5"/>
    </row>
    <row r="4504">
      <c r="N4504" s="5"/>
    </row>
    <row r="4505">
      <c r="N4505" s="5"/>
    </row>
    <row r="4506">
      <c r="N4506" s="5"/>
    </row>
    <row r="4507">
      <c r="N4507" s="5"/>
    </row>
    <row r="4508">
      <c r="N4508" s="5"/>
    </row>
    <row r="4509">
      <c r="N4509" s="5"/>
    </row>
    <row r="4510">
      <c r="N4510" s="5"/>
    </row>
    <row r="4511">
      <c r="N4511" s="5"/>
    </row>
    <row r="4512">
      <c r="N4512" s="5"/>
    </row>
    <row r="4513">
      <c r="N4513" s="5"/>
    </row>
    <row r="4514">
      <c r="N4514" s="5"/>
    </row>
    <row r="4515">
      <c r="N4515" s="5"/>
    </row>
    <row r="4516">
      <c r="N4516" s="5"/>
    </row>
    <row r="4517">
      <c r="N4517" s="5"/>
    </row>
    <row r="4518">
      <c r="N4518" s="5"/>
    </row>
    <row r="4519">
      <c r="N4519" s="5"/>
    </row>
    <row r="4520">
      <c r="N4520" s="5"/>
    </row>
    <row r="4521">
      <c r="N4521" s="5"/>
    </row>
    <row r="4522">
      <c r="N4522" s="5"/>
    </row>
    <row r="4523">
      <c r="N4523" s="5"/>
    </row>
    <row r="4524">
      <c r="N4524" s="5"/>
    </row>
    <row r="4525">
      <c r="N4525" s="5"/>
    </row>
    <row r="4526">
      <c r="N4526" s="5"/>
    </row>
    <row r="4527">
      <c r="N4527" s="5"/>
    </row>
    <row r="4528">
      <c r="N4528" s="5"/>
    </row>
    <row r="4529">
      <c r="N4529" s="5"/>
    </row>
    <row r="4530">
      <c r="N4530" s="5"/>
    </row>
    <row r="4531">
      <c r="N4531" s="5"/>
    </row>
    <row r="4532">
      <c r="N4532" s="5"/>
    </row>
    <row r="4533">
      <c r="N4533" s="5"/>
    </row>
    <row r="4534">
      <c r="N4534" s="5"/>
    </row>
    <row r="4535">
      <c r="N4535" s="5"/>
    </row>
    <row r="4536">
      <c r="N4536" s="5"/>
    </row>
    <row r="4537">
      <c r="N4537" s="5"/>
    </row>
    <row r="4538">
      <c r="N4538" s="5"/>
    </row>
    <row r="4539">
      <c r="N4539" s="5"/>
    </row>
    <row r="4540">
      <c r="N4540" s="5"/>
    </row>
    <row r="4541">
      <c r="N4541" s="5"/>
    </row>
    <row r="4542">
      <c r="N4542" s="5"/>
    </row>
    <row r="4543">
      <c r="N4543" s="5"/>
    </row>
    <row r="4544">
      <c r="N4544" s="5"/>
    </row>
    <row r="4545">
      <c r="N4545" s="5"/>
    </row>
    <row r="4546">
      <c r="N4546" s="5"/>
    </row>
    <row r="4547">
      <c r="N4547" s="5"/>
    </row>
    <row r="4548">
      <c r="N4548" s="5"/>
    </row>
    <row r="4549">
      <c r="N4549" s="5"/>
    </row>
    <row r="4550">
      <c r="N4550" s="5"/>
    </row>
    <row r="4551">
      <c r="N4551" s="5"/>
    </row>
    <row r="4552">
      <c r="N4552" s="5"/>
    </row>
    <row r="4553">
      <c r="N4553" s="5"/>
    </row>
    <row r="4554">
      <c r="N4554" s="5"/>
    </row>
    <row r="4555">
      <c r="N4555" s="5"/>
    </row>
    <row r="4556">
      <c r="N4556" s="5"/>
    </row>
    <row r="4557">
      <c r="N4557" s="5"/>
    </row>
    <row r="4558">
      <c r="N4558" s="5"/>
    </row>
    <row r="4559">
      <c r="N4559" s="5"/>
    </row>
    <row r="4560">
      <c r="N4560" s="5"/>
    </row>
    <row r="4561">
      <c r="N4561" s="5"/>
    </row>
    <row r="4562">
      <c r="N4562" s="5"/>
    </row>
    <row r="4563">
      <c r="N4563" s="5"/>
    </row>
    <row r="4564">
      <c r="N4564" s="5"/>
    </row>
    <row r="4565">
      <c r="N4565" s="5"/>
    </row>
    <row r="4566">
      <c r="N4566" s="5"/>
    </row>
    <row r="4567">
      <c r="N4567" s="5"/>
    </row>
    <row r="4568">
      <c r="N4568" s="5"/>
    </row>
    <row r="4569">
      <c r="N4569" s="5"/>
    </row>
    <row r="4570">
      <c r="N4570" s="5"/>
    </row>
    <row r="4571">
      <c r="N4571" s="5"/>
    </row>
    <row r="4572">
      <c r="N4572" s="5"/>
    </row>
    <row r="4573">
      <c r="N4573" s="5"/>
    </row>
    <row r="4574">
      <c r="N4574" s="5"/>
    </row>
    <row r="4575">
      <c r="N4575" s="5"/>
    </row>
    <row r="4576">
      <c r="N4576" s="5"/>
    </row>
    <row r="4577">
      <c r="N4577" s="5"/>
    </row>
    <row r="4578">
      <c r="N4578" s="5"/>
    </row>
    <row r="4579">
      <c r="N4579" s="5"/>
    </row>
    <row r="4580">
      <c r="N4580" s="5"/>
    </row>
    <row r="4581">
      <c r="N4581" s="5"/>
    </row>
    <row r="4582">
      <c r="N4582" s="5"/>
    </row>
    <row r="4583">
      <c r="N4583" s="5"/>
    </row>
    <row r="4584">
      <c r="N4584" s="5"/>
    </row>
    <row r="4585">
      <c r="N4585" s="5"/>
    </row>
    <row r="4586">
      <c r="N4586" s="5"/>
    </row>
    <row r="4587">
      <c r="N4587" s="5"/>
    </row>
    <row r="4588">
      <c r="N4588" s="5"/>
    </row>
    <row r="4589">
      <c r="N4589" s="5"/>
    </row>
    <row r="4590">
      <c r="N4590" s="5"/>
    </row>
    <row r="4591">
      <c r="N4591" s="5"/>
    </row>
    <row r="4592">
      <c r="N4592" s="5"/>
    </row>
    <row r="4593">
      <c r="N4593" s="5"/>
    </row>
    <row r="4594">
      <c r="N4594" s="5"/>
    </row>
    <row r="4595">
      <c r="N4595" s="5"/>
    </row>
    <row r="4596">
      <c r="N4596" s="5"/>
    </row>
    <row r="4597">
      <c r="N4597" s="5"/>
    </row>
    <row r="4598">
      <c r="N4598" s="5"/>
    </row>
    <row r="4599">
      <c r="N4599" s="5"/>
    </row>
    <row r="4600">
      <c r="N4600" s="5"/>
    </row>
    <row r="4601">
      <c r="N4601" s="5"/>
    </row>
    <row r="4602">
      <c r="N4602" s="5"/>
    </row>
    <row r="4603">
      <c r="N4603" s="5"/>
    </row>
    <row r="4604">
      <c r="N4604" s="5"/>
    </row>
    <row r="4605">
      <c r="N4605" s="5"/>
    </row>
    <row r="4606">
      <c r="N4606" s="5"/>
    </row>
    <row r="4607">
      <c r="N4607" s="5"/>
    </row>
    <row r="4608">
      <c r="N4608" s="5"/>
    </row>
    <row r="4609">
      <c r="N4609" s="5"/>
    </row>
    <row r="4610">
      <c r="N4610" s="5"/>
    </row>
    <row r="4611">
      <c r="N4611" s="5"/>
    </row>
    <row r="4612">
      <c r="N4612" s="5"/>
    </row>
    <row r="4613">
      <c r="N4613" s="5"/>
    </row>
    <row r="4614">
      <c r="N4614" s="5"/>
    </row>
    <row r="4615">
      <c r="N4615" s="5"/>
    </row>
    <row r="4616">
      <c r="N4616" s="5"/>
    </row>
    <row r="4617">
      <c r="N4617" s="5"/>
    </row>
    <row r="4618">
      <c r="N4618" s="5"/>
    </row>
    <row r="4619">
      <c r="N4619" s="5"/>
    </row>
    <row r="4620">
      <c r="N4620" s="5"/>
    </row>
    <row r="4621">
      <c r="N4621" s="5"/>
    </row>
    <row r="4622">
      <c r="N4622" s="5"/>
    </row>
    <row r="4623">
      <c r="N4623" s="5"/>
    </row>
    <row r="4624">
      <c r="N4624" s="5"/>
    </row>
    <row r="4625">
      <c r="N4625" s="5"/>
    </row>
    <row r="4626">
      <c r="N4626" s="5"/>
    </row>
    <row r="4627">
      <c r="N4627" s="5"/>
    </row>
    <row r="4628">
      <c r="N4628" s="5"/>
    </row>
    <row r="4629">
      <c r="N4629" s="5"/>
    </row>
    <row r="4630">
      <c r="N4630" s="5"/>
    </row>
    <row r="4631">
      <c r="N4631" s="5"/>
    </row>
    <row r="4632">
      <c r="N4632" s="5"/>
    </row>
    <row r="4633">
      <c r="N4633" s="5"/>
    </row>
    <row r="4634">
      <c r="N4634" s="5"/>
    </row>
    <row r="4635">
      <c r="N4635" s="5"/>
    </row>
    <row r="4636">
      <c r="N4636" s="5"/>
    </row>
    <row r="4637">
      <c r="N4637" s="5"/>
    </row>
    <row r="4638">
      <c r="N4638" s="5"/>
    </row>
    <row r="4639">
      <c r="N4639" s="5"/>
    </row>
    <row r="4640">
      <c r="N4640" s="5"/>
    </row>
    <row r="4641">
      <c r="N4641" s="5"/>
    </row>
    <row r="4642">
      <c r="N4642" s="5"/>
    </row>
    <row r="4643">
      <c r="N4643" s="5"/>
    </row>
    <row r="4644">
      <c r="N4644" s="5"/>
    </row>
    <row r="4645">
      <c r="N4645" s="5"/>
    </row>
    <row r="4646">
      <c r="N4646" s="5"/>
    </row>
    <row r="4647">
      <c r="N4647" s="5"/>
    </row>
    <row r="4648">
      <c r="N4648" s="5"/>
    </row>
    <row r="4649">
      <c r="N4649" s="5"/>
    </row>
    <row r="4650">
      <c r="N4650" s="5"/>
    </row>
    <row r="4651">
      <c r="N4651" s="5"/>
    </row>
    <row r="4652">
      <c r="N4652" s="5"/>
    </row>
    <row r="4653">
      <c r="N4653" s="5"/>
    </row>
    <row r="4654">
      <c r="N4654" s="5"/>
    </row>
    <row r="4655">
      <c r="N4655" s="5"/>
    </row>
    <row r="4656">
      <c r="N4656" s="5"/>
    </row>
    <row r="4657">
      <c r="N4657" s="5"/>
    </row>
    <row r="4658">
      <c r="N4658" s="5"/>
    </row>
    <row r="4659">
      <c r="N4659" s="5"/>
    </row>
    <row r="4660">
      <c r="N4660" s="5"/>
    </row>
    <row r="4661">
      <c r="N4661" s="5"/>
    </row>
    <row r="4662">
      <c r="N4662" s="5"/>
    </row>
    <row r="4663">
      <c r="N4663" s="5"/>
    </row>
    <row r="4664">
      <c r="N4664" s="5"/>
    </row>
    <row r="4665">
      <c r="N4665" s="5"/>
    </row>
    <row r="4666">
      <c r="N4666" s="5"/>
    </row>
    <row r="4667">
      <c r="N4667" s="5"/>
    </row>
    <row r="4668">
      <c r="N4668" s="5"/>
    </row>
    <row r="4669">
      <c r="N4669" s="5"/>
    </row>
    <row r="4670">
      <c r="N4670" s="5"/>
    </row>
    <row r="4671">
      <c r="N4671" s="5"/>
    </row>
    <row r="4672">
      <c r="N4672" s="5"/>
    </row>
    <row r="4673">
      <c r="N4673" s="5"/>
    </row>
    <row r="4674">
      <c r="N4674" s="5"/>
    </row>
    <row r="4675">
      <c r="N4675" s="5"/>
    </row>
    <row r="4676">
      <c r="N4676" s="5"/>
    </row>
    <row r="4677">
      <c r="N4677" s="5"/>
    </row>
    <row r="4678">
      <c r="N4678" s="5"/>
    </row>
    <row r="4679">
      <c r="N4679" s="5"/>
    </row>
    <row r="4680">
      <c r="N4680" s="5"/>
    </row>
    <row r="4681">
      <c r="N4681" s="5"/>
    </row>
    <row r="4682">
      <c r="N4682" s="5"/>
    </row>
    <row r="4683">
      <c r="N4683" s="5"/>
    </row>
    <row r="4684">
      <c r="N4684" s="5"/>
    </row>
    <row r="4685">
      <c r="N4685" s="5"/>
    </row>
    <row r="4686">
      <c r="N4686" s="5"/>
    </row>
    <row r="4687">
      <c r="N4687" s="5"/>
    </row>
    <row r="4688">
      <c r="N4688" s="5"/>
    </row>
    <row r="4689">
      <c r="N4689" s="5"/>
    </row>
    <row r="4690">
      <c r="N4690" s="5"/>
    </row>
    <row r="4691">
      <c r="N4691" s="5"/>
    </row>
    <row r="4692">
      <c r="N4692" s="5"/>
    </row>
    <row r="4693">
      <c r="N4693" s="5"/>
    </row>
    <row r="4694">
      <c r="N4694" s="5"/>
    </row>
    <row r="4695">
      <c r="N4695" s="5"/>
    </row>
    <row r="4696">
      <c r="N4696" s="5"/>
    </row>
    <row r="4697">
      <c r="N4697" s="5"/>
    </row>
    <row r="4698">
      <c r="N4698" s="5"/>
    </row>
    <row r="4699">
      <c r="N4699" s="5"/>
    </row>
    <row r="4700">
      <c r="N4700" s="5"/>
    </row>
    <row r="4701">
      <c r="N4701" s="5"/>
    </row>
    <row r="4702">
      <c r="N4702" s="5"/>
    </row>
    <row r="4703">
      <c r="N4703" s="5"/>
    </row>
    <row r="4704">
      <c r="N4704" s="5"/>
    </row>
    <row r="4705">
      <c r="N4705" s="5"/>
    </row>
    <row r="4706">
      <c r="N4706" s="5"/>
    </row>
    <row r="4707">
      <c r="N4707" s="5"/>
    </row>
    <row r="4708">
      <c r="N4708" s="5"/>
    </row>
    <row r="4709">
      <c r="N4709" s="5"/>
    </row>
    <row r="4710">
      <c r="N4710" s="5"/>
    </row>
    <row r="4711">
      <c r="N4711" s="5"/>
    </row>
    <row r="4712">
      <c r="N4712" s="5"/>
    </row>
    <row r="4713">
      <c r="N4713" s="5"/>
    </row>
    <row r="4714">
      <c r="N4714" s="5"/>
    </row>
    <row r="4715">
      <c r="N4715" s="5"/>
    </row>
    <row r="4716">
      <c r="N4716" s="5"/>
    </row>
    <row r="4717">
      <c r="N4717" s="5"/>
    </row>
    <row r="4718">
      <c r="N4718" s="5"/>
    </row>
    <row r="4719">
      <c r="N4719" s="5"/>
    </row>
    <row r="4720">
      <c r="N4720" s="5"/>
    </row>
    <row r="4721">
      <c r="N4721" s="5"/>
    </row>
    <row r="4722">
      <c r="N4722" s="5"/>
    </row>
    <row r="4723">
      <c r="N4723" s="5"/>
    </row>
    <row r="4724">
      <c r="N4724" s="5"/>
    </row>
    <row r="4725">
      <c r="N4725" s="5"/>
    </row>
    <row r="4726">
      <c r="N4726" s="5"/>
    </row>
    <row r="4727">
      <c r="N4727" s="5"/>
    </row>
    <row r="4728">
      <c r="N4728" s="5"/>
    </row>
    <row r="4729">
      <c r="N4729" s="5"/>
    </row>
    <row r="4730">
      <c r="N4730" s="5"/>
    </row>
    <row r="4731">
      <c r="N4731" s="5"/>
    </row>
    <row r="4732">
      <c r="N4732" s="5"/>
    </row>
    <row r="4733">
      <c r="N4733" s="5"/>
    </row>
    <row r="4734">
      <c r="N4734" s="5"/>
    </row>
    <row r="4735">
      <c r="N4735" s="5"/>
    </row>
    <row r="4736">
      <c r="N4736" s="5"/>
    </row>
    <row r="4737">
      <c r="N4737" s="5"/>
    </row>
    <row r="4738">
      <c r="N4738" s="5"/>
    </row>
    <row r="4739">
      <c r="N4739" s="5"/>
    </row>
    <row r="4740">
      <c r="N4740" s="5"/>
    </row>
    <row r="4741">
      <c r="N4741" s="5"/>
    </row>
    <row r="4742">
      <c r="N4742" s="5"/>
    </row>
    <row r="4743">
      <c r="N4743" s="5"/>
    </row>
    <row r="4744">
      <c r="N4744" s="5"/>
    </row>
    <row r="4745">
      <c r="N4745" s="5"/>
    </row>
    <row r="4746">
      <c r="N4746" s="5"/>
    </row>
    <row r="4747">
      <c r="N4747" s="5"/>
    </row>
    <row r="4748">
      <c r="N4748" s="5"/>
    </row>
    <row r="4749">
      <c r="N4749" s="5"/>
    </row>
    <row r="4750">
      <c r="N4750" s="5"/>
    </row>
    <row r="4751">
      <c r="N4751" s="5"/>
    </row>
    <row r="4752">
      <c r="N4752" s="5"/>
    </row>
    <row r="4753">
      <c r="N4753" s="5"/>
    </row>
    <row r="4754">
      <c r="N4754" s="5"/>
    </row>
    <row r="4755">
      <c r="N4755" s="5"/>
    </row>
    <row r="4756">
      <c r="N4756" s="5"/>
    </row>
    <row r="4757">
      <c r="N4757" s="5"/>
    </row>
    <row r="4758">
      <c r="N4758" s="5"/>
    </row>
    <row r="4759">
      <c r="N4759" s="5"/>
    </row>
    <row r="4760">
      <c r="N4760" s="5"/>
    </row>
    <row r="4761">
      <c r="N4761" s="5"/>
    </row>
    <row r="4762">
      <c r="N4762" s="5"/>
    </row>
    <row r="4763">
      <c r="N4763" s="5"/>
    </row>
    <row r="4764">
      <c r="N4764" s="5"/>
    </row>
    <row r="4765">
      <c r="N4765" s="5"/>
    </row>
    <row r="4766">
      <c r="N4766" s="5"/>
    </row>
    <row r="4767">
      <c r="N4767" s="5"/>
    </row>
    <row r="4768">
      <c r="N4768" s="5"/>
    </row>
    <row r="4769">
      <c r="N4769" s="5"/>
    </row>
    <row r="4770">
      <c r="N4770" s="5"/>
    </row>
    <row r="4771">
      <c r="N4771" s="5"/>
    </row>
    <row r="4772">
      <c r="N4772" s="5"/>
    </row>
    <row r="4773">
      <c r="N4773" s="5"/>
    </row>
    <row r="4774">
      <c r="N4774" s="5"/>
    </row>
    <row r="4775">
      <c r="N4775" s="5"/>
    </row>
    <row r="4776">
      <c r="N4776" s="5"/>
    </row>
    <row r="4777">
      <c r="N4777" s="5"/>
    </row>
    <row r="4778">
      <c r="N4778" s="5"/>
    </row>
    <row r="4779">
      <c r="N4779" s="5"/>
    </row>
    <row r="4780">
      <c r="N4780" s="5"/>
    </row>
    <row r="4781">
      <c r="N4781" s="5"/>
    </row>
    <row r="4782">
      <c r="N4782" s="5"/>
    </row>
    <row r="4783">
      <c r="N4783" s="5"/>
    </row>
    <row r="4784">
      <c r="N4784" s="5"/>
    </row>
    <row r="4785">
      <c r="N4785" s="5"/>
    </row>
    <row r="4786">
      <c r="N4786" s="5"/>
    </row>
    <row r="4787">
      <c r="N4787" s="5"/>
    </row>
    <row r="4788">
      <c r="N4788" s="5"/>
    </row>
    <row r="4789">
      <c r="N4789" s="5"/>
    </row>
    <row r="4790">
      <c r="N4790" s="5"/>
    </row>
    <row r="4791">
      <c r="N4791" s="5"/>
    </row>
    <row r="4792">
      <c r="N4792" s="5"/>
    </row>
    <row r="4793">
      <c r="N4793" s="5"/>
    </row>
    <row r="4794">
      <c r="N4794" s="5"/>
    </row>
    <row r="4795">
      <c r="N4795" s="5"/>
    </row>
    <row r="4796">
      <c r="N4796" s="5"/>
    </row>
    <row r="4797">
      <c r="N4797" s="5"/>
    </row>
    <row r="4798">
      <c r="N4798" s="5"/>
    </row>
    <row r="4799">
      <c r="N4799" s="5"/>
    </row>
    <row r="4800">
      <c r="N4800" s="5"/>
    </row>
    <row r="4801">
      <c r="N4801" s="5"/>
    </row>
    <row r="4802">
      <c r="N4802" s="5"/>
    </row>
    <row r="4803">
      <c r="N4803" s="5"/>
    </row>
    <row r="4804">
      <c r="N4804" s="5"/>
    </row>
    <row r="4805">
      <c r="N4805" s="5"/>
    </row>
    <row r="4806">
      <c r="N4806" s="5"/>
    </row>
    <row r="4807">
      <c r="N4807" s="5"/>
    </row>
    <row r="4808">
      <c r="N4808" s="5"/>
    </row>
    <row r="4809">
      <c r="N4809" s="5"/>
    </row>
    <row r="4810">
      <c r="N4810" s="5"/>
    </row>
    <row r="4811">
      <c r="N4811" s="5"/>
    </row>
    <row r="4812">
      <c r="N4812" s="5"/>
    </row>
    <row r="4813">
      <c r="N4813" s="5"/>
    </row>
    <row r="4814">
      <c r="N4814" s="5"/>
    </row>
    <row r="4815">
      <c r="N4815" s="5"/>
    </row>
    <row r="4816">
      <c r="N4816" s="5"/>
    </row>
    <row r="4817">
      <c r="N4817" s="5"/>
    </row>
    <row r="4818">
      <c r="N4818" s="5"/>
    </row>
    <row r="4819">
      <c r="N4819" s="5"/>
    </row>
    <row r="4820">
      <c r="N4820" s="5"/>
    </row>
    <row r="4821">
      <c r="N4821" s="5"/>
    </row>
    <row r="4822">
      <c r="N4822" s="5"/>
    </row>
    <row r="4823">
      <c r="N4823" s="5"/>
    </row>
    <row r="4824">
      <c r="N4824" s="5"/>
    </row>
    <row r="4825">
      <c r="N4825" s="5"/>
    </row>
    <row r="4826">
      <c r="N4826" s="5"/>
    </row>
    <row r="4827">
      <c r="N4827" s="5"/>
    </row>
    <row r="4828">
      <c r="N4828" s="5"/>
    </row>
    <row r="4829">
      <c r="N4829" s="5"/>
    </row>
    <row r="4830">
      <c r="N4830" s="5"/>
    </row>
    <row r="4831">
      <c r="N4831" s="5"/>
    </row>
    <row r="4832">
      <c r="N4832" s="5"/>
    </row>
    <row r="4833">
      <c r="N4833" s="5"/>
    </row>
    <row r="4834">
      <c r="N4834" s="5"/>
    </row>
    <row r="4835">
      <c r="N4835" s="5"/>
    </row>
    <row r="4836">
      <c r="N4836" s="5"/>
    </row>
    <row r="4837">
      <c r="N4837" s="5"/>
    </row>
    <row r="4838">
      <c r="N4838" s="5"/>
    </row>
    <row r="4839">
      <c r="N4839" s="5"/>
    </row>
    <row r="4840">
      <c r="N4840" s="5"/>
    </row>
    <row r="4841">
      <c r="N4841" s="5"/>
    </row>
    <row r="4842">
      <c r="N4842" s="5"/>
    </row>
    <row r="4843">
      <c r="N4843" s="5"/>
    </row>
    <row r="4844">
      <c r="N4844" s="5"/>
    </row>
    <row r="4845">
      <c r="N4845" s="5"/>
    </row>
    <row r="4846">
      <c r="N4846" s="5"/>
    </row>
    <row r="4847">
      <c r="N4847" s="5"/>
    </row>
    <row r="4848">
      <c r="N4848" s="5"/>
    </row>
    <row r="4849">
      <c r="N4849" s="5"/>
    </row>
    <row r="4850">
      <c r="N4850" s="5"/>
    </row>
    <row r="4851">
      <c r="N4851" s="5"/>
    </row>
    <row r="4852">
      <c r="N4852" s="5"/>
    </row>
    <row r="4853">
      <c r="N4853" s="5"/>
    </row>
    <row r="4854">
      <c r="N4854" s="5"/>
    </row>
    <row r="4855">
      <c r="N4855" s="5"/>
    </row>
    <row r="4856">
      <c r="N4856" s="5"/>
    </row>
    <row r="4857">
      <c r="N4857" s="5"/>
    </row>
    <row r="4858">
      <c r="N4858" s="5"/>
    </row>
    <row r="4859">
      <c r="N4859" s="5"/>
    </row>
    <row r="4860">
      <c r="N4860" s="5"/>
    </row>
    <row r="4861">
      <c r="N4861" s="5"/>
    </row>
    <row r="4862">
      <c r="N4862" s="5"/>
    </row>
    <row r="4863">
      <c r="N4863" s="5"/>
    </row>
    <row r="4864">
      <c r="N4864" s="5"/>
    </row>
    <row r="4865">
      <c r="N4865" s="5"/>
    </row>
    <row r="4866">
      <c r="N4866" s="5"/>
    </row>
    <row r="4867">
      <c r="N4867" s="5"/>
    </row>
    <row r="4868">
      <c r="N4868" s="5"/>
    </row>
    <row r="4869">
      <c r="N4869" s="5"/>
    </row>
    <row r="4870">
      <c r="N4870" s="5"/>
    </row>
    <row r="4871">
      <c r="N4871" s="5"/>
    </row>
    <row r="4872">
      <c r="N4872" s="5"/>
    </row>
    <row r="4873">
      <c r="N4873" s="5"/>
    </row>
    <row r="4874">
      <c r="N4874" s="5"/>
    </row>
    <row r="4875">
      <c r="N4875" s="5"/>
    </row>
    <row r="4876">
      <c r="N4876" s="5"/>
    </row>
    <row r="4877">
      <c r="N4877" s="5"/>
    </row>
    <row r="4878">
      <c r="N4878" s="5"/>
    </row>
    <row r="4879">
      <c r="N4879" s="5"/>
    </row>
    <row r="4880">
      <c r="N4880" s="5"/>
    </row>
    <row r="4881">
      <c r="N4881" s="5"/>
    </row>
    <row r="4882">
      <c r="N4882" s="5"/>
    </row>
    <row r="4883">
      <c r="N4883" s="5"/>
    </row>
    <row r="4884">
      <c r="N4884" s="5"/>
    </row>
    <row r="4885">
      <c r="N4885" s="5"/>
    </row>
    <row r="4886">
      <c r="N4886" s="5"/>
    </row>
    <row r="4887">
      <c r="N4887" s="5"/>
    </row>
    <row r="4888">
      <c r="N4888" s="5"/>
    </row>
    <row r="4889">
      <c r="N4889" s="5"/>
    </row>
    <row r="4890">
      <c r="N4890" s="5"/>
    </row>
    <row r="4891">
      <c r="N4891" s="5"/>
    </row>
    <row r="4892">
      <c r="N4892" s="5"/>
    </row>
    <row r="4893">
      <c r="N4893" s="5"/>
    </row>
    <row r="4894">
      <c r="N4894" s="5"/>
    </row>
    <row r="4895">
      <c r="N4895" s="5"/>
    </row>
    <row r="4896">
      <c r="N4896" s="5"/>
    </row>
    <row r="4897">
      <c r="N4897" s="5"/>
    </row>
    <row r="4898">
      <c r="N4898" s="5"/>
    </row>
    <row r="4899">
      <c r="N4899" s="5"/>
    </row>
    <row r="4900">
      <c r="N4900" s="5"/>
    </row>
    <row r="4901">
      <c r="N4901" s="5"/>
    </row>
    <row r="4902">
      <c r="N4902" s="5"/>
    </row>
    <row r="4903">
      <c r="N4903" s="5"/>
    </row>
    <row r="4904">
      <c r="N4904" s="5"/>
    </row>
    <row r="4905">
      <c r="N4905" s="5"/>
    </row>
    <row r="4906">
      <c r="N4906" s="5"/>
    </row>
    <row r="4907">
      <c r="N4907" s="5"/>
    </row>
    <row r="4908">
      <c r="N4908" s="5"/>
    </row>
    <row r="4909">
      <c r="N4909" s="5"/>
    </row>
    <row r="4910">
      <c r="N4910" s="5"/>
    </row>
    <row r="4911">
      <c r="N4911" s="5"/>
    </row>
    <row r="4912">
      <c r="N4912" s="5"/>
    </row>
    <row r="4913">
      <c r="N4913" s="5"/>
    </row>
    <row r="4914">
      <c r="N4914" s="5"/>
    </row>
    <row r="4915">
      <c r="N4915" s="5"/>
    </row>
    <row r="4916">
      <c r="N4916" s="5"/>
    </row>
    <row r="4917">
      <c r="N4917" s="5"/>
    </row>
    <row r="4918">
      <c r="N4918" s="5"/>
    </row>
    <row r="4919">
      <c r="N4919" s="5"/>
    </row>
    <row r="4920">
      <c r="N4920" s="5"/>
    </row>
    <row r="4921">
      <c r="N4921" s="5"/>
    </row>
    <row r="4922">
      <c r="N4922" s="5"/>
    </row>
    <row r="4923">
      <c r="N4923" s="5"/>
    </row>
    <row r="4924">
      <c r="N4924" s="5"/>
    </row>
    <row r="4925">
      <c r="N4925" s="5"/>
    </row>
    <row r="4926">
      <c r="N4926" s="5"/>
    </row>
    <row r="4927">
      <c r="N4927" s="5"/>
    </row>
    <row r="4928">
      <c r="N4928" s="5"/>
    </row>
    <row r="4929">
      <c r="N4929" s="5"/>
    </row>
    <row r="4930">
      <c r="N4930" s="5"/>
    </row>
    <row r="4931">
      <c r="N4931" s="5"/>
    </row>
    <row r="4932">
      <c r="N4932" s="5"/>
    </row>
    <row r="4933">
      <c r="N4933" s="5"/>
    </row>
    <row r="4934">
      <c r="N4934" s="5"/>
    </row>
    <row r="4935">
      <c r="N4935" s="5"/>
    </row>
    <row r="4936">
      <c r="N4936" s="5"/>
    </row>
    <row r="4937">
      <c r="N4937" s="5"/>
    </row>
    <row r="4938">
      <c r="N4938" s="5"/>
    </row>
    <row r="4939">
      <c r="N4939" s="5"/>
    </row>
    <row r="4940">
      <c r="N4940" s="5"/>
    </row>
    <row r="4941">
      <c r="N4941" s="5"/>
    </row>
    <row r="4942">
      <c r="N4942" s="5"/>
    </row>
    <row r="4943">
      <c r="N4943" s="5"/>
    </row>
    <row r="4944">
      <c r="N4944" s="5"/>
    </row>
    <row r="4945">
      <c r="N4945" s="5"/>
    </row>
    <row r="4946">
      <c r="N4946" s="5"/>
    </row>
    <row r="4947">
      <c r="N4947" s="5"/>
    </row>
    <row r="4948">
      <c r="N4948" s="5"/>
    </row>
    <row r="4949">
      <c r="N4949" s="5"/>
    </row>
    <row r="4950">
      <c r="N4950" s="5"/>
    </row>
    <row r="4951">
      <c r="N4951" s="5"/>
    </row>
    <row r="4952">
      <c r="N4952" s="5"/>
    </row>
    <row r="4953">
      <c r="N4953" s="5"/>
    </row>
    <row r="4954">
      <c r="N4954" s="5"/>
    </row>
    <row r="4955">
      <c r="N4955" s="5"/>
    </row>
    <row r="4956">
      <c r="N4956" s="5"/>
    </row>
    <row r="4957">
      <c r="N4957" s="5"/>
    </row>
    <row r="4958">
      <c r="N4958" s="5"/>
    </row>
    <row r="4959">
      <c r="N4959" s="5"/>
    </row>
    <row r="4960">
      <c r="N4960" s="5"/>
    </row>
    <row r="4961">
      <c r="N4961" s="5"/>
    </row>
    <row r="4962">
      <c r="N4962" s="5"/>
    </row>
    <row r="4963">
      <c r="N4963" s="5"/>
    </row>
    <row r="4964">
      <c r="N4964" s="5"/>
    </row>
    <row r="4965">
      <c r="N4965" s="5"/>
    </row>
    <row r="4966">
      <c r="N4966" s="5"/>
    </row>
    <row r="4967">
      <c r="N4967" s="5"/>
    </row>
    <row r="4968">
      <c r="N4968" s="5"/>
    </row>
    <row r="4969">
      <c r="N4969" s="5"/>
    </row>
    <row r="4970">
      <c r="N4970" s="5"/>
    </row>
    <row r="4971">
      <c r="N4971" s="5"/>
    </row>
    <row r="4972">
      <c r="N4972" s="5"/>
    </row>
    <row r="4973">
      <c r="N4973" s="5"/>
    </row>
    <row r="4974">
      <c r="N4974" s="5"/>
    </row>
    <row r="4975">
      <c r="N4975" s="5"/>
    </row>
    <row r="4976">
      <c r="N4976" s="5"/>
    </row>
    <row r="4977">
      <c r="N4977" s="5"/>
    </row>
    <row r="4978">
      <c r="N4978" s="5"/>
    </row>
    <row r="4979">
      <c r="N4979" s="5"/>
    </row>
    <row r="4980">
      <c r="N4980" s="5"/>
    </row>
    <row r="4981">
      <c r="N4981" s="5"/>
    </row>
    <row r="4982">
      <c r="N4982" s="5"/>
    </row>
    <row r="4983">
      <c r="N4983" s="5"/>
    </row>
    <row r="4984">
      <c r="N4984" s="5"/>
    </row>
    <row r="4985">
      <c r="N4985" s="5"/>
    </row>
    <row r="4986">
      <c r="N4986" s="5"/>
    </row>
    <row r="4987">
      <c r="N4987" s="5"/>
    </row>
    <row r="4988">
      <c r="N4988" s="5"/>
    </row>
    <row r="4989">
      <c r="N4989" s="5"/>
    </row>
    <row r="4990">
      <c r="N4990" s="5"/>
    </row>
    <row r="4991">
      <c r="N4991" s="5"/>
    </row>
    <row r="4992">
      <c r="N4992" s="5"/>
    </row>
    <row r="4993">
      <c r="N4993" s="5"/>
    </row>
    <row r="4994">
      <c r="N4994" s="5"/>
    </row>
    <row r="4995">
      <c r="N4995" s="5"/>
    </row>
    <row r="4996">
      <c r="N4996" s="5"/>
    </row>
    <row r="4997">
      <c r="N4997" s="5"/>
    </row>
    <row r="4998">
      <c r="N4998" s="5"/>
    </row>
    <row r="4999">
      <c r="N4999" s="5"/>
    </row>
    <row r="5000">
      <c r="N5000" s="5"/>
    </row>
    <row r="5001">
      <c r="N5001" s="5"/>
    </row>
    <row r="5002">
      <c r="N5002" s="5"/>
    </row>
    <row r="5003">
      <c r="N5003" s="5"/>
    </row>
    <row r="5004">
      <c r="N5004" s="5"/>
    </row>
    <row r="5005">
      <c r="N5005" s="5"/>
    </row>
    <row r="5006">
      <c r="N5006" s="5"/>
    </row>
    <row r="5007">
      <c r="N5007" s="5"/>
    </row>
    <row r="5008">
      <c r="N5008" s="5"/>
    </row>
    <row r="5009">
      <c r="N5009" s="5"/>
    </row>
    <row r="5010">
      <c r="N5010" s="5"/>
    </row>
    <row r="5011">
      <c r="N5011" s="5"/>
    </row>
    <row r="5012">
      <c r="N5012" s="5"/>
    </row>
    <row r="5013">
      <c r="N5013" s="5"/>
    </row>
    <row r="5014">
      <c r="N5014" s="5"/>
    </row>
    <row r="5015">
      <c r="N5015" s="5"/>
    </row>
    <row r="5016">
      <c r="N5016" s="5"/>
    </row>
    <row r="5017">
      <c r="N5017" s="5"/>
    </row>
    <row r="5018">
      <c r="N5018" s="5"/>
    </row>
    <row r="5019">
      <c r="N5019" s="5"/>
    </row>
    <row r="5020">
      <c r="N5020" s="5"/>
    </row>
    <row r="5021">
      <c r="N5021" s="5"/>
    </row>
    <row r="5022">
      <c r="N5022" s="5"/>
    </row>
    <row r="5023">
      <c r="N5023" s="5"/>
    </row>
    <row r="5024">
      <c r="N5024" s="5"/>
    </row>
    <row r="5025">
      <c r="N5025" s="5"/>
    </row>
    <row r="5026">
      <c r="N5026" s="5"/>
    </row>
    <row r="5027">
      <c r="N5027" s="5"/>
    </row>
    <row r="5028">
      <c r="N5028" s="5"/>
    </row>
    <row r="5029">
      <c r="N5029" s="5"/>
    </row>
    <row r="5030">
      <c r="N5030" s="5"/>
    </row>
    <row r="5031">
      <c r="N5031" s="5"/>
    </row>
    <row r="5032">
      <c r="N5032" s="5"/>
    </row>
    <row r="5033">
      <c r="N5033" s="5"/>
    </row>
    <row r="5034">
      <c r="N5034" s="5"/>
    </row>
    <row r="5035">
      <c r="N5035" s="5"/>
    </row>
    <row r="5036">
      <c r="N5036" s="5"/>
    </row>
    <row r="5037">
      <c r="N5037" s="5"/>
    </row>
    <row r="5038">
      <c r="N5038" s="5"/>
    </row>
    <row r="5039">
      <c r="N5039" s="5"/>
    </row>
    <row r="5040">
      <c r="N5040" s="5"/>
    </row>
    <row r="5041">
      <c r="N5041" s="5"/>
    </row>
    <row r="5042">
      <c r="N5042" s="5"/>
    </row>
    <row r="5043">
      <c r="N5043" s="5"/>
    </row>
    <row r="5044">
      <c r="N5044" s="5"/>
    </row>
    <row r="5045">
      <c r="N5045" s="5"/>
    </row>
    <row r="5046">
      <c r="N5046" s="5"/>
    </row>
    <row r="5047">
      <c r="N5047" s="5"/>
    </row>
    <row r="5048">
      <c r="N5048" s="5"/>
    </row>
    <row r="5049">
      <c r="N5049" s="5"/>
    </row>
    <row r="5050">
      <c r="N5050" s="5"/>
    </row>
    <row r="5051">
      <c r="N5051" s="5"/>
    </row>
    <row r="5052">
      <c r="N5052" s="5"/>
    </row>
    <row r="5053">
      <c r="N5053" s="5"/>
    </row>
    <row r="5054">
      <c r="N5054" s="5"/>
    </row>
    <row r="5055">
      <c r="N5055" s="5"/>
    </row>
    <row r="5056">
      <c r="N5056" s="5"/>
    </row>
    <row r="5057">
      <c r="N5057" s="5"/>
    </row>
    <row r="5058">
      <c r="N5058" s="5"/>
    </row>
    <row r="5059">
      <c r="I5059" s="4"/>
      <c r="N5059" s="5"/>
    </row>
    <row r="5060">
      <c r="N5060" s="5"/>
    </row>
    <row r="5061">
      <c r="N5061" s="5"/>
    </row>
    <row r="5062">
      <c r="N5062" s="5"/>
    </row>
    <row r="5063">
      <c r="N5063" s="5"/>
    </row>
    <row r="5064">
      <c r="N5064" s="5"/>
    </row>
    <row r="5065">
      <c r="N5065" s="5"/>
    </row>
    <row r="5066">
      <c r="N5066" s="5"/>
    </row>
    <row r="5067">
      <c r="N5067" s="5"/>
    </row>
    <row r="5068">
      <c r="N5068" s="5"/>
    </row>
    <row r="5069">
      <c r="N5069" s="5"/>
    </row>
    <row r="5070">
      <c r="N5070" s="5"/>
    </row>
    <row r="5071">
      <c r="N5071" s="5"/>
    </row>
    <row r="5072">
      <c r="N5072" s="5"/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  <row r="8603">
      <c r="N8603" s="5"/>
    </row>
    <row r="8604">
      <c r="N8604" s="5"/>
    </row>
    <row r="8605">
      <c r="N8605" s="5"/>
    </row>
    <row r="8606">
      <c r="N8606" s="5"/>
    </row>
    <row r="8607">
      <c r="N8607" s="5"/>
    </row>
    <row r="8608">
      <c r="N8608" s="5"/>
    </row>
    <row r="8609">
      <c r="N8609" s="5"/>
    </row>
    <row r="8610">
      <c r="N8610" s="5"/>
    </row>
    <row r="8611">
      <c r="N8611" s="5"/>
    </row>
    <row r="8612">
      <c r="N8612" s="5"/>
    </row>
    <row r="8613">
      <c r="N8613" s="5"/>
    </row>
    <row r="8614">
      <c r="N8614" s="5"/>
    </row>
    <row r="8615">
      <c r="N8615" s="5"/>
    </row>
    <row r="8616">
      <c r="N8616" s="5"/>
    </row>
    <row r="8617">
      <c r="N8617" s="5"/>
    </row>
    <row r="8618">
      <c r="N8618" s="5"/>
    </row>
    <row r="8619">
      <c r="N8619" s="5"/>
    </row>
    <row r="8620">
      <c r="N8620" s="5"/>
    </row>
    <row r="8621">
      <c r="N8621" s="5"/>
    </row>
    <row r="8622">
      <c r="N8622" s="5"/>
    </row>
    <row r="8623">
      <c r="N8623" s="5"/>
    </row>
    <row r="8624">
      <c r="N8624" s="5"/>
    </row>
    <row r="8625">
      <c r="N8625" s="5"/>
    </row>
    <row r="8626">
      <c r="N8626" s="5"/>
    </row>
    <row r="8627">
      <c r="N8627" s="5"/>
    </row>
    <row r="8628">
      <c r="N8628" s="5"/>
    </row>
    <row r="8629">
      <c r="N8629" s="5"/>
    </row>
    <row r="8630">
      <c r="N8630" s="5"/>
    </row>
    <row r="8631">
      <c r="N8631" s="5"/>
    </row>
    <row r="8632">
      <c r="N8632" s="5"/>
    </row>
    <row r="8633">
      <c r="N8633" s="5"/>
    </row>
    <row r="8634">
      <c r="N8634" s="5"/>
    </row>
    <row r="8635">
      <c r="N8635" s="5"/>
    </row>
    <row r="8636">
      <c r="N8636" s="5"/>
    </row>
    <row r="8637">
      <c r="N8637" s="5"/>
    </row>
    <row r="8638">
      <c r="N8638" s="5"/>
    </row>
    <row r="8639">
      <c r="N8639" s="5"/>
    </row>
    <row r="8640">
      <c r="N8640" s="5"/>
    </row>
    <row r="8641">
      <c r="N8641" s="5"/>
    </row>
    <row r="8642">
      <c r="N8642" s="5"/>
    </row>
    <row r="8643">
      <c r="N8643" s="5"/>
    </row>
    <row r="8644">
      <c r="N8644" s="5"/>
    </row>
    <row r="8645">
      <c r="N8645" s="5"/>
    </row>
    <row r="8646">
      <c r="N8646" s="5"/>
    </row>
    <row r="8647">
      <c r="N8647" s="5"/>
    </row>
    <row r="8648">
      <c r="N8648" s="5"/>
    </row>
    <row r="8649">
      <c r="N8649" s="5"/>
    </row>
    <row r="8650">
      <c r="N8650" s="5"/>
    </row>
    <row r="8651">
      <c r="N8651" s="5"/>
    </row>
    <row r="8652">
      <c r="N8652" s="5"/>
    </row>
    <row r="8653">
      <c r="N8653" s="5"/>
    </row>
    <row r="8654">
      <c r="N8654" s="5"/>
    </row>
    <row r="8655">
      <c r="N8655" s="5"/>
    </row>
    <row r="8656">
      <c r="N8656" s="5"/>
    </row>
    <row r="8657">
      <c r="N8657" s="5"/>
    </row>
    <row r="8658">
      <c r="N8658" s="5"/>
    </row>
    <row r="8659">
      <c r="N8659" s="5"/>
    </row>
    <row r="8660">
      <c r="N8660" s="5"/>
    </row>
    <row r="8661">
      <c r="N8661" s="5"/>
    </row>
    <row r="8662">
      <c r="N8662" s="5"/>
    </row>
    <row r="8663">
      <c r="N8663" s="5"/>
    </row>
    <row r="8664">
      <c r="N8664" s="5"/>
    </row>
    <row r="8665">
      <c r="N8665" s="5"/>
    </row>
    <row r="8666">
      <c r="N8666" s="5"/>
    </row>
    <row r="8667">
      <c r="N8667" s="5"/>
    </row>
    <row r="8668">
      <c r="N8668" s="5"/>
    </row>
    <row r="8669">
      <c r="N8669" s="5"/>
    </row>
    <row r="8670">
      <c r="N8670" s="5"/>
    </row>
    <row r="8671">
      <c r="N8671" s="5"/>
    </row>
    <row r="8672">
      <c r="N8672" s="5"/>
    </row>
    <row r="8673">
      <c r="N8673" s="5"/>
    </row>
    <row r="8674">
      <c r="N8674" s="5"/>
    </row>
    <row r="8675">
      <c r="N8675" s="5"/>
    </row>
    <row r="8676">
      <c r="N8676" s="5"/>
    </row>
    <row r="8677">
      <c r="N8677" s="5"/>
    </row>
    <row r="8678">
      <c r="N8678" s="5"/>
    </row>
    <row r="8679">
      <c r="N8679" s="5"/>
    </row>
    <row r="8680">
      <c r="N8680" s="5"/>
    </row>
    <row r="8681">
      <c r="N8681" s="5"/>
    </row>
    <row r="8682">
      <c r="N8682" s="5"/>
    </row>
    <row r="8683">
      <c r="N8683" s="5"/>
    </row>
    <row r="8684">
      <c r="N8684" s="5"/>
    </row>
    <row r="8685">
      <c r="N8685" s="5"/>
    </row>
    <row r="8686">
      <c r="N8686" s="5"/>
    </row>
    <row r="8687">
      <c r="N8687" s="5"/>
    </row>
    <row r="8688">
      <c r="N8688" s="5"/>
    </row>
    <row r="8689">
      <c r="N8689" s="5"/>
    </row>
    <row r="8690">
      <c r="N8690" s="5"/>
    </row>
    <row r="8691">
      <c r="N8691" s="5"/>
    </row>
    <row r="8692">
      <c r="N8692" s="5"/>
    </row>
    <row r="8693">
      <c r="N8693" s="5"/>
    </row>
    <row r="8694">
      <c r="N8694" s="5"/>
    </row>
    <row r="8695">
      <c r="N8695" s="5"/>
    </row>
    <row r="8696">
      <c r="N8696" s="5"/>
    </row>
    <row r="8697">
      <c r="N8697" s="5"/>
    </row>
    <row r="8698">
      <c r="N8698" s="5"/>
    </row>
    <row r="8699">
      <c r="N8699" s="5"/>
    </row>
    <row r="8700">
      <c r="N8700" s="5"/>
    </row>
    <row r="8701">
      <c r="N8701" s="5"/>
    </row>
    <row r="8702">
      <c r="N8702" s="5"/>
    </row>
    <row r="8703">
      <c r="N8703" s="5"/>
    </row>
    <row r="8704">
      <c r="N8704" s="5"/>
    </row>
    <row r="8705">
      <c r="N8705" s="5"/>
    </row>
    <row r="8706">
      <c r="N8706" s="5"/>
    </row>
    <row r="8707">
      <c r="N8707" s="5"/>
    </row>
    <row r="8708">
      <c r="N8708" s="5"/>
    </row>
    <row r="8709">
      <c r="N8709" s="5"/>
    </row>
    <row r="8710">
      <c r="N8710" s="5"/>
    </row>
    <row r="8711">
      <c r="N8711" s="5"/>
    </row>
    <row r="8712">
      <c r="N8712" s="5"/>
    </row>
    <row r="8713">
      <c r="N8713" s="5"/>
    </row>
    <row r="8714">
      <c r="N8714" s="5"/>
    </row>
    <row r="8715">
      <c r="N8715" s="5"/>
    </row>
    <row r="8716">
      <c r="N8716" s="5"/>
    </row>
    <row r="8717">
      <c r="N8717" s="5"/>
    </row>
    <row r="8718">
      <c r="N8718" s="5"/>
    </row>
    <row r="8719">
      <c r="N8719" s="5"/>
    </row>
    <row r="8720">
      <c r="N8720" s="5"/>
    </row>
    <row r="8721">
      <c r="N8721" s="5"/>
    </row>
    <row r="8722">
      <c r="N8722" s="5"/>
    </row>
    <row r="8723">
      <c r="N8723" s="5"/>
    </row>
    <row r="8724">
      <c r="N8724" s="5"/>
    </row>
    <row r="8725">
      <c r="N8725" s="5"/>
    </row>
    <row r="8726">
      <c r="N8726" s="5"/>
    </row>
    <row r="8727">
      <c r="N8727" s="5"/>
    </row>
    <row r="8728">
      <c r="N8728" s="5"/>
    </row>
    <row r="8729">
      <c r="N8729" s="5"/>
    </row>
    <row r="8730">
      <c r="N8730" s="5"/>
    </row>
    <row r="8731">
      <c r="N8731" s="5"/>
    </row>
    <row r="8732">
      <c r="N8732" s="5"/>
    </row>
    <row r="8733">
      <c r="N8733" s="5"/>
    </row>
    <row r="8734">
      <c r="N8734" s="5"/>
    </row>
    <row r="8735">
      <c r="N8735" s="5"/>
    </row>
    <row r="8736">
      <c r="N8736" s="5"/>
    </row>
    <row r="8737">
      <c r="N8737" s="5"/>
    </row>
    <row r="8738">
      <c r="N8738" s="5"/>
    </row>
    <row r="8739">
      <c r="N8739" s="5"/>
    </row>
    <row r="8740">
      <c r="N8740" s="5"/>
    </row>
    <row r="8741">
      <c r="N8741" s="5"/>
    </row>
    <row r="8742">
      <c r="N8742" s="5"/>
    </row>
    <row r="8743">
      <c r="N8743" s="5"/>
    </row>
    <row r="8744">
      <c r="N8744" s="5"/>
    </row>
    <row r="8745">
      <c r="N8745" s="5"/>
    </row>
    <row r="8746">
      <c r="N8746" s="5"/>
    </row>
    <row r="8747">
      <c r="N8747" s="5"/>
    </row>
    <row r="8748">
      <c r="N8748" s="5"/>
    </row>
    <row r="8749">
      <c r="N8749" s="5"/>
    </row>
    <row r="8750">
      <c r="N8750" s="5"/>
    </row>
    <row r="8751">
      <c r="N8751" s="5"/>
    </row>
    <row r="8752">
      <c r="N8752" s="5"/>
    </row>
    <row r="8753">
      <c r="N8753" s="5"/>
    </row>
    <row r="8754">
      <c r="N8754" s="5"/>
    </row>
    <row r="8755">
      <c r="N8755" s="5"/>
    </row>
    <row r="8756">
      <c r="N8756" s="5"/>
    </row>
    <row r="8757">
      <c r="N8757" s="5"/>
    </row>
    <row r="8758">
      <c r="N8758" s="5"/>
    </row>
    <row r="8759">
      <c r="N8759" s="5"/>
    </row>
    <row r="8760">
      <c r="N8760" s="5"/>
    </row>
    <row r="8761">
      <c r="N8761" s="5"/>
    </row>
    <row r="8762">
      <c r="N8762" s="5"/>
    </row>
    <row r="8763">
      <c r="N8763" s="5"/>
    </row>
    <row r="8764">
      <c r="N8764" s="5"/>
    </row>
    <row r="8765">
      <c r="N8765" s="5"/>
    </row>
    <row r="8766">
      <c r="N8766" s="5"/>
    </row>
    <row r="8767">
      <c r="N8767" s="5"/>
    </row>
    <row r="8768">
      <c r="N8768" s="5"/>
    </row>
    <row r="8769">
      <c r="N8769" s="5"/>
    </row>
    <row r="8770">
      <c r="N8770" s="5"/>
    </row>
    <row r="8771">
      <c r="N8771" s="5"/>
    </row>
    <row r="8772">
      <c r="N8772" s="5"/>
    </row>
    <row r="8773">
      <c r="N8773" s="5"/>
    </row>
    <row r="8774">
      <c r="N8774" s="5"/>
    </row>
    <row r="8775">
      <c r="N8775" s="5"/>
    </row>
    <row r="8776">
      <c r="N8776" s="5"/>
    </row>
    <row r="8777">
      <c r="N8777" s="5"/>
    </row>
    <row r="8778">
      <c r="N8778" s="5"/>
    </row>
    <row r="8779">
      <c r="N8779" s="5"/>
    </row>
    <row r="8780">
      <c r="N8780" s="5"/>
    </row>
    <row r="8781">
      <c r="N8781" s="5"/>
    </row>
    <row r="8782">
      <c r="N8782" s="5"/>
    </row>
    <row r="8783">
      <c r="N8783" s="5"/>
    </row>
    <row r="8784">
      <c r="N8784" s="5"/>
    </row>
    <row r="8785">
      <c r="N8785" s="5"/>
    </row>
    <row r="8786">
      <c r="N8786" s="5"/>
    </row>
    <row r="8787">
      <c r="N8787" s="5"/>
    </row>
    <row r="8788">
      <c r="N8788" s="5"/>
    </row>
    <row r="8789">
      <c r="N8789" s="5"/>
    </row>
    <row r="8790">
      <c r="N8790" s="5"/>
    </row>
    <row r="8791">
      <c r="N8791" s="5"/>
    </row>
    <row r="8792">
      <c r="N8792" s="5"/>
    </row>
    <row r="8793">
      <c r="N8793" s="5"/>
    </row>
    <row r="8794">
      <c r="N8794" s="5"/>
    </row>
    <row r="8795">
      <c r="N8795" s="5"/>
    </row>
    <row r="8796">
      <c r="N8796" s="5"/>
    </row>
    <row r="8797">
      <c r="N8797" s="5"/>
    </row>
    <row r="8798">
      <c r="N8798" s="5"/>
    </row>
    <row r="8799">
      <c r="N8799" s="5"/>
    </row>
    <row r="8800">
      <c r="N8800" s="5"/>
    </row>
    <row r="8801">
      <c r="N8801" s="5"/>
    </row>
    <row r="8802">
      <c r="N8802" s="5"/>
    </row>
    <row r="8803">
      <c r="N8803" s="5"/>
    </row>
    <row r="8804">
      <c r="N8804" s="5"/>
    </row>
    <row r="8805">
      <c r="N8805" s="5"/>
    </row>
    <row r="8806">
      <c r="N8806" s="5"/>
    </row>
    <row r="8807">
      <c r="N8807" s="5"/>
    </row>
    <row r="8808">
      <c r="N8808" s="5"/>
    </row>
    <row r="8809">
      <c r="N8809" s="5"/>
    </row>
    <row r="8810">
      <c r="N8810" s="5"/>
    </row>
    <row r="8811">
      <c r="N8811" s="5"/>
    </row>
    <row r="8812">
      <c r="N8812" s="5"/>
    </row>
    <row r="8813">
      <c r="N8813" s="5"/>
    </row>
    <row r="8814">
      <c r="N8814" s="5"/>
    </row>
    <row r="8815">
      <c r="N8815" s="5"/>
    </row>
    <row r="8816">
      <c r="N8816" s="5"/>
    </row>
    <row r="8817">
      <c r="N8817" s="5"/>
    </row>
    <row r="8818">
      <c r="N8818" s="5"/>
    </row>
    <row r="8819">
      <c r="N8819" s="5"/>
    </row>
    <row r="8820">
      <c r="N8820" s="5"/>
    </row>
    <row r="8821">
      <c r="N8821" s="5"/>
    </row>
    <row r="8822">
      <c r="N8822" s="5"/>
    </row>
    <row r="8823">
      <c r="N8823" s="5"/>
    </row>
    <row r="8824">
      <c r="N8824" s="5"/>
    </row>
    <row r="8825">
      <c r="N8825" s="5"/>
    </row>
    <row r="8826">
      <c r="N8826" s="5"/>
    </row>
    <row r="8827">
      <c r="N8827" s="5"/>
    </row>
    <row r="8828">
      <c r="N8828" s="5"/>
    </row>
    <row r="8829">
      <c r="N8829" s="5"/>
    </row>
    <row r="8830">
      <c r="N8830" s="5"/>
    </row>
    <row r="8831">
      <c r="N8831" s="5"/>
    </row>
    <row r="8832">
      <c r="N8832" s="5"/>
    </row>
    <row r="8833">
      <c r="N8833" s="5"/>
    </row>
    <row r="8834">
      <c r="N8834" s="5"/>
    </row>
    <row r="8835">
      <c r="N8835" s="5"/>
    </row>
    <row r="8836">
      <c r="N8836" s="5"/>
    </row>
    <row r="8837">
      <c r="N8837" s="5"/>
    </row>
    <row r="8838">
      <c r="N8838" s="5"/>
    </row>
    <row r="8839">
      <c r="N8839" s="5"/>
    </row>
    <row r="8840">
      <c r="N8840" s="5"/>
    </row>
    <row r="8841">
      <c r="N8841" s="5"/>
    </row>
    <row r="8842">
      <c r="N8842" s="5"/>
    </row>
    <row r="8843">
      <c r="N8843" s="5"/>
    </row>
    <row r="8844">
      <c r="N8844" s="5"/>
    </row>
    <row r="8845">
      <c r="N8845" s="5"/>
    </row>
    <row r="8846">
      <c r="N8846" s="5"/>
    </row>
    <row r="8847">
      <c r="N8847" s="5"/>
    </row>
    <row r="8848">
      <c r="N8848" s="5"/>
    </row>
    <row r="8849">
      <c r="N8849" s="5"/>
    </row>
    <row r="8850">
      <c r="N8850" s="5"/>
    </row>
    <row r="8851">
      <c r="N8851" s="5"/>
    </row>
    <row r="8852">
      <c r="N8852" s="5"/>
    </row>
    <row r="8853">
      <c r="N8853" s="5"/>
    </row>
    <row r="8854">
      <c r="N8854" s="5"/>
    </row>
    <row r="8855">
      <c r="N8855" s="5"/>
    </row>
    <row r="8856">
      <c r="N8856" s="5"/>
    </row>
    <row r="8857">
      <c r="N8857" s="5"/>
    </row>
    <row r="8858">
      <c r="N8858" s="5"/>
    </row>
    <row r="8859">
      <c r="N8859" s="5"/>
    </row>
    <row r="8860">
      <c r="N8860" s="5"/>
    </row>
    <row r="8861">
      <c r="N8861" s="5"/>
    </row>
    <row r="8862">
      <c r="N8862" s="5"/>
    </row>
    <row r="8863">
      <c r="N8863" s="5"/>
    </row>
    <row r="8864">
      <c r="N8864" s="5"/>
    </row>
    <row r="8865">
      <c r="N8865" s="5"/>
    </row>
    <row r="8866">
      <c r="N8866" s="5"/>
    </row>
    <row r="8867">
      <c r="N8867" s="5"/>
    </row>
    <row r="8868">
      <c r="N8868" s="5"/>
    </row>
    <row r="8869">
      <c r="N8869" s="5"/>
    </row>
    <row r="8870">
      <c r="N8870" s="5"/>
    </row>
    <row r="8871">
      <c r="N8871" s="5"/>
    </row>
    <row r="8872">
      <c r="N8872" s="5"/>
    </row>
    <row r="8873">
      <c r="N8873" s="5"/>
    </row>
    <row r="8874">
      <c r="N8874" s="5"/>
    </row>
    <row r="8875">
      <c r="N8875" s="5"/>
    </row>
    <row r="8876">
      <c r="N8876" s="5"/>
    </row>
    <row r="8877">
      <c r="N8877" s="5"/>
    </row>
    <row r="8878">
      <c r="N8878" s="5"/>
    </row>
    <row r="8879">
      <c r="N8879" s="5"/>
    </row>
    <row r="8880">
      <c r="N8880" s="5"/>
    </row>
    <row r="8881">
      <c r="N8881" s="5"/>
    </row>
    <row r="8882">
      <c r="N8882" s="5"/>
    </row>
    <row r="8883">
      <c r="N8883" s="5"/>
    </row>
    <row r="8884">
      <c r="N8884" s="5"/>
    </row>
    <row r="8885">
      <c r="N8885" s="5"/>
    </row>
    <row r="8886">
      <c r="N8886" s="5"/>
    </row>
    <row r="8887">
      <c r="N8887" s="5"/>
    </row>
    <row r="8888">
      <c r="N8888" s="5"/>
    </row>
    <row r="8889">
      <c r="N8889" s="5"/>
    </row>
    <row r="8890">
      <c r="N8890" s="5"/>
    </row>
    <row r="8891">
      <c r="N8891" s="5"/>
    </row>
    <row r="8892">
      <c r="N8892" s="5"/>
    </row>
    <row r="8893">
      <c r="N8893" s="5"/>
    </row>
    <row r="8894">
      <c r="N8894" s="5"/>
    </row>
    <row r="8895">
      <c r="N8895" s="5"/>
    </row>
    <row r="8896">
      <c r="N8896" s="5"/>
    </row>
    <row r="8897">
      <c r="N8897" s="5"/>
    </row>
    <row r="8898">
      <c r="N8898" s="5"/>
    </row>
    <row r="8899">
      <c r="N8899" s="5"/>
    </row>
    <row r="8900">
      <c r="N8900" s="5"/>
    </row>
    <row r="8901">
      <c r="N8901" s="5"/>
    </row>
    <row r="8902">
      <c r="N8902" s="5"/>
    </row>
    <row r="8903">
      <c r="N8903" s="5"/>
    </row>
    <row r="8904">
      <c r="N8904" s="5"/>
    </row>
    <row r="8905">
      <c r="N8905" s="5"/>
    </row>
    <row r="8906">
      <c r="N8906" s="5"/>
    </row>
    <row r="8907">
      <c r="N8907" s="5"/>
    </row>
    <row r="8908">
      <c r="N8908" s="5"/>
    </row>
    <row r="8909">
      <c r="N8909" s="5"/>
    </row>
    <row r="8910">
      <c r="N8910" s="5"/>
    </row>
    <row r="8911">
      <c r="N8911" s="5"/>
    </row>
    <row r="8912">
      <c r="N8912" s="5"/>
    </row>
    <row r="8913">
      <c r="N8913" s="5"/>
    </row>
    <row r="8914">
      <c r="N8914" s="5"/>
    </row>
    <row r="8915">
      <c r="N8915" s="5"/>
    </row>
    <row r="8916">
      <c r="N8916" s="5"/>
    </row>
    <row r="8917">
      <c r="N8917" s="5"/>
    </row>
    <row r="8918">
      <c r="N8918" s="5"/>
    </row>
    <row r="8919">
      <c r="N8919" s="5"/>
    </row>
    <row r="8920">
      <c r="N8920" s="5"/>
    </row>
    <row r="8921">
      <c r="N8921" s="5"/>
    </row>
    <row r="8922">
      <c r="N8922" s="5"/>
    </row>
    <row r="8923">
      <c r="N8923" s="5"/>
    </row>
    <row r="8924">
      <c r="N8924" s="5"/>
    </row>
    <row r="8925">
      <c r="N8925" s="5"/>
    </row>
    <row r="8926">
      <c r="N8926" s="5"/>
    </row>
    <row r="8927">
      <c r="N8927" s="5"/>
    </row>
    <row r="8928">
      <c r="N8928" s="5"/>
    </row>
    <row r="8929">
      <c r="N8929" s="5"/>
    </row>
    <row r="8930">
      <c r="N8930" s="5"/>
    </row>
    <row r="8931">
      <c r="N8931" s="5"/>
    </row>
    <row r="8932">
      <c r="N8932" s="5"/>
    </row>
    <row r="8933">
      <c r="N8933" s="5"/>
    </row>
    <row r="8934">
      <c r="N8934" s="5"/>
    </row>
    <row r="8935">
      <c r="N8935" s="5"/>
    </row>
    <row r="8936">
      <c r="N8936" s="5"/>
    </row>
    <row r="8937">
      <c r="N8937" s="5"/>
    </row>
    <row r="8938">
      <c r="N8938" s="5"/>
    </row>
    <row r="8939">
      <c r="N8939" s="5"/>
    </row>
    <row r="8940">
      <c r="N8940" s="5"/>
    </row>
    <row r="8941">
      <c r="N8941" s="5"/>
    </row>
    <row r="8942">
      <c r="N8942" s="5"/>
    </row>
    <row r="8943">
      <c r="N8943" s="5"/>
    </row>
    <row r="8944">
      <c r="N8944" s="5"/>
    </row>
    <row r="8945">
      <c r="N8945" s="5"/>
    </row>
    <row r="8946">
      <c r="N8946" s="5"/>
    </row>
    <row r="8947">
      <c r="N8947" s="5"/>
    </row>
    <row r="8948">
      <c r="N8948" s="5"/>
    </row>
    <row r="8949">
      <c r="N8949" s="5"/>
    </row>
    <row r="8950">
      <c r="N8950" s="5"/>
    </row>
    <row r="8951">
      <c r="N8951" s="5"/>
    </row>
    <row r="8952">
      <c r="N8952" s="5"/>
    </row>
    <row r="8953">
      <c r="N8953" s="5"/>
    </row>
    <row r="8954">
      <c r="N8954" s="5"/>
    </row>
    <row r="8955">
      <c r="N8955" s="5"/>
    </row>
    <row r="8956">
      <c r="N8956" s="5"/>
    </row>
    <row r="8957">
      <c r="N8957" s="5"/>
    </row>
    <row r="8958">
      <c r="N8958" s="5"/>
    </row>
    <row r="8959">
      <c r="N8959" s="5"/>
    </row>
    <row r="8960">
      <c r="N8960" s="5"/>
    </row>
    <row r="8961">
      <c r="N8961" s="5"/>
    </row>
    <row r="8962">
      <c r="N8962" s="5"/>
    </row>
    <row r="8963">
      <c r="N8963" s="5"/>
    </row>
    <row r="8964">
      <c r="N8964" s="5"/>
    </row>
    <row r="8965">
      <c r="N8965" s="5"/>
    </row>
    <row r="8966">
      <c r="N8966" s="5"/>
    </row>
    <row r="8967">
      <c r="N8967" s="5"/>
    </row>
    <row r="8968">
      <c r="N8968" s="5"/>
    </row>
    <row r="8969">
      <c r="N8969" s="5"/>
    </row>
    <row r="8970">
      <c r="N8970" s="5"/>
    </row>
    <row r="8971">
      <c r="N8971" s="5"/>
    </row>
    <row r="8972">
      <c r="N8972" s="5"/>
    </row>
    <row r="8973">
      <c r="N8973" s="5"/>
    </row>
    <row r="8974">
      <c r="N8974" s="5"/>
    </row>
    <row r="8975">
      <c r="N8975" s="5"/>
    </row>
    <row r="8976">
      <c r="N8976" s="5"/>
    </row>
    <row r="8977">
      <c r="N8977" s="5"/>
    </row>
    <row r="8978">
      <c r="N8978" s="5"/>
    </row>
    <row r="8979">
      <c r="N8979" s="5"/>
    </row>
    <row r="8980">
      <c r="N8980" s="5"/>
    </row>
    <row r="8981">
      <c r="N8981" s="5"/>
    </row>
    <row r="8982">
      <c r="N8982" s="5"/>
    </row>
    <row r="8983">
      <c r="N8983" s="5"/>
    </row>
    <row r="8984">
      <c r="N8984" s="5"/>
    </row>
    <row r="8985">
      <c r="N8985" s="5"/>
    </row>
    <row r="8986">
      <c r="N8986" s="5"/>
    </row>
    <row r="8987">
      <c r="N8987" s="5"/>
    </row>
    <row r="8988">
      <c r="N8988" s="5"/>
    </row>
    <row r="8989">
      <c r="N8989" s="5"/>
    </row>
    <row r="8990">
      <c r="N8990" s="5"/>
    </row>
    <row r="8991">
      <c r="N8991" s="5"/>
    </row>
    <row r="8992">
      <c r="N8992" s="5"/>
    </row>
    <row r="8993">
      <c r="N8993" s="5"/>
    </row>
    <row r="8994">
      <c r="N8994" s="5"/>
    </row>
    <row r="8995">
      <c r="N8995" s="5"/>
    </row>
    <row r="8996">
      <c r="N8996" s="5"/>
    </row>
    <row r="8997">
      <c r="N8997" s="5"/>
    </row>
    <row r="8998">
      <c r="N8998" s="5"/>
    </row>
    <row r="8999">
      <c r="N8999" s="5"/>
    </row>
    <row r="9000">
      <c r="N9000" s="5"/>
    </row>
    <row r="9001">
      <c r="N9001" s="5"/>
    </row>
    <row r="9002">
      <c r="N9002" s="5"/>
    </row>
    <row r="9003">
      <c r="N9003" s="5"/>
    </row>
    <row r="9004">
      <c r="N9004" s="5"/>
    </row>
    <row r="9005">
      <c r="N9005" s="5"/>
    </row>
    <row r="9006">
      <c r="N9006" s="5"/>
    </row>
    <row r="9007">
      <c r="N9007" s="5"/>
    </row>
    <row r="9008">
      <c r="N9008" s="5"/>
    </row>
    <row r="9009">
      <c r="N9009" s="5"/>
    </row>
    <row r="9010">
      <c r="N9010" s="5"/>
    </row>
    <row r="9011">
      <c r="N9011" s="5"/>
    </row>
    <row r="9012">
      <c r="N9012" s="5"/>
    </row>
    <row r="9013">
      <c r="N9013" s="5"/>
    </row>
    <row r="9014">
      <c r="N9014" s="5"/>
    </row>
    <row r="9015">
      <c r="N9015" s="5"/>
    </row>
    <row r="9016">
      <c r="N9016" s="5"/>
    </row>
    <row r="9017">
      <c r="N9017" s="5"/>
    </row>
    <row r="9018">
      <c r="N9018" s="5"/>
    </row>
    <row r="9019">
      <c r="N9019" s="5"/>
    </row>
    <row r="9020">
      <c r="N9020" s="5"/>
    </row>
    <row r="9021">
      <c r="N9021" s="5"/>
    </row>
    <row r="9022">
      <c r="N9022" s="5"/>
    </row>
    <row r="9023">
      <c r="N9023" s="5"/>
    </row>
    <row r="9024">
      <c r="N9024" s="5"/>
    </row>
    <row r="9025">
      <c r="N9025" s="5"/>
    </row>
    <row r="9026">
      <c r="N9026" s="5"/>
    </row>
    <row r="9027">
      <c r="N9027" s="5"/>
    </row>
    <row r="9028">
      <c r="N9028" s="5"/>
    </row>
    <row r="9029">
      <c r="N9029" s="5"/>
    </row>
    <row r="9030">
      <c r="N9030" s="5"/>
    </row>
    <row r="9031">
      <c r="N9031" s="5"/>
    </row>
    <row r="9032">
      <c r="N9032" s="5"/>
    </row>
    <row r="9033">
      <c r="N9033" s="5"/>
    </row>
    <row r="9034">
      <c r="N9034" s="5"/>
    </row>
    <row r="9035">
      <c r="N9035" s="5"/>
    </row>
    <row r="9036">
      <c r="N9036" s="5"/>
    </row>
    <row r="9037">
      <c r="N9037" s="5"/>
    </row>
    <row r="9038">
      <c r="N9038" s="5"/>
    </row>
    <row r="9039">
      <c r="N9039" s="5"/>
    </row>
    <row r="9040">
      <c r="N9040" s="5"/>
    </row>
    <row r="9041">
      <c r="N9041" s="5"/>
    </row>
    <row r="9042">
      <c r="N9042" s="5"/>
    </row>
    <row r="9043">
      <c r="N9043" s="5"/>
    </row>
    <row r="9044">
      <c r="N9044" s="5"/>
    </row>
    <row r="9045">
      <c r="N9045" s="5"/>
    </row>
    <row r="9046">
      <c r="N9046" s="5"/>
    </row>
    <row r="9047">
      <c r="N9047" s="5"/>
    </row>
    <row r="9048">
      <c r="N9048" s="5"/>
    </row>
    <row r="9049">
      <c r="N9049" s="5"/>
    </row>
    <row r="9050">
      <c r="N9050" s="5"/>
    </row>
    <row r="9051">
      <c r="N9051" s="5"/>
    </row>
    <row r="9052">
      <c r="N9052" s="5"/>
    </row>
    <row r="9053">
      <c r="N9053" s="5"/>
    </row>
    <row r="9054">
      <c r="N9054" s="5"/>
    </row>
    <row r="9055">
      <c r="N9055" s="5"/>
    </row>
    <row r="9056">
      <c r="N9056" s="5"/>
    </row>
    <row r="9057">
      <c r="N9057" s="5"/>
    </row>
    <row r="9058">
      <c r="N9058" s="5"/>
    </row>
    <row r="9059">
      <c r="N9059" s="5"/>
    </row>
    <row r="9060">
      <c r="N9060" s="5"/>
    </row>
    <row r="9061">
      <c r="N9061" s="5"/>
    </row>
    <row r="9062">
      <c r="N9062" s="5"/>
    </row>
    <row r="9063">
      <c r="N9063" s="5"/>
    </row>
    <row r="9064">
      <c r="N9064" s="5"/>
    </row>
    <row r="9065">
      <c r="N9065" s="5"/>
    </row>
    <row r="9066">
      <c r="N9066" s="5"/>
    </row>
    <row r="9067">
      <c r="N9067" s="5"/>
    </row>
    <row r="9068">
      <c r="N9068" s="5"/>
    </row>
    <row r="9069">
      <c r="N9069" s="5"/>
    </row>
    <row r="9070">
      <c r="N9070" s="5"/>
    </row>
    <row r="9071">
      <c r="N9071" s="5"/>
    </row>
    <row r="9072">
      <c r="N9072" s="5"/>
    </row>
    <row r="9073">
      <c r="N9073" s="5"/>
    </row>
    <row r="9074">
      <c r="N9074" s="5"/>
    </row>
    <row r="9075">
      <c r="N9075" s="5"/>
    </row>
    <row r="9076">
      <c r="N9076" s="5"/>
    </row>
    <row r="9077">
      <c r="N9077" s="5"/>
    </row>
    <row r="9078">
      <c r="N9078" s="5"/>
    </row>
    <row r="9079">
      <c r="N9079" s="5"/>
    </row>
    <row r="9080">
      <c r="N9080" s="5"/>
    </row>
    <row r="9081">
      <c r="N9081" s="5"/>
    </row>
    <row r="9082">
      <c r="N9082" s="5"/>
    </row>
    <row r="9083">
      <c r="N9083" s="5"/>
    </row>
    <row r="9084">
      <c r="N9084" s="5"/>
    </row>
    <row r="9085">
      <c r="N9085" s="5"/>
    </row>
    <row r="9086">
      <c r="N9086" s="5"/>
    </row>
    <row r="9087">
      <c r="N9087" s="5"/>
    </row>
    <row r="9088">
      <c r="N9088" s="5"/>
    </row>
    <row r="9089">
      <c r="N9089" s="5"/>
    </row>
    <row r="9090">
      <c r="N9090" s="5"/>
    </row>
    <row r="9091">
      <c r="N9091" s="5"/>
    </row>
    <row r="9092">
      <c r="N9092" s="5"/>
    </row>
    <row r="9093">
      <c r="N9093" s="5"/>
    </row>
    <row r="9094">
      <c r="N9094" s="5"/>
    </row>
    <row r="9095">
      <c r="N9095" s="5"/>
    </row>
    <row r="9096">
      <c r="N9096" s="5"/>
    </row>
    <row r="9097">
      <c r="N9097" s="5"/>
    </row>
    <row r="9098">
      <c r="N9098" s="5"/>
    </row>
    <row r="9099">
      <c r="N9099" s="5"/>
    </row>
    <row r="9100">
      <c r="N9100" s="5"/>
    </row>
    <row r="9101">
      <c r="N9101" s="5"/>
    </row>
    <row r="9102">
      <c r="N9102" s="5"/>
    </row>
    <row r="9103">
      <c r="N9103" s="5"/>
    </row>
    <row r="9104">
      <c r="N9104" s="5"/>
    </row>
    <row r="9105">
      <c r="N9105" s="5"/>
    </row>
    <row r="9106">
      <c r="N9106" s="5"/>
    </row>
    <row r="9107">
      <c r="N9107" s="5"/>
    </row>
    <row r="9108">
      <c r="N9108" s="5"/>
    </row>
    <row r="9109">
      <c r="N9109" s="5"/>
    </row>
    <row r="9110">
      <c r="N9110" s="5"/>
    </row>
    <row r="9111">
      <c r="N9111" s="5"/>
    </row>
    <row r="9112">
      <c r="N9112" s="5"/>
    </row>
    <row r="9113">
      <c r="N9113" s="5"/>
    </row>
    <row r="9114">
      <c r="N9114" s="5"/>
    </row>
    <row r="9115">
      <c r="N9115" s="5"/>
    </row>
    <row r="9116">
      <c r="N9116" s="5"/>
    </row>
    <row r="9117">
      <c r="N9117" s="5"/>
    </row>
    <row r="9118">
      <c r="N9118" s="5"/>
    </row>
    <row r="9119">
      <c r="N9119" s="5"/>
    </row>
    <row r="9120">
      <c r="N9120" s="5"/>
    </row>
    <row r="9121">
      <c r="N9121" s="5"/>
    </row>
    <row r="9122">
      <c r="N9122" s="5"/>
    </row>
    <row r="9123">
      <c r="N9123" s="5"/>
    </row>
    <row r="9124">
      <c r="N9124" s="5"/>
    </row>
    <row r="9125">
      <c r="N9125" s="5"/>
    </row>
    <row r="9126">
      <c r="N9126" s="5"/>
    </row>
    <row r="9127">
      <c r="N9127" s="5"/>
    </row>
    <row r="9128">
      <c r="N9128" s="5"/>
    </row>
    <row r="9129">
      <c r="N9129" s="5"/>
    </row>
    <row r="9130">
      <c r="N9130" s="5"/>
    </row>
    <row r="9131">
      <c r="N9131" s="5"/>
    </row>
    <row r="9132">
      <c r="N9132" s="5"/>
    </row>
    <row r="9133">
      <c r="N9133" s="5"/>
    </row>
    <row r="9134">
      <c r="N9134" s="5"/>
    </row>
    <row r="9135">
      <c r="N9135" s="5"/>
    </row>
    <row r="9136">
      <c r="N9136" s="5"/>
    </row>
    <row r="9137">
      <c r="N9137" s="5"/>
    </row>
    <row r="9138">
      <c r="N9138" s="5"/>
    </row>
    <row r="9139">
      <c r="N9139" s="5"/>
    </row>
    <row r="9140">
      <c r="N9140" s="5"/>
    </row>
    <row r="9141">
      <c r="N9141" s="5"/>
    </row>
    <row r="9142">
      <c r="N9142" s="5"/>
    </row>
    <row r="9143">
      <c r="N9143" s="5"/>
    </row>
    <row r="9144">
      <c r="N9144" s="5"/>
    </row>
    <row r="9145">
      <c r="N9145" s="5"/>
    </row>
    <row r="9146">
      <c r="N9146" s="5"/>
    </row>
    <row r="9147">
      <c r="N9147" s="5"/>
    </row>
    <row r="9148">
      <c r="N9148" s="5"/>
    </row>
    <row r="9149">
      <c r="N9149" s="5"/>
    </row>
    <row r="9150">
      <c r="N9150" s="5"/>
    </row>
    <row r="9151">
      <c r="N9151" s="5"/>
    </row>
    <row r="9152">
      <c r="N9152" s="5"/>
    </row>
    <row r="9153">
      <c r="N9153" s="5"/>
    </row>
    <row r="9154">
      <c r="N9154" s="5"/>
    </row>
    <row r="9155">
      <c r="N9155" s="5"/>
    </row>
    <row r="9156">
      <c r="N9156" s="5"/>
    </row>
    <row r="9157">
      <c r="N9157" s="5"/>
    </row>
    <row r="9158">
      <c r="N9158" s="5"/>
    </row>
    <row r="9159">
      <c r="N9159" s="5"/>
    </row>
    <row r="9160">
      <c r="N9160" s="5"/>
    </row>
    <row r="9161">
      <c r="N9161" s="5"/>
    </row>
    <row r="9162">
      <c r="N9162" s="5"/>
    </row>
    <row r="9163">
      <c r="N9163" s="5"/>
    </row>
    <row r="9164">
      <c r="N9164" s="5"/>
    </row>
    <row r="9165">
      <c r="N9165" s="5"/>
    </row>
    <row r="9166">
      <c r="N9166" s="5"/>
    </row>
    <row r="9167">
      <c r="N9167" s="5"/>
    </row>
    <row r="9168">
      <c r="N9168" s="5"/>
    </row>
    <row r="9169">
      <c r="N9169" s="5"/>
    </row>
    <row r="9170">
      <c r="N9170" s="5"/>
    </row>
    <row r="9171">
      <c r="N9171" s="5"/>
    </row>
    <row r="9172">
      <c r="N9172" s="5"/>
    </row>
    <row r="9173">
      <c r="N9173" s="5"/>
    </row>
    <row r="9174">
      <c r="N9174" s="5"/>
    </row>
    <row r="9175">
      <c r="N9175" s="5"/>
    </row>
    <row r="9176">
      <c r="N9176" s="5"/>
    </row>
    <row r="9177">
      <c r="N9177" s="5"/>
    </row>
    <row r="9178">
      <c r="N9178" s="5"/>
    </row>
    <row r="9179">
      <c r="N9179" s="5"/>
    </row>
    <row r="9180">
      <c r="N9180" s="5"/>
    </row>
    <row r="9181">
      <c r="N9181" s="5"/>
    </row>
    <row r="9182">
      <c r="N9182" s="5"/>
    </row>
    <row r="9183">
      <c r="N9183" s="5"/>
    </row>
    <row r="9184">
      <c r="N9184" s="5"/>
    </row>
    <row r="9185">
      <c r="N9185" s="5"/>
    </row>
    <row r="9186">
      <c r="N9186" s="5"/>
    </row>
    <row r="9187">
      <c r="N9187" s="5"/>
    </row>
    <row r="9188">
      <c r="N9188" s="5"/>
    </row>
    <row r="9189">
      <c r="N9189" s="5"/>
    </row>
    <row r="9190">
      <c r="N9190" s="5"/>
    </row>
    <row r="9191">
      <c r="N9191" s="5"/>
    </row>
    <row r="9192">
      <c r="N9192" s="5"/>
    </row>
    <row r="9193">
      <c r="N9193" s="5"/>
    </row>
    <row r="9194">
      <c r="N9194" s="5"/>
    </row>
    <row r="9195">
      <c r="N9195" s="5"/>
    </row>
    <row r="9196">
      <c r="N9196" s="5"/>
    </row>
    <row r="9197">
      <c r="N9197" s="5"/>
    </row>
    <row r="9198">
      <c r="N9198" s="5"/>
    </row>
    <row r="9199">
      <c r="N9199" s="5"/>
    </row>
    <row r="9200">
      <c r="N9200" s="5"/>
    </row>
    <row r="9201">
      <c r="N9201" s="5"/>
    </row>
    <row r="9202">
      <c r="N9202" s="5"/>
    </row>
    <row r="9203">
      <c r="N9203" s="5"/>
    </row>
    <row r="9204">
      <c r="N9204" s="5"/>
    </row>
    <row r="9205">
      <c r="N9205" s="5"/>
    </row>
    <row r="9206">
      <c r="N9206" s="5"/>
    </row>
    <row r="9207">
      <c r="N9207" s="5"/>
    </row>
    <row r="9208">
      <c r="N9208" s="5"/>
    </row>
    <row r="9209">
      <c r="N9209" s="5"/>
    </row>
    <row r="9210">
      <c r="N9210" s="5"/>
    </row>
    <row r="9211">
      <c r="N9211" s="5"/>
    </row>
    <row r="9212">
      <c r="N9212" s="5"/>
    </row>
    <row r="9213">
      <c r="N9213" s="5"/>
    </row>
    <row r="9214">
      <c r="N9214" s="5"/>
    </row>
    <row r="9215">
      <c r="N9215" s="5"/>
    </row>
    <row r="9216">
      <c r="N9216" s="5"/>
    </row>
    <row r="9217">
      <c r="N9217" s="5"/>
    </row>
    <row r="9218">
      <c r="N9218" s="5"/>
    </row>
    <row r="9219">
      <c r="N9219" s="5"/>
    </row>
    <row r="9220">
      <c r="N9220" s="5"/>
    </row>
    <row r="9221">
      <c r="N9221" s="5"/>
    </row>
    <row r="9222">
      <c r="N9222" s="5"/>
    </row>
    <row r="9223">
      <c r="N9223" s="5"/>
    </row>
    <row r="9224">
      <c r="N9224" s="5"/>
    </row>
    <row r="9225">
      <c r="N9225" s="5"/>
    </row>
    <row r="9226">
      <c r="N9226" s="5"/>
    </row>
    <row r="9227">
      <c r="N9227" s="5"/>
    </row>
    <row r="9228">
      <c r="N9228" s="5"/>
    </row>
    <row r="9229">
      <c r="N9229" s="5"/>
    </row>
    <row r="9230">
      <c r="N9230" s="5"/>
    </row>
    <row r="9231">
      <c r="N9231" s="5"/>
    </row>
    <row r="9232">
      <c r="N9232" s="5"/>
    </row>
    <row r="9233">
      <c r="N9233" s="5"/>
    </row>
    <row r="9234">
      <c r="N9234" s="5"/>
    </row>
    <row r="9235">
      <c r="N9235" s="5"/>
    </row>
    <row r="9236">
      <c r="N9236" s="5"/>
    </row>
    <row r="9237">
      <c r="N9237" s="5"/>
    </row>
    <row r="9238">
      <c r="N9238" s="5"/>
    </row>
    <row r="9239">
      <c r="N9239" s="5"/>
    </row>
    <row r="9240">
      <c r="N9240" s="5"/>
    </row>
    <row r="9241">
      <c r="N9241" s="5"/>
    </row>
    <row r="9242">
      <c r="N9242" s="5"/>
    </row>
    <row r="9243">
      <c r="N9243" s="5"/>
    </row>
    <row r="9244">
      <c r="N9244" s="5"/>
    </row>
    <row r="9245">
      <c r="N9245" s="5"/>
    </row>
    <row r="9246">
      <c r="N9246" s="5"/>
    </row>
    <row r="9247">
      <c r="N9247" s="5"/>
    </row>
    <row r="9248">
      <c r="N9248" s="5"/>
    </row>
    <row r="9249">
      <c r="N9249" s="5"/>
    </row>
    <row r="9250">
      <c r="N9250" s="5"/>
    </row>
    <row r="9251">
      <c r="N9251" s="5"/>
    </row>
    <row r="9252">
      <c r="N9252" s="5"/>
    </row>
    <row r="9253">
      <c r="N9253" s="5"/>
    </row>
    <row r="9254">
      <c r="N9254" s="5"/>
    </row>
    <row r="9255">
      <c r="N9255" s="5"/>
    </row>
    <row r="9256">
      <c r="N9256" s="5"/>
    </row>
    <row r="9257">
      <c r="N9257" s="5"/>
    </row>
    <row r="9258">
      <c r="N9258" s="5"/>
    </row>
    <row r="9259">
      <c r="N9259" s="5"/>
    </row>
    <row r="9260">
      <c r="N9260" s="5"/>
    </row>
    <row r="9261">
      <c r="N9261" s="5"/>
    </row>
    <row r="9262">
      <c r="N9262" s="5"/>
    </row>
    <row r="9263">
      <c r="N9263" s="5"/>
    </row>
    <row r="9264">
      <c r="N9264" s="5"/>
    </row>
    <row r="9265">
      <c r="N9265" s="5"/>
    </row>
    <row r="9266">
      <c r="N9266" s="5"/>
    </row>
    <row r="9267">
      <c r="N9267" s="5"/>
    </row>
    <row r="9268">
      <c r="N9268" s="5"/>
    </row>
    <row r="9269">
      <c r="N9269" s="5"/>
    </row>
    <row r="9270">
      <c r="N9270" s="5"/>
    </row>
    <row r="9271">
      <c r="N9271" s="5"/>
    </row>
    <row r="9272">
      <c r="N9272" s="5"/>
    </row>
    <row r="9273">
      <c r="N9273" s="5"/>
    </row>
    <row r="9274">
      <c r="N9274" s="5"/>
    </row>
    <row r="9275">
      <c r="N9275" s="5"/>
    </row>
    <row r="9276">
      <c r="N9276" s="5"/>
    </row>
    <row r="9277">
      <c r="N9277" s="5"/>
    </row>
    <row r="9278">
      <c r="N9278" s="5"/>
    </row>
    <row r="9279">
      <c r="N9279" s="5"/>
    </row>
    <row r="9280">
      <c r="N9280" s="5"/>
    </row>
    <row r="9281">
      <c r="N9281" s="5"/>
    </row>
    <row r="9282">
      <c r="N9282" s="5"/>
    </row>
    <row r="9283">
      <c r="N9283" s="5"/>
    </row>
    <row r="9284">
      <c r="N9284" s="5"/>
    </row>
    <row r="9285">
      <c r="N9285" s="5"/>
    </row>
    <row r="9286">
      <c r="N9286" s="5"/>
    </row>
    <row r="9287">
      <c r="N9287" s="5"/>
    </row>
    <row r="9288">
      <c r="N9288" s="5"/>
    </row>
    <row r="9289">
      <c r="N9289" s="5"/>
    </row>
    <row r="9290">
      <c r="N9290" s="5"/>
    </row>
    <row r="9291">
      <c r="N9291" s="5"/>
    </row>
    <row r="9292">
      <c r="N9292" s="5"/>
    </row>
    <row r="9293">
      <c r="N9293" s="5"/>
    </row>
    <row r="9294">
      <c r="N9294" s="5"/>
    </row>
    <row r="9295">
      <c r="N9295" s="5"/>
    </row>
    <row r="9296">
      <c r="N9296" s="5"/>
    </row>
    <row r="9297">
      <c r="N9297" s="5"/>
    </row>
    <row r="9298">
      <c r="N9298" s="5"/>
    </row>
    <row r="9299">
      <c r="N9299" s="5"/>
    </row>
    <row r="9300">
      <c r="N9300" s="5"/>
    </row>
    <row r="9301">
      <c r="N9301" s="5"/>
    </row>
    <row r="9302">
      <c r="N9302" s="5"/>
    </row>
    <row r="9303">
      <c r="N9303" s="5"/>
    </row>
    <row r="9304">
      <c r="N9304" s="5"/>
    </row>
    <row r="9305">
      <c r="N9305" s="5"/>
    </row>
    <row r="9306">
      <c r="N9306" s="5"/>
    </row>
    <row r="9307">
      <c r="N9307" s="5"/>
    </row>
    <row r="9308">
      <c r="N9308" s="5"/>
    </row>
    <row r="9309">
      <c r="N9309" s="5"/>
    </row>
    <row r="9310">
      <c r="N9310" s="5"/>
    </row>
    <row r="9311">
      <c r="N9311" s="5"/>
    </row>
    <row r="9312">
      <c r="N9312" s="5"/>
    </row>
    <row r="9313">
      <c r="N9313" s="5"/>
    </row>
    <row r="9314">
      <c r="N9314" s="5"/>
    </row>
    <row r="9315">
      <c r="N9315" s="5"/>
    </row>
    <row r="9316">
      <c r="N9316" s="5"/>
    </row>
    <row r="9317">
      <c r="N9317" s="5"/>
    </row>
    <row r="9318">
      <c r="N9318" s="5"/>
    </row>
    <row r="9319">
      <c r="N9319" s="5"/>
    </row>
    <row r="9320">
      <c r="N9320" s="5"/>
    </row>
    <row r="9321">
      <c r="N9321" s="5"/>
    </row>
    <row r="9322">
      <c r="N9322" s="5"/>
    </row>
    <row r="9323">
      <c r="N9323" s="5"/>
    </row>
    <row r="9324">
      <c r="N9324" s="5"/>
    </row>
    <row r="9325">
      <c r="N9325" s="5"/>
    </row>
    <row r="9326">
      <c r="N9326" s="5"/>
    </row>
    <row r="9327">
      <c r="N9327" s="5"/>
    </row>
    <row r="9328">
      <c r="N9328" s="5"/>
    </row>
    <row r="9329">
      <c r="N9329" s="5"/>
    </row>
    <row r="9330">
      <c r="N9330" s="5"/>
    </row>
    <row r="9331">
      <c r="N9331" s="5"/>
    </row>
    <row r="9332">
      <c r="N9332" s="5"/>
    </row>
    <row r="9333">
      <c r="N9333" s="5"/>
    </row>
    <row r="9334">
      <c r="N9334" s="5"/>
    </row>
    <row r="9335">
      <c r="N9335" s="5"/>
    </row>
    <row r="9336">
      <c r="N9336" s="5"/>
    </row>
    <row r="9337">
      <c r="N9337" s="5"/>
    </row>
    <row r="9338">
      <c r="N9338" s="5"/>
    </row>
    <row r="9339">
      <c r="N9339" s="5"/>
    </row>
    <row r="9340">
      <c r="N9340" s="5"/>
    </row>
    <row r="9341">
      <c r="N9341" s="5"/>
    </row>
    <row r="9342">
      <c r="N9342" s="5"/>
    </row>
    <row r="9343">
      <c r="N9343" s="5"/>
    </row>
    <row r="9344">
      <c r="N9344" s="5"/>
    </row>
    <row r="9345">
      <c r="N9345" s="5"/>
    </row>
    <row r="9346">
      <c r="N9346" s="5"/>
    </row>
    <row r="9347">
      <c r="N9347" s="5"/>
    </row>
    <row r="9348">
      <c r="N9348" s="5"/>
    </row>
    <row r="9349">
      <c r="N9349" s="5"/>
    </row>
    <row r="9350">
      <c r="N9350" s="5"/>
    </row>
    <row r="9351">
      <c r="N9351" s="5"/>
    </row>
    <row r="9352">
      <c r="N9352" s="5"/>
    </row>
    <row r="9353">
      <c r="N9353" s="5"/>
    </row>
    <row r="9354">
      <c r="N9354" s="5"/>
    </row>
    <row r="9355">
      <c r="N9355" s="5"/>
    </row>
    <row r="9356">
      <c r="N9356" s="5"/>
    </row>
    <row r="9357">
      <c r="N9357" s="5"/>
    </row>
    <row r="9358">
      <c r="N9358" s="5"/>
    </row>
    <row r="9359">
      <c r="N9359" s="5"/>
    </row>
    <row r="9360">
      <c r="N9360" s="5"/>
    </row>
    <row r="9361">
      <c r="N9361" s="5"/>
    </row>
    <row r="9362">
      <c r="N9362" s="5"/>
    </row>
    <row r="9363">
      <c r="N9363" s="5"/>
    </row>
    <row r="9364">
      <c r="N9364" s="5"/>
    </row>
    <row r="9365">
      <c r="N9365" s="5"/>
    </row>
    <row r="9366">
      <c r="N9366" s="5"/>
    </row>
    <row r="9367">
      <c r="N9367" s="5"/>
    </row>
    <row r="9368">
      <c r="N9368" s="5"/>
    </row>
    <row r="9369">
      <c r="N9369" s="5"/>
    </row>
    <row r="9370">
      <c r="N9370" s="5"/>
    </row>
    <row r="9371">
      <c r="N9371" s="5"/>
    </row>
    <row r="9372">
      <c r="N9372" s="5"/>
    </row>
    <row r="9373">
      <c r="N9373" s="5"/>
    </row>
    <row r="9374">
      <c r="N9374" s="5"/>
    </row>
    <row r="9375">
      <c r="N9375" s="5"/>
    </row>
    <row r="9376">
      <c r="N9376" s="5"/>
    </row>
    <row r="9377">
      <c r="N9377" s="5"/>
    </row>
    <row r="9378">
      <c r="N9378" s="5"/>
    </row>
    <row r="9379">
      <c r="N9379" s="5"/>
    </row>
    <row r="9380">
      <c r="N9380" s="5"/>
    </row>
    <row r="9381">
      <c r="N9381" s="5"/>
    </row>
    <row r="9382">
      <c r="N9382" s="5"/>
    </row>
    <row r="9383">
      <c r="N9383" s="5"/>
    </row>
    <row r="9384">
      <c r="N9384" s="5"/>
    </row>
    <row r="9385">
      <c r="N9385" s="5"/>
    </row>
    <row r="9386">
      <c r="N9386" s="5"/>
    </row>
    <row r="9387">
      <c r="N9387" s="5"/>
    </row>
    <row r="9388">
      <c r="N9388" s="5"/>
    </row>
    <row r="9389">
      <c r="N9389" s="5"/>
    </row>
    <row r="9390">
      <c r="N9390" s="5"/>
    </row>
    <row r="9391">
      <c r="N9391" s="5"/>
    </row>
    <row r="9392">
      <c r="N9392" s="5"/>
    </row>
    <row r="9393">
      <c r="N9393" s="5"/>
    </row>
    <row r="9394">
      <c r="N9394" s="5"/>
    </row>
    <row r="9395">
      <c r="N9395" s="5"/>
    </row>
    <row r="9396">
      <c r="N9396" s="5"/>
    </row>
    <row r="9397">
      <c r="N9397" s="5"/>
    </row>
    <row r="9398">
      <c r="N9398" s="5"/>
    </row>
    <row r="9399">
      <c r="N9399" s="5"/>
    </row>
    <row r="9400">
      <c r="N9400" s="5"/>
    </row>
    <row r="9401">
      <c r="N9401" s="5"/>
    </row>
    <row r="9402">
      <c r="N9402" s="5"/>
    </row>
    <row r="9403">
      <c r="N9403" s="5"/>
    </row>
    <row r="9404">
      <c r="N9404" s="5"/>
    </row>
    <row r="9405">
      <c r="N9405" s="5"/>
    </row>
    <row r="9406">
      <c r="N9406" s="5"/>
    </row>
    <row r="9407">
      <c r="N9407" s="5"/>
    </row>
    <row r="9408">
      <c r="N9408" s="5"/>
    </row>
    <row r="9409">
      <c r="N9409" s="5"/>
    </row>
    <row r="9410">
      <c r="N9410" s="5"/>
    </row>
    <row r="9411">
      <c r="N9411" s="5"/>
    </row>
    <row r="9412">
      <c r="N9412" s="5"/>
    </row>
    <row r="9413">
      <c r="N9413" s="5"/>
    </row>
    <row r="9414">
      <c r="N9414" s="5"/>
    </row>
    <row r="9415">
      <c r="N9415" s="5"/>
    </row>
    <row r="9416">
      <c r="N9416" s="5"/>
    </row>
    <row r="9417">
      <c r="N9417" s="5"/>
    </row>
    <row r="9418">
      <c r="N9418" s="5"/>
    </row>
    <row r="9419">
      <c r="N9419" s="5"/>
    </row>
    <row r="9420">
      <c r="N9420" s="5"/>
    </row>
    <row r="9421">
      <c r="N9421" s="5"/>
    </row>
    <row r="9422">
      <c r="N9422" s="5"/>
    </row>
    <row r="9423">
      <c r="N9423" s="5"/>
    </row>
    <row r="9424">
      <c r="N9424" s="5"/>
    </row>
    <row r="9425">
      <c r="N9425" s="5"/>
    </row>
    <row r="9426">
      <c r="N9426" s="5"/>
    </row>
    <row r="9427">
      <c r="N9427" s="5"/>
    </row>
    <row r="9428">
      <c r="N9428" s="5"/>
    </row>
    <row r="9429">
      <c r="N9429" s="5"/>
    </row>
    <row r="9430">
      <c r="N9430" s="5"/>
    </row>
    <row r="9431">
      <c r="N9431" s="5"/>
    </row>
    <row r="9432">
      <c r="N9432" s="5"/>
    </row>
    <row r="9433">
      <c r="N9433" s="5"/>
    </row>
    <row r="9434">
      <c r="N9434" s="5"/>
    </row>
    <row r="9435">
      <c r="N9435" s="5"/>
    </row>
    <row r="9436">
      <c r="N9436" s="5"/>
    </row>
    <row r="9437">
      <c r="N9437" s="5"/>
    </row>
    <row r="9438">
      <c r="N9438" s="5"/>
    </row>
    <row r="9439">
      <c r="N9439" s="5"/>
    </row>
    <row r="9440">
      <c r="N9440" s="5"/>
    </row>
    <row r="9441">
      <c r="N9441" s="5"/>
    </row>
    <row r="9442">
      <c r="N9442" s="5"/>
    </row>
    <row r="9443">
      <c r="N9443" s="5"/>
    </row>
    <row r="9444">
      <c r="N9444" s="5"/>
    </row>
    <row r="9445">
      <c r="N9445" s="5"/>
    </row>
    <row r="9446">
      <c r="N9446" s="5"/>
    </row>
    <row r="9447">
      <c r="N9447" s="5"/>
    </row>
    <row r="9448">
      <c r="N9448" s="5"/>
    </row>
    <row r="9449">
      <c r="N9449" s="5"/>
    </row>
    <row r="9450">
      <c r="N9450" s="5"/>
    </row>
    <row r="9451">
      <c r="N9451" s="5"/>
    </row>
    <row r="9452">
      <c r="N9452" s="5"/>
    </row>
    <row r="9453">
      <c r="N9453" s="5"/>
    </row>
    <row r="9454">
      <c r="N9454" s="5"/>
    </row>
    <row r="9455">
      <c r="N9455" s="5"/>
    </row>
    <row r="9456">
      <c r="N9456" s="5"/>
    </row>
    <row r="9457">
      <c r="N9457" s="5"/>
    </row>
    <row r="9458">
      <c r="N9458" s="5"/>
    </row>
    <row r="9459">
      <c r="N9459" s="5"/>
    </row>
    <row r="9460">
      <c r="N9460" s="5"/>
    </row>
    <row r="9461">
      <c r="N9461" s="5"/>
    </row>
    <row r="9462">
      <c r="N9462" s="5"/>
    </row>
    <row r="9463">
      <c r="N9463" s="5"/>
    </row>
    <row r="9464">
      <c r="N9464" s="5"/>
    </row>
    <row r="9465">
      <c r="N9465" s="5"/>
    </row>
    <row r="9466">
      <c r="N9466" s="5"/>
    </row>
    <row r="9467">
      <c r="N9467" s="5"/>
    </row>
    <row r="9468">
      <c r="N9468" s="5"/>
    </row>
    <row r="9469">
      <c r="N9469" s="5"/>
    </row>
    <row r="9470">
      <c r="N9470" s="5"/>
    </row>
    <row r="9471">
      <c r="N9471" s="5"/>
    </row>
    <row r="9472">
      <c r="N9472" s="5"/>
    </row>
    <row r="9473">
      <c r="N9473" s="5"/>
    </row>
    <row r="9474">
      <c r="N9474" s="5"/>
    </row>
    <row r="9475">
      <c r="N9475" s="5"/>
    </row>
    <row r="9476">
      <c r="N9476" s="5"/>
    </row>
    <row r="9477">
      <c r="I9477" s="4"/>
      <c r="N9477" s="5"/>
    </row>
    <row r="9478">
      <c r="N9478" s="5"/>
    </row>
    <row r="9479">
      <c r="N9479" s="5"/>
    </row>
    <row r="9480">
      <c r="N9480" s="5"/>
    </row>
    <row r="9481">
      <c r="N9481" s="5"/>
    </row>
    <row r="9482">
      <c r="N9482" s="5"/>
    </row>
    <row r="9483">
      <c r="N9483" s="5"/>
    </row>
    <row r="9484">
      <c r="N9484" s="5"/>
    </row>
    <row r="9485">
      <c r="N9485" s="5"/>
    </row>
    <row r="9486">
      <c r="N9486" s="5"/>
    </row>
    <row r="9487">
      <c r="N9487" s="5"/>
    </row>
    <row r="9488">
      <c r="N9488" s="5"/>
    </row>
    <row r="9489">
      <c r="N9489" s="5"/>
    </row>
    <row r="9490">
      <c r="N9490" s="5"/>
    </row>
    <row r="9491">
      <c r="N9491" s="5"/>
    </row>
    <row r="9492">
      <c r="N9492" s="5"/>
    </row>
    <row r="9493">
      <c r="N9493" s="5"/>
    </row>
    <row r="9494">
      <c r="N9494" s="5"/>
    </row>
    <row r="9495">
      <c r="N9495" s="5"/>
    </row>
    <row r="9496">
      <c r="N9496" s="5"/>
    </row>
    <row r="9497">
      <c r="N9497" s="5"/>
    </row>
    <row r="9498">
      <c r="N9498" s="5"/>
    </row>
    <row r="9499">
      <c r="N9499" s="5"/>
    </row>
    <row r="9500">
      <c r="N9500" s="5"/>
    </row>
    <row r="9501">
      <c r="N9501" s="5"/>
    </row>
    <row r="9502">
      <c r="N9502" s="5"/>
    </row>
    <row r="9503">
      <c r="N9503" s="5"/>
    </row>
    <row r="9504">
      <c r="N9504" s="5"/>
    </row>
    <row r="9505">
      <c r="N9505" s="5"/>
    </row>
    <row r="9506">
      <c r="N9506" s="5"/>
    </row>
    <row r="9507">
      <c r="N9507" s="5"/>
    </row>
    <row r="9508">
      <c r="N9508" s="5"/>
    </row>
    <row r="9509">
      <c r="N9509" s="5"/>
    </row>
    <row r="9510">
      <c r="N9510" s="5"/>
    </row>
    <row r="9511">
      <c r="N9511" s="5"/>
    </row>
    <row r="9512">
      <c r="N9512" s="5"/>
    </row>
    <row r="9513">
      <c r="N9513" s="5"/>
    </row>
    <row r="9514">
      <c r="N9514" s="5"/>
    </row>
    <row r="9515">
      <c r="N9515" s="5"/>
    </row>
    <row r="9516">
      <c r="N9516" s="5"/>
    </row>
    <row r="9517">
      <c r="N9517" s="5"/>
    </row>
    <row r="9518">
      <c r="N9518" s="5"/>
    </row>
    <row r="9519">
      <c r="N9519" s="5"/>
    </row>
    <row r="9520">
      <c r="N9520" s="5"/>
    </row>
    <row r="9521">
      <c r="N9521" s="5"/>
    </row>
    <row r="9522">
      <c r="N9522" s="5"/>
    </row>
    <row r="9523">
      <c r="N9523" s="5"/>
    </row>
    <row r="9524">
      <c r="N9524" s="5"/>
    </row>
    <row r="9525">
      <c r="N9525" s="5"/>
    </row>
    <row r="9526">
      <c r="N9526" s="5"/>
    </row>
    <row r="9527">
      <c r="N9527" s="5"/>
    </row>
    <row r="9528">
      <c r="N9528" s="5"/>
    </row>
    <row r="9529">
      <c r="N9529" s="5"/>
    </row>
    <row r="9530">
      <c r="N9530" s="5"/>
    </row>
    <row r="9531">
      <c r="N9531" s="5"/>
    </row>
    <row r="9532">
      <c r="N9532" s="5"/>
    </row>
    <row r="9533">
      <c r="N9533" s="5"/>
    </row>
    <row r="9534">
      <c r="N9534" s="5"/>
    </row>
    <row r="9535">
      <c r="N9535" s="5"/>
    </row>
    <row r="9536">
      <c r="N9536" s="5"/>
    </row>
    <row r="9537">
      <c r="N9537" s="5"/>
    </row>
    <row r="9538">
      <c r="N9538" s="5"/>
    </row>
    <row r="9539">
      <c r="N9539" s="5"/>
    </row>
    <row r="9540">
      <c r="N9540" s="5"/>
    </row>
    <row r="9541">
      <c r="N9541" s="5"/>
    </row>
    <row r="9542">
      <c r="N9542" s="5"/>
    </row>
    <row r="9543">
      <c r="N9543" s="5"/>
    </row>
    <row r="9544">
      <c r="N9544" s="5"/>
    </row>
    <row r="9545">
      <c r="N9545" s="5"/>
    </row>
    <row r="9546">
      <c r="N9546" s="5"/>
    </row>
    <row r="9547">
      <c r="N9547" s="5"/>
    </row>
    <row r="9548">
      <c r="N9548" s="5"/>
    </row>
    <row r="9549">
      <c r="N9549" s="5"/>
    </row>
    <row r="9550">
      <c r="N9550" s="5"/>
    </row>
    <row r="9551">
      <c r="N9551" s="5"/>
    </row>
    <row r="9552">
      <c r="N9552" s="5"/>
    </row>
    <row r="9553">
      <c r="N9553" s="5"/>
    </row>
    <row r="9554">
      <c r="N9554" s="5"/>
    </row>
    <row r="9555">
      <c r="N9555" s="5"/>
    </row>
    <row r="9556">
      <c r="N9556" s="5"/>
    </row>
    <row r="9557">
      <c r="N9557" s="5"/>
    </row>
    <row r="9558">
      <c r="N9558" s="5"/>
    </row>
    <row r="9559">
      <c r="N9559" s="5"/>
    </row>
    <row r="9560">
      <c r="N9560" s="5"/>
    </row>
    <row r="9561">
      <c r="N9561" s="5"/>
    </row>
    <row r="9562">
      <c r="N9562" s="5"/>
    </row>
    <row r="9563">
      <c r="N9563" s="5"/>
    </row>
    <row r="9564">
      <c r="N9564" s="5"/>
    </row>
    <row r="9565">
      <c r="N9565" s="5"/>
    </row>
    <row r="9566">
      <c r="N9566" s="5"/>
    </row>
    <row r="9567">
      <c r="N9567" s="5"/>
    </row>
    <row r="9568">
      <c r="N9568" s="5"/>
    </row>
    <row r="9569">
      <c r="N9569" s="5"/>
    </row>
    <row r="9570">
      <c r="N9570" s="5"/>
    </row>
    <row r="9571">
      <c r="N9571" s="5"/>
    </row>
    <row r="9572">
      <c r="N9572" s="5"/>
    </row>
    <row r="9573">
      <c r="N9573" s="5"/>
    </row>
    <row r="9574">
      <c r="N9574" s="5"/>
    </row>
    <row r="9575">
      <c r="N9575" s="5"/>
    </row>
    <row r="9576">
      <c r="N9576" s="5"/>
    </row>
    <row r="9577">
      <c r="N9577" s="5"/>
    </row>
    <row r="9578">
      <c r="N9578" s="5"/>
    </row>
    <row r="9579">
      <c r="N9579" s="5"/>
    </row>
    <row r="9580">
      <c r="N9580" s="5"/>
    </row>
    <row r="9581">
      <c r="N9581" s="5"/>
    </row>
    <row r="9582">
      <c r="N9582" s="5"/>
    </row>
    <row r="9583">
      <c r="N9583" s="5"/>
    </row>
    <row r="9584">
      <c r="N9584" s="5"/>
    </row>
    <row r="9585">
      <c r="N9585" s="5"/>
    </row>
    <row r="9586">
      <c r="N9586" s="5"/>
    </row>
    <row r="9587">
      <c r="N9587" s="5"/>
    </row>
    <row r="9588">
      <c r="N9588" s="5"/>
    </row>
    <row r="9589">
      <c r="N9589" s="5"/>
    </row>
    <row r="9590">
      <c r="N9590" s="5"/>
    </row>
    <row r="9591">
      <c r="N9591" s="5"/>
    </row>
    <row r="9592">
      <c r="N9592" s="5"/>
    </row>
    <row r="9593">
      <c r="N9593" s="5"/>
    </row>
    <row r="9594">
      <c r="N9594" s="5"/>
    </row>
    <row r="9595">
      <c r="N9595" s="5"/>
    </row>
    <row r="9596">
      <c r="N9596" s="5"/>
    </row>
    <row r="9597">
      <c r="N9597" s="5"/>
    </row>
    <row r="9598">
      <c r="N9598" s="5"/>
    </row>
    <row r="9599">
      <c r="N9599" s="5"/>
    </row>
    <row r="9600">
      <c r="N9600" s="5"/>
    </row>
    <row r="9601">
      <c r="N9601" s="5"/>
    </row>
    <row r="9602">
      <c r="N9602" s="5"/>
    </row>
    <row r="9603">
      <c r="N9603" s="5"/>
    </row>
    <row r="9604">
      <c r="N9604" s="5"/>
    </row>
    <row r="9605">
      <c r="N9605" s="5"/>
    </row>
    <row r="9606">
      <c r="N9606" s="5"/>
    </row>
    <row r="9607">
      <c r="N9607" s="5"/>
    </row>
    <row r="9608">
      <c r="N9608" s="5"/>
    </row>
    <row r="9609">
      <c r="N9609" s="5"/>
    </row>
    <row r="9610">
      <c r="N9610" s="5"/>
    </row>
    <row r="9611">
      <c r="N9611" s="5"/>
    </row>
    <row r="9612">
      <c r="N9612" s="5"/>
    </row>
    <row r="9613">
      <c r="N9613" s="5"/>
    </row>
    <row r="9614">
      <c r="N9614" s="5"/>
    </row>
    <row r="9615">
      <c r="N9615" s="5"/>
    </row>
    <row r="9616">
      <c r="N9616" s="5"/>
    </row>
    <row r="9617">
      <c r="N9617" s="5"/>
    </row>
    <row r="9618">
      <c r="N9618" s="5"/>
    </row>
    <row r="9619">
      <c r="N9619" s="5"/>
    </row>
    <row r="9620">
      <c r="N9620" s="5"/>
    </row>
    <row r="9621">
      <c r="N9621" s="5"/>
    </row>
    <row r="9622">
      <c r="N9622" s="5"/>
    </row>
    <row r="9623">
      <c r="N9623" s="5"/>
    </row>
    <row r="9624">
      <c r="N9624" s="5"/>
    </row>
    <row r="9625">
      <c r="N9625" s="5"/>
    </row>
    <row r="9626">
      <c r="N9626" s="5"/>
    </row>
    <row r="9627">
      <c r="N9627" s="5"/>
    </row>
    <row r="9628">
      <c r="N9628" s="5"/>
    </row>
    <row r="9629">
      <c r="N9629" s="5"/>
    </row>
    <row r="9630">
      <c r="N9630" s="5"/>
    </row>
    <row r="9631">
      <c r="N9631" s="5"/>
    </row>
    <row r="9632">
      <c r="N9632" s="5"/>
    </row>
    <row r="9633">
      <c r="N9633" s="5"/>
    </row>
    <row r="9634">
      <c r="N9634" s="5"/>
    </row>
    <row r="9635">
      <c r="N9635" s="5"/>
    </row>
    <row r="9636">
      <c r="N9636" s="5"/>
    </row>
    <row r="9637">
      <c r="N9637" s="5"/>
    </row>
    <row r="9638">
      <c r="N9638" s="5"/>
    </row>
    <row r="9639">
      <c r="N9639" s="5"/>
    </row>
    <row r="9640">
      <c r="N9640" s="5"/>
    </row>
    <row r="9641">
      <c r="N9641" s="5"/>
    </row>
    <row r="9642">
      <c r="N9642" s="5"/>
    </row>
    <row r="9643">
      <c r="N9643" s="5"/>
    </row>
    <row r="9644">
      <c r="N9644" s="5"/>
    </row>
    <row r="9645">
      <c r="N9645" s="5"/>
    </row>
    <row r="9646">
      <c r="N9646" s="5"/>
    </row>
    <row r="9647">
      <c r="N9647" s="5"/>
    </row>
    <row r="9648">
      <c r="N9648" s="5"/>
    </row>
    <row r="9649">
      <c r="N9649" s="5"/>
    </row>
    <row r="9650">
      <c r="N9650" s="5"/>
    </row>
    <row r="9651">
      <c r="N9651" s="5"/>
    </row>
    <row r="9652">
      <c r="N9652" s="5"/>
    </row>
    <row r="9653">
      <c r="N9653" s="5"/>
    </row>
    <row r="9654">
      <c r="N9654" s="5"/>
    </row>
    <row r="9655">
      <c r="N9655" s="5"/>
    </row>
    <row r="9656">
      <c r="N9656" s="5"/>
    </row>
    <row r="9657">
      <c r="N9657" s="5"/>
    </row>
    <row r="9658">
      <c r="N9658" s="5"/>
    </row>
    <row r="9659">
      <c r="N9659" s="5"/>
    </row>
    <row r="9660">
      <c r="N9660" s="5"/>
    </row>
    <row r="9661">
      <c r="N9661" s="5"/>
    </row>
    <row r="9662">
      <c r="N9662" s="5"/>
    </row>
    <row r="9663">
      <c r="N9663" s="5"/>
    </row>
    <row r="9664">
      <c r="N9664" s="5"/>
    </row>
    <row r="9665">
      <c r="N9665" s="5"/>
    </row>
    <row r="9666">
      <c r="N9666" s="5"/>
    </row>
    <row r="9667">
      <c r="N9667" s="5"/>
    </row>
    <row r="9668">
      <c r="N9668" s="5"/>
    </row>
    <row r="9669">
      <c r="N9669" s="5"/>
    </row>
    <row r="9670">
      <c r="N9670" s="5"/>
    </row>
    <row r="9671">
      <c r="N9671" s="5"/>
    </row>
    <row r="9672">
      <c r="N9672" s="5"/>
    </row>
    <row r="9673">
      <c r="N9673" s="5"/>
    </row>
    <row r="9674">
      <c r="N9674" s="5"/>
    </row>
    <row r="9675">
      <c r="N9675" s="5"/>
    </row>
    <row r="9676">
      <c r="N9676" s="5"/>
    </row>
    <row r="9677">
      <c r="N9677" s="5"/>
    </row>
    <row r="9678">
      <c r="N9678" s="5"/>
    </row>
    <row r="9679">
      <c r="N9679" s="5"/>
    </row>
    <row r="9680">
      <c r="N9680" s="5"/>
    </row>
    <row r="9681">
      <c r="N9681" s="5"/>
    </row>
    <row r="9682">
      <c r="N9682" s="5"/>
    </row>
    <row r="9683">
      <c r="N9683" s="5"/>
    </row>
    <row r="9684">
      <c r="N9684" s="5"/>
    </row>
    <row r="9685">
      <c r="N9685" s="5"/>
    </row>
    <row r="9686">
      <c r="N9686" s="5"/>
    </row>
    <row r="9687">
      <c r="N9687" s="5"/>
    </row>
    <row r="9688">
      <c r="N9688" s="5"/>
    </row>
    <row r="9689">
      <c r="N9689" s="5"/>
    </row>
    <row r="9690">
      <c r="N9690" s="5"/>
    </row>
    <row r="9691">
      <c r="N9691" s="5"/>
    </row>
    <row r="9692">
      <c r="N9692" s="5"/>
    </row>
    <row r="9693">
      <c r="N9693" s="5"/>
    </row>
    <row r="9694">
      <c r="N9694" s="5"/>
    </row>
    <row r="9695">
      <c r="N9695" s="5"/>
    </row>
    <row r="9696">
      <c r="N9696" s="5"/>
    </row>
    <row r="9697">
      <c r="N9697" s="5"/>
    </row>
    <row r="9698">
      <c r="N9698" s="5"/>
    </row>
    <row r="9699">
      <c r="N9699" s="5"/>
    </row>
    <row r="9700">
      <c r="N9700" s="5"/>
    </row>
    <row r="9701">
      <c r="N9701" s="5"/>
    </row>
    <row r="9702">
      <c r="N9702" s="5"/>
    </row>
    <row r="9703">
      <c r="N9703" s="5"/>
    </row>
    <row r="9704">
      <c r="N9704" s="5"/>
    </row>
    <row r="9705">
      <c r="N9705" s="5"/>
    </row>
    <row r="9706">
      <c r="N9706" s="5"/>
    </row>
    <row r="9707">
      <c r="N9707" s="5"/>
    </row>
    <row r="9708">
      <c r="N9708" s="5"/>
    </row>
    <row r="9709">
      <c r="N9709" s="5"/>
    </row>
    <row r="9710">
      <c r="N9710" s="5"/>
    </row>
    <row r="9711">
      <c r="N9711" s="5"/>
    </row>
    <row r="9712">
      <c r="N9712" s="5"/>
    </row>
    <row r="9713">
      <c r="N9713" s="5"/>
    </row>
    <row r="9714">
      <c r="N9714" s="5"/>
    </row>
    <row r="9715">
      <c r="N9715" s="5"/>
    </row>
    <row r="9716">
      <c r="N9716" s="5"/>
    </row>
    <row r="9717">
      <c r="N9717" s="5"/>
    </row>
    <row r="9718">
      <c r="N9718" s="5"/>
    </row>
    <row r="9719">
      <c r="N9719" s="5"/>
    </row>
    <row r="9720">
      <c r="N9720" s="5"/>
    </row>
    <row r="9721">
      <c r="N9721" s="5"/>
    </row>
    <row r="9722">
      <c r="N9722" s="5"/>
    </row>
    <row r="9723">
      <c r="N9723" s="5"/>
    </row>
    <row r="9724">
      <c r="N9724" s="5"/>
    </row>
    <row r="9725">
      <c r="N9725" s="5"/>
    </row>
    <row r="9726">
      <c r="N9726" s="5"/>
    </row>
    <row r="9727">
      <c r="N9727" s="5"/>
    </row>
    <row r="9728">
      <c r="N9728" s="5"/>
    </row>
    <row r="9729">
      <c r="N9729" s="5"/>
    </row>
    <row r="9730">
      <c r="N9730" s="5"/>
    </row>
    <row r="9731">
      <c r="N9731" s="5"/>
    </row>
    <row r="9732">
      <c r="N9732" s="5"/>
    </row>
    <row r="9733">
      <c r="N9733" s="5"/>
    </row>
    <row r="9734">
      <c r="N9734" s="5"/>
    </row>
    <row r="9735">
      <c r="N9735" s="5"/>
    </row>
    <row r="9736">
      <c r="N9736" s="5"/>
    </row>
    <row r="9737">
      <c r="N9737" s="5"/>
    </row>
    <row r="9738">
      <c r="N9738" s="5"/>
    </row>
    <row r="9739">
      <c r="N9739" s="5"/>
    </row>
    <row r="9740">
      <c r="N9740" s="5"/>
    </row>
    <row r="9741">
      <c r="N9741" s="5"/>
    </row>
    <row r="9742">
      <c r="N9742" s="5"/>
    </row>
    <row r="9743">
      <c r="N9743" s="5"/>
    </row>
    <row r="9744">
      <c r="N9744" s="5"/>
    </row>
    <row r="9745">
      <c r="N9745" s="5"/>
    </row>
    <row r="9746">
      <c r="N9746" s="5"/>
    </row>
    <row r="9747">
      <c r="N9747" s="5"/>
    </row>
    <row r="9748">
      <c r="N9748" s="5"/>
    </row>
    <row r="9749">
      <c r="N9749" s="5"/>
    </row>
    <row r="9750">
      <c r="N9750" s="5"/>
    </row>
    <row r="9751">
      <c r="N9751" s="5"/>
    </row>
    <row r="9752">
      <c r="N9752" s="5"/>
    </row>
    <row r="9753">
      <c r="N9753" s="5"/>
    </row>
    <row r="9754">
      <c r="N9754" s="5"/>
    </row>
    <row r="9755">
      <c r="N9755" s="5"/>
    </row>
    <row r="9756">
      <c r="N9756" s="5"/>
    </row>
    <row r="9757">
      <c r="N9757" s="5"/>
    </row>
    <row r="9758">
      <c r="N9758" s="5"/>
    </row>
    <row r="9759">
      <c r="N9759" s="5"/>
    </row>
    <row r="9760">
      <c r="N9760" s="5"/>
    </row>
    <row r="9761">
      <c r="N9761" s="5"/>
    </row>
    <row r="9762">
      <c r="N9762" s="5"/>
    </row>
    <row r="9763">
      <c r="N9763" s="5"/>
    </row>
    <row r="9764">
      <c r="N9764" s="5"/>
    </row>
    <row r="9765">
      <c r="N9765" s="5"/>
    </row>
    <row r="9766">
      <c r="N9766" s="5"/>
    </row>
    <row r="9767">
      <c r="N9767" s="5"/>
    </row>
    <row r="9768">
      <c r="N9768" s="5"/>
    </row>
    <row r="9769">
      <c r="N9769" s="5"/>
    </row>
    <row r="9770">
      <c r="N9770" s="5"/>
    </row>
    <row r="9771">
      <c r="N9771" s="5"/>
    </row>
    <row r="9772">
      <c r="N9772" s="5"/>
    </row>
    <row r="9773">
      <c r="N9773" s="5"/>
    </row>
    <row r="9774">
      <c r="N9774" s="5"/>
    </row>
    <row r="9775">
      <c r="N9775" s="5"/>
    </row>
    <row r="9776">
      <c r="N9776" s="5"/>
    </row>
    <row r="9777">
      <c r="N9777" s="5"/>
    </row>
    <row r="9778">
      <c r="N9778" s="5"/>
    </row>
    <row r="9779">
      <c r="N9779" s="5"/>
    </row>
    <row r="9780">
      <c r="N9780" s="5"/>
    </row>
    <row r="9781">
      <c r="N9781" s="5"/>
    </row>
    <row r="9782">
      <c r="N9782" s="5"/>
    </row>
    <row r="9783">
      <c r="N9783" s="5"/>
    </row>
    <row r="9784">
      <c r="N9784" s="5"/>
    </row>
    <row r="9785">
      <c r="N9785" s="5"/>
    </row>
    <row r="9786">
      <c r="N9786" s="5"/>
    </row>
    <row r="9787">
      <c r="N9787" s="5"/>
    </row>
    <row r="9788">
      <c r="N9788" s="5"/>
    </row>
    <row r="9789">
      <c r="N9789" s="5"/>
    </row>
    <row r="9790">
      <c r="N9790" s="5"/>
    </row>
    <row r="9791">
      <c r="N9791" s="5"/>
    </row>
    <row r="9792">
      <c r="N9792" s="5"/>
    </row>
    <row r="9793">
      <c r="N9793" s="5"/>
    </row>
    <row r="9794">
      <c r="N9794" s="5"/>
    </row>
    <row r="9795">
      <c r="N9795" s="5"/>
    </row>
    <row r="9796">
      <c r="N9796" s="5"/>
    </row>
    <row r="9797">
      <c r="N9797" s="5"/>
    </row>
    <row r="9798">
      <c r="N9798" s="5"/>
    </row>
    <row r="9799">
      <c r="N9799" s="5"/>
    </row>
    <row r="9800">
      <c r="N9800" s="5"/>
    </row>
    <row r="9801">
      <c r="N9801" s="5"/>
    </row>
    <row r="9802">
      <c r="N9802" s="5"/>
    </row>
    <row r="9803">
      <c r="N9803" s="5"/>
    </row>
    <row r="9804">
      <c r="N9804" s="5"/>
    </row>
    <row r="9805">
      <c r="N9805" s="5"/>
    </row>
    <row r="9806">
      <c r="N9806" s="5"/>
    </row>
    <row r="9807">
      <c r="N9807" s="5"/>
    </row>
    <row r="9808">
      <c r="N9808" s="5"/>
    </row>
    <row r="9809">
      <c r="N9809" s="5"/>
    </row>
    <row r="9810">
      <c r="N9810" s="5"/>
    </row>
    <row r="9811">
      <c r="N9811" s="5"/>
    </row>
    <row r="9812">
      <c r="N9812" s="5"/>
    </row>
    <row r="9813">
      <c r="N9813" s="5"/>
    </row>
    <row r="9814">
      <c r="N9814" s="5"/>
    </row>
    <row r="9815">
      <c r="N9815" s="5"/>
    </row>
    <row r="9816">
      <c r="N9816" s="5"/>
    </row>
    <row r="9817">
      <c r="N9817" s="5"/>
    </row>
    <row r="9818">
      <c r="N9818" s="5"/>
    </row>
    <row r="9819">
      <c r="N9819" s="5"/>
    </row>
    <row r="9820">
      <c r="N9820" s="5"/>
    </row>
    <row r="9821">
      <c r="N9821" s="5"/>
    </row>
    <row r="9822">
      <c r="N9822" s="5"/>
    </row>
    <row r="9823">
      <c r="N9823" s="5"/>
    </row>
    <row r="9824">
      <c r="N9824" s="5"/>
    </row>
    <row r="9825">
      <c r="N9825" s="5"/>
    </row>
    <row r="9826">
      <c r="N9826" s="5"/>
    </row>
    <row r="9827">
      <c r="N9827" s="5"/>
    </row>
    <row r="9828">
      <c r="N9828" s="5"/>
    </row>
    <row r="9829">
      <c r="N9829" s="5"/>
    </row>
    <row r="9830">
      <c r="N9830" s="5"/>
    </row>
    <row r="9831">
      <c r="N9831" s="5"/>
    </row>
    <row r="9832">
      <c r="N9832" s="5"/>
    </row>
    <row r="9833">
      <c r="N9833" s="5"/>
    </row>
    <row r="9834">
      <c r="N9834" s="5"/>
    </row>
    <row r="9835">
      <c r="N9835" s="5"/>
    </row>
    <row r="9836">
      <c r="N9836" s="5"/>
    </row>
    <row r="9837">
      <c r="N9837" s="5"/>
    </row>
    <row r="9838">
      <c r="N9838" s="5"/>
    </row>
    <row r="9839">
      <c r="N9839" s="5"/>
    </row>
    <row r="9840">
      <c r="N9840" s="5"/>
    </row>
    <row r="9841">
      <c r="N9841" s="5"/>
    </row>
    <row r="9842">
      <c r="N9842" s="5"/>
    </row>
    <row r="9843">
      <c r="N9843" s="5"/>
    </row>
    <row r="9844">
      <c r="N9844" s="5"/>
    </row>
    <row r="9845">
      <c r="N9845" s="5"/>
    </row>
    <row r="9846">
      <c r="N9846" s="5"/>
    </row>
    <row r="9847">
      <c r="N9847" s="5"/>
    </row>
    <row r="9848">
      <c r="N9848" s="5"/>
    </row>
    <row r="9849">
      <c r="N9849" s="5"/>
    </row>
    <row r="9850">
      <c r="N9850" s="5"/>
    </row>
    <row r="9851">
      <c r="N9851" s="5"/>
    </row>
    <row r="9852">
      <c r="N9852" s="5"/>
    </row>
    <row r="9853">
      <c r="N9853" s="5"/>
    </row>
    <row r="9854">
      <c r="N9854" s="5"/>
    </row>
    <row r="9855">
      <c r="N9855" s="5"/>
    </row>
    <row r="9856">
      <c r="N9856" s="5"/>
    </row>
    <row r="9857">
      <c r="N9857" s="5"/>
    </row>
    <row r="9858">
      <c r="N9858" s="5"/>
    </row>
    <row r="9859">
      <c r="N9859" s="5"/>
    </row>
    <row r="9860">
      <c r="N9860" s="5"/>
    </row>
    <row r="9861">
      <c r="N9861" s="5"/>
    </row>
    <row r="9862">
      <c r="N9862" s="5"/>
    </row>
    <row r="9863">
      <c r="N9863" s="5"/>
    </row>
    <row r="9864">
      <c r="N9864" s="5"/>
    </row>
    <row r="9865">
      <c r="N9865" s="5"/>
    </row>
    <row r="9866">
      <c r="N9866" s="5"/>
    </row>
    <row r="9867">
      <c r="N9867" s="5"/>
    </row>
    <row r="9868">
      <c r="N9868" s="5"/>
    </row>
    <row r="9869">
      <c r="N9869" s="5"/>
    </row>
    <row r="9870">
      <c r="N9870" s="5"/>
    </row>
    <row r="9871">
      <c r="N9871" s="5"/>
    </row>
    <row r="9872">
      <c r="N9872" s="5"/>
    </row>
    <row r="9873">
      <c r="N9873" s="5"/>
    </row>
    <row r="9874">
      <c r="N9874" s="5"/>
    </row>
    <row r="9875">
      <c r="N9875" s="5"/>
    </row>
    <row r="9876">
      <c r="N9876" s="5"/>
    </row>
    <row r="9877">
      <c r="N9877" s="5"/>
    </row>
    <row r="9878">
      <c r="N9878" s="5"/>
    </row>
    <row r="9879">
      <c r="N9879" s="5"/>
    </row>
    <row r="9880">
      <c r="N9880" s="5"/>
    </row>
    <row r="9881">
      <c r="N9881" s="5"/>
    </row>
    <row r="9882">
      <c r="N9882" s="5"/>
    </row>
    <row r="9883">
      <c r="N9883" s="5"/>
    </row>
    <row r="9884">
      <c r="N9884" s="5"/>
    </row>
    <row r="9885">
      <c r="N9885" s="5"/>
    </row>
    <row r="9886">
      <c r="N9886" s="5"/>
    </row>
    <row r="9887">
      <c r="N9887" s="5"/>
    </row>
    <row r="9888">
      <c r="N9888" s="5"/>
    </row>
    <row r="9889">
      <c r="N9889" s="5"/>
    </row>
    <row r="9890">
      <c r="N9890" s="5"/>
    </row>
    <row r="9891">
      <c r="N9891" s="5"/>
    </row>
    <row r="9892">
      <c r="N9892" s="5"/>
    </row>
    <row r="9893">
      <c r="N9893" s="5"/>
    </row>
    <row r="9894">
      <c r="N9894" s="5"/>
    </row>
    <row r="9895">
      <c r="N9895" s="5"/>
    </row>
    <row r="9896">
      <c r="N9896" s="5"/>
    </row>
    <row r="9897">
      <c r="N9897" s="5"/>
    </row>
    <row r="9898">
      <c r="N9898" s="5"/>
    </row>
    <row r="9899">
      <c r="N9899" s="5"/>
    </row>
    <row r="9900">
      <c r="N9900" s="5"/>
    </row>
    <row r="9901">
      <c r="N9901" s="5"/>
    </row>
    <row r="9902">
      <c r="N9902" s="5"/>
    </row>
    <row r="9903">
      <c r="N9903" s="5"/>
    </row>
    <row r="9904">
      <c r="N9904" s="5"/>
    </row>
    <row r="9905">
      <c r="N9905" s="5"/>
    </row>
    <row r="9906">
      <c r="N9906" s="5"/>
    </row>
    <row r="9907">
      <c r="N9907" s="5"/>
    </row>
    <row r="9908">
      <c r="N9908" s="5"/>
    </row>
    <row r="9909">
      <c r="N9909" s="5"/>
    </row>
    <row r="9910">
      <c r="N9910" s="5"/>
    </row>
    <row r="9911">
      <c r="N9911" s="5"/>
    </row>
    <row r="9912">
      <c r="N9912" s="5"/>
    </row>
    <row r="9913">
      <c r="N9913" s="5"/>
    </row>
    <row r="9914">
      <c r="N9914" s="5"/>
    </row>
    <row r="9915">
      <c r="N9915" s="5"/>
    </row>
    <row r="9916">
      <c r="N9916" s="5"/>
    </row>
    <row r="9917">
      <c r="N9917" s="5"/>
    </row>
    <row r="9918">
      <c r="N9918" s="5"/>
    </row>
    <row r="9919">
      <c r="N9919" s="5"/>
    </row>
    <row r="9920">
      <c r="N9920" s="5"/>
    </row>
    <row r="9921">
      <c r="N9921" s="5"/>
    </row>
    <row r="9922">
      <c r="N9922" s="5"/>
    </row>
    <row r="9923">
      <c r="N9923" s="5"/>
    </row>
    <row r="9924">
      <c r="N9924" s="5"/>
    </row>
    <row r="9925">
      <c r="N9925" s="5"/>
    </row>
    <row r="9926">
      <c r="N9926" s="5"/>
    </row>
    <row r="9927">
      <c r="N9927" s="5"/>
    </row>
    <row r="9928">
      <c r="N9928" s="5"/>
    </row>
    <row r="9929">
      <c r="N9929" s="5"/>
    </row>
    <row r="9930">
      <c r="N9930" s="5"/>
    </row>
    <row r="9931">
      <c r="N9931" s="5"/>
    </row>
    <row r="9932">
      <c r="N9932" s="5"/>
    </row>
    <row r="9933">
      <c r="N9933" s="5"/>
    </row>
    <row r="9934">
      <c r="N9934" s="5"/>
    </row>
    <row r="9935">
      <c r="N9935" s="5"/>
    </row>
    <row r="9936">
      <c r="N9936" s="5"/>
    </row>
    <row r="9937">
      <c r="N9937" s="5"/>
    </row>
    <row r="9938">
      <c r="N9938" s="5"/>
    </row>
    <row r="9939">
      <c r="N9939" s="5"/>
    </row>
    <row r="9940">
      <c r="N9940" s="5"/>
    </row>
    <row r="9941">
      <c r="N9941" s="5"/>
    </row>
    <row r="9942">
      <c r="N9942" s="5"/>
    </row>
    <row r="9943">
      <c r="N9943" s="5"/>
    </row>
    <row r="9944">
      <c r="N9944" s="5"/>
    </row>
    <row r="9945">
      <c r="N9945" s="5"/>
    </row>
    <row r="9946">
      <c r="N9946" s="5"/>
    </row>
    <row r="9947">
      <c r="N9947" s="5"/>
    </row>
    <row r="9948">
      <c r="N9948" s="5"/>
    </row>
    <row r="9949">
      <c r="N9949" s="5"/>
    </row>
    <row r="9950">
      <c r="N9950" s="5"/>
    </row>
    <row r="9951">
      <c r="N9951" s="5"/>
    </row>
    <row r="9952">
      <c r="N9952" s="5"/>
    </row>
    <row r="9953">
      <c r="N9953" s="5"/>
    </row>
    <row r="9954">
      <c r="N9954" s="5"/>
    </row>
    <row r="9955">
      <c r="N9955" s="5"/>
    </row>
    <row r="9956">
      <c r="N9956" s="5"/>
    </row>
    <row r="9957">
      <c r="N9957" s="5"/>
    </row>
    <row r="9958">
      <c r="N9958" s="5"/>
    </row>
    <row r="9959">
      <c r="N9959" s="5"/>
    </row>
    <row r="9960">
      <c r="N9960" s="5"/>
    </row>
    <row r="9961">
      <c r="N9961" s="5"/>
    </row>
    <row r="9962">
      <c r="N9962" s="5"/>
    </row>
    <row r="9963">
      <c r="N9963" s="5"/>
    </row>
    <row r="9964">
      <c r="N9964" s="5"/>
    </row>
    <row r="9965">
      <c r="N9965" s="5"/>
    </row>
    <row r="9966">
      <c r="N9966" s="5"/>
    </row>
    <row r="9967">
      <c r="N9967" s="5"/>
    </row>
    <row r="9968">
      <c r="N9968" s="5"/>
    </row>
    <row r="9969">
      <c r="N9969" s="5"/>
    </row>
    <row r="9970">
      <c r="N9970" s="5"/>
    </row>
    <row r="9971">
      <c r="N9971" s="5"/>
    </row>
    <row r="9972">
      <c r="N9972" s="5"/>
    </row>
    <row r="9973">
      <c r="N9973" s="5"/>
    </row>
    <row r="9974">
      <c r="N9974" s="5"/>
    </row>
    <row r="9975">
      <c r="N9975" s="5"/>
    </row>
    <row r="9976">
      <c r="N9976" s="5"/>
    </row>
    <row r="9977">
      <c r="N9977" s="5"/>
    </row>
    <row r="9978">
      <c r="N9978" s="5"/>
    </row>
    <row r="9979">
      <c r="N9979" s="5"/>
    </row>
    <row r="9980">
      <c r="N9980" s="5"/>
    </row>
    <row r="9981">
      <c r="N9981" s="5"/>
    </row>
    <row r="9982">
      <c r="N9982" s="5"/>
    </row>
    <row r="9983">
      <c r="N9983" s="5"/>
    </row>
    <row r="9984">
      <c r="N9984" s="5"/>
    </row>
    <row r="9985">
      <c r="N9985" s="5"/>
    </row>
    <row r="9986">
      <c r="N9986" s="5"/>
    </row>
    <row r="9987">
      <c r="N9987" s="5"/>
    </row>
    <row r="9988">
      <c r="N9988" s="5"/>
    </row>
    <row r="9989">
      <c r="N9989" s="5"/>
    </row>
    <row r="9990">
      <c r="N9990" s="5"/>
    </row>
    <row r="9991">
      <c r="N9991" s="5"/>
    </row>
    <row r="9992">
      <c r="N9992" s="5"/>
    </row>
    <row r="9993">
      <c r="N9993" s="5"/>
    </row>
    <row r="9994">
      <c r="N9994" s="5"/>
    </row>
    <row r="9995">
      <c r="N9995" s="5"/>
    </row>
    <row r="9996">
      <c r="N9996" s="5"/>
    </row>
    <row r="9997">
      <c r="N9997" s="5"/>
    </row>
    <row r="9998">
      <c r="N9998" s="5"/>
    </row>
    <row r="9999">
      <c r="N9999" s="5"/>
    </row>
    <row r="10000">
      <c r="N10000" s="5"/>
    </row>
    <row r="10001">
      <c r="N10001" s="5"/>
    </row>
    <row r="10002">
      <c r="N10002" s="5"/>
    </row>
    <row r="10003">
      <c r="N10003" s="5"/>
    </row>
    <row r="10004">
      <c r="N10004" s="5"/>
    </row>
    <row r="10005">
      <c r="N10005" s="5"/>
    </row>
    <row r="10006">
      <c r="N10006" s="5"/>
    </row>
    <row r="10007">
      <c r="N10007" s="5"/>
    </row>
    <row r="10008">
      <c r="N10008" s="5"/>
    </row>
    <row r="10009">
      <c r="N10009" s="5"/>
    </row>
    <row r="10010">
      <c r="N10010" s="5"/>
    </row>
    <row r="10011">
      <c r="N10011" s="5"/>
    </row>
    <row r="10012">
      <c r="N10012" s="5"/>
    </row>
    <row r="10013">
      <c r="N10013" s="5"/>
    </row>
    <row r="10014">
      <c r="N10014" s="5"/>
    </row>
    <row r="10015">
      <c r="N10015" s="5"/>
    </row>
    <row r="10016">
      <c r="N10016" s="5"/>
    </row>
    <row r="10017">
      <c r="N10017" s="5"/>
    </row>
    <row r="10018">
      <c r="N10018" s="5"/>
    </row>
    <row r="10019">
      <c r="N10019" s="5"/>
    </row>
    <row r="10020">
      <c r="N10020" s="5"/>
    </row>
    <row r="10021">
      <c r="N10021" s="5"/>
    </row>
    <row r="10022">
      <c r="N10022" s="5"/>
    </row>
    <row r="10023">
      <c r="N10023" s="5"/>
    </row>
    <row r="10024">
      <c r="N10024" s="5"/>
    </row>
    <row r="10025">
      <c r="N10025" s="5"/>
    </row>
    <row r="10026">
      <c r="N10026" s="5"/>
    </row>
    <row r="10027">
      <c r="N10027" s="5"/>
    </row>
    <row r="10028">
      <c r="N10028" s="5"/>
    </row>
    <row r="10029">
      <c r="N10029" s="5"/>
    </row>
    <row r="10030">
      <c r="N10030" s="5"/>
    </row>
    <row r="10031">
      <c r="N10031" s="5"/>
    </row>
    <row r="10032">
      <c r="N10032" s="5"/>
    </row>
    <row r="10033">
      <c r="N10033" s="5"/>
    </row>
    <row r="10034">
      <c r="N10034" s="5"/>
    </row>
    <row r="10035">
      <c r="N10035" s="5"/>
    </row>
    <row r="10036">
      <c r="N10036" s="5"/>
    </row>
    <row r="10037">
      <c r="N10037" s="5"/>
    </row>
    <row r="10038">
      <c r="N10038" s="5"/>
    </row>
    <row r="10039">
      <c r="N10039" s="5"/>
    </row>
    <row r="10040">
      <c r="N10040" s="5"/>
    </row>
    <row r="10041">
      <c r="N10041" s="5"/>
    </row>
    <row r="10042">
      <c r="N10042" s="5"/>
    </row>
    <row r="10043">
      <c r="N10043" s="5"/>
    </row>
    <row r="10044">
      <c r="N10044" s="5"/>
    </row>
    <row r="10045">
      <c r="N10045" s="5"/>
    </row>
    <row r="10046">
      <c r="N10046" s="5"/>
    </row>
    <row r="10047">
      <c r="N10047" s="5"/>
    </row>
    <row r="10048">
      <c r="N10048" s="5"/>
    </row>
    <row r="10049">
      <c r="N10049" s="5"/>
    </row>
    <row r="10050">
      <c r="N10050" s="5"/>
    </row>
    <row r="10051">
      <c r="N10051" s="5"/>
    </row>
    <row r="10052">
      <c r="N10052" s="5"/>
    </row>
    <row r="10053">
      <c r="N10053" s="5"/>
    </row>
    <row r="10054">
      <c r="N10054" s="5"/>
    </row>
    <row r="10055">
      <c r="N10055" s="5"/>
    </row>
    <row r="10056">
      <c r="N10056" s="5"/>
    </row>
    <row r="10057">
      <c r="N10057" s="5"/>
    </row>
    <row r="10058">
      <c r="N10058" s="5"/>
    </row>
    <row r="10059">
      <c r="N10059" s="5"/>
    </row>
    <row r="10060">
      <c r="N10060" s="5"/>
    </row>
    <row r="10061">
      <c r="N10061" s="5"/>
    </row>
    <row r="10062">
      <c r="N10062" s="5"/>
    </row>
    <row r="10063">
      <c r="N10063" s="5"/>
    </row>
    <row r="10064">
      <c r="N10064" s="5"/>
    </row>
    <row r="10065">
      <c r="N10065" s="5"/>
    </row>
    <row r="10066">
      <c r="N10066" s="5"/>
    </row>
    <row r="10067">
      <c r="N10067" s="5"/>
    </row>
    <row r="10068">
      <c r="N10068" s="5"/>
    </row>
    <row r="10069">
      <c r="N10069" s="5"/>
    </row>
    <row r="10070">
      <c r="N10070" s="5"/>
    </row>
    <row r="10071">
      <c r="N10071" s="5"/>
    </row>
    <row r="10072">
      <c r="N10072" s="5"/>
    </row>
    <row r="10073">
      <c r="N10073" s="5"/>
    </row>
    <row r="10074">
      <c r="N10074" s="5"/>
    </row>
    <row r="10075">
      <c r="N10075" s="5"/>
    </row>
    <row r="10076">
      <c r="N10076" s="5"/>
    </row>
    <row r="10077">
      <c r="N10077" s="5"/>
    </row>
    <row r="10078">
      <c r="N10078" s="5"/>
    </row>
    <row r="10079">
      <c r="N10079" s="5"/>
    </row>
    <row r="10080">
      <c r="N10080" s="5"/>
    </row>
    <row r="10081">
      <c r="N10081" s="5"/>
    </row>
    <row r="10082">
      <c r="N10082" s="5"/>
    </row>
    <row r="10083">
      <c r="N10083" s="5"/>
    </row>
    <row r="10084">
      <c r="N10084" s="5"/>
    </row>
    <row r="10085">
      <c r="N10085" s="5"/>
    </row>
    <row r="10086">
      <c r="N10086" s="5"/>
    </row>
    <row r="10087">
      <c r="N10087" s="5"/>
    </row>
    <row r="10088">
      <c r="N10088" s="5"/>
    </row>
    <row r="10089">
      <c r="N10089" s="5"/>
    </row>
    <row r="10090">
      <c r="N10090" s="5"/>
    </row>
    <row r="10091">
      <c r="N10091" s="5"/>
    </row>
    <row r="10092">
      <c r="N10092" s="5"/>
    </row>
    <row r="10093">
      <c r="N10093" s="5"/>
    </row>
    <row r="10094">
      <c r="N10094" s="5"/>
    </row>
    <row r="10095">
      <c r="N10095" s="5"/>
    </row>
    <row r="10096">
      <c r="N10096" s="5"/>
    </row>
    <row r="10097">
      <c r="N10097" s="5"/>
    </row>
    <row r="10098">
      <c r="N10098" s="5"/>
    </row>
    <row r="10099">
      <c r="N10099" s="5"/>
    </row>
    <row r="10100">
      <c r="N10100" s="5"/>
    </row>
    <row r="10101">
      <c r="N10101" s="5"/>
    </row>
    <row r="10102">
      <c r="N10102" s="5"/>
    </row>
    <row r="10103">
      <c r="N10103" s="5"/>
    </row>
    <row r="10104">
      <c r="N10104" s="5"/>
    </row>
    <row r="10105">
      <c r="N10105" s="5"/>
    </row>
    <row r="10106">
      <c r="N10106" s="5"/>
    </row>
    <row r="10107">
      <c r="N10107" s="5"/>
    </row>
    <row r="10108">
      <c r="N10108" s="5"/>
    </row>
    <row r="10109">
      <c r="N10109" s="5"/>
    </row>
    <row r="10110">
      <c r="N10110" s="5"/>
    </row>
    <row r="10111">
      <c r="N10111" s="5"/>
    </row>
    <row r="10112">
      <c r="N10112" s="5"/>
    </row>
    <row r="10113">
      <c r="N10113" s="5"/>
    </row>
    <row r="10114">
      <c r="N10114" s="5"/>
    </row>
    <row r="10115">
      <c r="N10115" s="5"/>
    </row>
    <row r="10116">
      <c r="N10116" s="5"/>
    </row>
    <row r="10117">
      <c r="N10117" s="5"/>
    </row>
    <row r="10118">
      <c r="N10118" s="5"/>
    </row>
    <row r="10119">
      <c r="N10119" s="5"/>
    </row>
    <row r="10120">
      <c r="N10120" s="5"/>
    </row>
    <row r="10121">
      <c r="N10121" s="5"/>
    </row>
    <row r="10122">
      <c r="N10122" s="5"/>
    </row>
    <row r="10123">
      <c r="N10123" s="5"/>
    </row>
    <row r="10124">
      <c r="N10124" s="5"/>
    </row>
    <row r="10125">
      <c r="N10125" s="5"/>
    </row>
    <row r="10126">
      <c r="N10126" s="5"/>
    </row>
    <row r="10127">
      <c r="N10127" s="5"/>
    </row>
    <row r="10128">
      <c r="N10128" s="5"/>
    </row>
    <row r="10129">
      <c r="N10129" s="5"/>
    </row>
    <row r="10130">
      <c r="N10130" s="5"/>
    </row>
    <row r="10131">
      <c r="N10131" s="5"/>
    </row>
    <row r="10132">
      <c r="N10132" s="5"/>
    </row>
    <row r="10133">
      <c r="N10133" s="5"/>
    </row>
    <row r="10134">
      <c r="N10134" s="5"/>
    </row>
    <row r="10135">
      <c r="N10135" s="5"/>
    </row>
    <row r="10136">
      <c r="N10136" s="5"/>
    </row>
    <row r="10137">
      <c r="N10137" s="5"/>
    </row>
    <row r="10138">
      <c r="N10138" s="5"/>
    </row>
    <row r="10139">
      <c r="N10139" s="5"/>
    </row>
    <row r="10140">
      <c r="N10140" s="5"/>
    </row>
    <row r="10141">
      <c r="N10141" s="5"/>
    </row>
    <row r="10142">
      <c r="N10142" s="5"/>
    </row>
    <row r="10143">
      <c r="N10143" s="5"/>
    </row>
    <row r="10144">
      <c r="N10144" s="5"/>
    </row>
    <row r="10145">
      <c r="N10145" s="5"/>
    </row>
    <row r="10146">
      <c r="N10146" s="5"/>
    </row>
    <row r="10147">
      <c r="N10147" s="5"/>
    </row>
    <row r="10148">
      <c r="N10148" s="5"/>
    </row>
    <row r="10149">
      <c r="N10149" s="5"/>
    </row>
    <row r="10150">
      <c r="N10150" s="5"/>
    </row>
    <row r="10151">
      <c r="N10151" s="5"/>
    </row>
    <row r="10152">
      <c r="N10152" s="5"/>
    </row>
    <row r="10153">
      <c r="N10153" s="5"/>
    </row>
    <row r="10154">
      <c r="N10154" s="5"/>
    </row>
    <row r="10155">
      <c r="N10155" s="5"/>
    </row>
    <row r="10156">
      <c r="N10156" s="5"/>
    </row>
    <row r="10157">
      <c r="N10157" s="5"/>
    </row>
    <row r="10158">
      <c r="N10158" s="5"/>
    </row>
    <row r="10159">
      <c r="N10159" s="5"/>
    </row>
    <row r="10160">
      <c r="N10160" s="5"/>
    </row>
    <row r="10161">
      <c r="N10161" s="5"/>
    </row>
    <row r="10162">
      <c r="N10162" s="5"/>
    </row>
    <row r="10163">
      <c r="N10163" s="5"/>
    </row>
    <row r="10164">
      <c r="N10164" s="5"/>
    </row>
    <row r="10165">
      <c r="N10165" s="5"/>
    </row>
    <row r="10166">
      <c r="N10166" s="5"/>
    </row>
    <row r="10167">
      <c r="N10167" s="5"/>
    </row>
    <row r="10168">
      <c r="N10168" s="5"/>
    </row>
    <row r="10169">
      <c r="N10169" s="5"/>
    </row>
    <row r="10170">
      <c r="N10170" s="5"/>
    </row>
    <row r="10171">
      <c r="N10171" s="5"/>
    </row>
    <row r="10172">
      <c r="N10172" s="5"/>
    </row>
    <row r="10173">
      <c r="N10173" s="5"/>
    </row>
    <row r="10174">
      <c r="N10174" s="5"/>
    </row>
    <row r="10175">
      <c r="N10175" s="5"/>
    </row>
    <row r="10176">
      <c r="N10176" s="5"/>
    </row>
    <row r="10177">
      <c r="N10177" s="5"/>
    </row>
    <row r="10178">
      <c r="N10178" s="5"/>
    </row>
    <row r="10179">
      <c r="N10179" s="5"/>
    </row>
    <row r="10180">
      <c r="N10180" s="5"/>
    </row>
    <row r="10181">
      <c r="N10181" s="5"/>
    </row>
    <row r="10182">
      <c r="N10182" s="5"/>
    </row>
    <row r="10183">
      <c r="N10183" s="5"/>
    </row>
    <row r="10184">
      <c r="N10184" s="5"/>
    </row>
    <row r="10185">
      <c r="N10185" s="5"/>
    </row>
    <row r="10186">
      <c r="N10186" s="5"/>
    </row>
    <row r="10187">
      <c r="N10187" s="5"/>
    </row>
    <row r="10188">
      <c r="N10188" s="5"/>
    </row>
    <row r="10189">
      <c r="N10189" s="5"/>
    </row>
    <row r="10190">
      <c r="N10190" s="5"/>
    </row>
    <row r="10191">
      <c r="N10191" s="5"/>
    </row>
    <row r="10192">
      <c r="N10192" s="5"/>
    </row>
    <row r="10193">
      <c r="N10193" s="5"/>
    </row>
    <row r="10194">
      <c r="N10194" s="5"/>
    </row>
    <row r="10195">
      <c r="N10195" s="5"/>
    </row>
    <row r="10196">
      <c r="N10196" s="5"/>
    </row>
    <row r="10197">
      <c r="N10197" s="5"/>
    </row>
    <row r="10198">
      <c r="N10198" s="5"/>
    </row>
    <row r="10199">
      <c r="N10199" s="5"/>
    </row>
    <row r="10200">
      <c r="N10200" s="5"/>
    </row>
    <row r="10201">
      <c r="N10201" s="5"/>
    </row>
    <row r="10202">
      <c r="N10202" s="5"/>
    </row>
    <row r="10203">
      <c r="N10203" s="5"/>
    </row>
    <row r="10204">
      <c r="N10204" s="5"/>
    </row>
    <row r="10205">
      <c r="N10205" s="5"/>
    </row>
    <row r="10206">
      <c r="N10206" s="5"/>
    </row>
    <row r="10207">
      <c r="N10207" s="5"/>
    </row>
    <row r="10208">
      <c r="N10208" s="5"/>
    </row>
    <row r="10209">
      <c r="N10209" s="5"/>
    </row>
    <row r="10210">
      <c r="N10210" s="5"/>
    </row>
    <row r="10211">
      <c r="N10211" s="5"/>
    </row>
    <row r="10212">
      <c r="N10212" s="5"/>
    </row>
    <row r="10213">
      <c r="N10213" s="5"/>
    </row>
    <row r="10214">
      <c r="N10214" s="5"/>
    </row>
    <row r="10215">
      <c r="N10215" s="5"/>
    </row>
    <row r="10216">
      <c r="N10216" s="5"/>
    </row>
    <row r="10217">
      <c r="N10217" s="5"/>
    </row>
    <row r="10218">
      <c r="N10218" s="5"/>
    </row>
    <row r="10219">
      <c r="N10219" s="5"/>
    </row>
    <row r="10220">
      <c r="N10220" s="5"/>
    </row>
    <row r="10221">
      <c r="N10221" s="5"/>
    </row>
    <row r="10222">
      <c r="N10222" s="5"/>
    </row>
    <row r="10223">
      <c r="N10223" s="5"/>
    </row>
    <row r="10224">
      <c r="N10224" s="5"/>
    </row>
    <row r="10225">
      <c r="N10225" s="5"/>
    </row>
    <row r="10226">
      <c r="N10226" s="5"/>
    </row>
    <row r="10227">
      <c r="N10227" s="5"/>
    </row>
    <row r="10228">
      <c r="N10228" s="5"/>
    </row>
    <row r="10229">
      <c r="N10229" s="5"/>
    </row>
    <row r="10230">
      <c r="N10230" s="5"/>
    </row>
    <row r="10231">
      <c r="N10231" s="5"/>
    </row>
    <row r="10232">
      <c r="N10232" s="5"/>
    </row>
    <row r="10233">
      <c r="N10233" s="5"/>
    </row>
    <row r="10234">
      <c r="N10234" s="5"/>
    </row>
    <row r="10235">
      <c r="N10235" s="5"/>
    </row>
    <row r="10236">
      <c r="N10236" s="5"/>
    </row>
    <row r="10237">
      <c r="N10237" s="5"/>
    </row>
    <row r="10238">
      <c r="N10238" s="5"/>
    </row>
    <row r="10239">
      <c r="N10239" s="5"/>
    </row>
    <row r="10240">
      <c r="N10240" s="5"/>
    </row>
    <row r="10241">
      <c r="N10241" s="5"/>
    </row>
    <row r="10242">
      <c r="N10242" s="5"/>
    </row>
    <row r="10243">
      <c r="N10243" s="5"/>
    </row>
    <row r="10244">
      <c r="N10244" s="5"/>
    </row>
    <row r="10245">
      <c r="N10245" s="5"/>
    </row>
    <row r="10246">
      <c r="N10246" s="5"/>
    </row>
    <row r="10247">
      <c r="N10247" s="5"/>
    </row>
    <row r="10248">
      <c r="N10248" s="5"/>
    </row>
    <row r="10249">
      <c r="N10249" s="5"/>
    </row>
    <row r="10250">
      <c r="N10250" s="5"/>
    </row>
    <row r="10251">
      <c r="N10251" s="5"/>
    </row>
    <row r="10252">
      <c r="N10252" s="5"/>
    </row>
    <row r="10253">
      <c r="N10253" s="5"/>
    </row>
    <row r="10254">
      <c r="N10254" s="5"/>
    </row>
    <row r="10255">
      <c r="N10255" s="5"/>
    </row>
    <row r="10256">
      <c r="N10256" s="5"/>
    </row>
    <row r="10257">
      <c r="N10257" s="5"/>
    </row>
    <row r="10258">
      <c r="N10258" s="5"/>
    </row>
    <row r="10259">
      <c r="N10259" s="5"/>
    </row>
    <row r="10260">
      <c r="N10260" s="5"/>
    </row>
    <row r="10261">
      <c r="N10261" s="5"/>
    </row>
    <row r="10262">
      <c r="N10262" s="5"/>
    </row>
    <row r="10263">
      <c r="N10263" s="5"/>
    </row>
    <row r="10264">
      <c r="N10264" s="5"/>
    </row>
    <row r="10265">
      <c r="N10265" s="5"/>
    </row>
    <row r="10266">
      <c r="N10266" s="5"/>
    </row>
    <row r="10267">
      <c r="N10267" s="5"/>
    </row>
    <row r="10268">
      <c r="N10268" s="5"/>
    </row>
    <row r="10269">
      <c r="N10269" s="5"/>
    </row>
    <row r="10270">
      <c r="N10270" s="5"/>
    </row>
    <row r="10271">
      <c r="N10271" s="5"/>
    </row>
    <row r="10272">
      <c r="N10272" s="5"/>
    </row>
    <row r="10273">
      <c r="N10273" s="5"/>
    </row>
    <row r="10274">
      <c r="N10274" s="5"/>
    </row>
    <row r="10275">
      <c r="N10275" s="5"/>
    </row>
    <row r="10276">
      <c r="N10276" s="5"/>
    </row>
    <row r="10277">
      <c r="N10277" s="5"/>
    </row>
    <row r="10278">
      <c r="N10278" s="5"/>
    </row>
    <row r="10279">
      <c r="N10279" s="5"/>
    </row>
    <row r="10280">
      <c r="N10280" s="5"/>
    </row>
    <row r="10281">
      <c r="N10281" s="5"/>
    </row>
    <row r="10282">
      <c r="N10282" s="5"/>
    </row>
    <row r="10283">
      <c r="N10283" s="5"/>
    </row>
    <row r="10284">
      <c r="N10284" s="5"/>
    </row>
    <row r="10285">
      <c r="N10285" s="5"/>
    </row>
    <row r="10286">
      <c r="N10286" s="5"/>
    </row>
    <row r="10287">
      <c r="N10287" s="5"/>
    </row>
    <row r="10288">
      <c r="N10288" s="5"/>
    </row>
    <row r="10289">
      <c r="N10289" s="5"/>
    </row>
    <row r="10290">
      <c r="N10290" s="5"/>
    </row>
    <row r="10291">
      <c r="N10291" s="5"/>
    </row>
    <row r="10292">
      <c r="N10292" s="5"/>
    </row>
    <row r="10293">
      <c r="N10293" s="5"/>
    </row>
    <row r="10294">
      <c r="N10294" s="5"/>
    </row>
    <row r="10295">
      <c r="N10295" s="5"/>
    </row>
    <row r="10296">
      <c r="N10296" s="5"/>
    </row>
    <row r="10297">
      <c r="N10297" s="5"/>
    </row>
    <row r="10298">
      <c r="N10298" s="5"/>
    </row>
    <row r="10299">
      <c r="N10299" s="5"/>
    </row>
    <row r="10300">
      <c r="N10300" s="5"/>
    </row>
    <row r="10301">
      <c r="N10301" s="5"/>
    </row>
    <row r="10302">
      <c r="N10302" s="5"/>
    </row>
    <row r="10303">
      <c r="N10303" s="5"/>
    </row>
    <row r="10304">
      <c r="N10304" s="5"/>
    </row>
    <row r="10305">
      <c r="N10305" s="5"/>
    </row>
    <row r="10306">
      <c r="N10306" s="5"/>
    </row>
    <row r="10307">
      <c r="N10307" s="5"/>
    </row>
    <row r="10308">
      <c r="N10308" s="5"/>
    </row>
    <row r="10309">
      <c r="N10309" s="5"/>
    </row>
    <row r="10310">
      <c r="N10310" s="5"/>
    </row>
    <row r="10311">
      <c r="N10311" s="5"/>
    </row>
    <row r="10312">
      <c r="N10312" s="5"/>
    </row>
    <row r="10313">
      <c r="N10313" s="5"/>
    </row>
    <row r="10314">
      <c r="N10314" s="5"/>
    </row>
    <row r="10315">
      <c r="N10315" s="5"/>
    </row>
    <row r="10316">
      <c r="N10316" s="5"/>
    </row>
    <row r="10317">
      <c r="N10317" s="5"/>
    </row>
    <row r="10318">
      <c r="N10318" s="5"/>
    </row>
    <row r="10319">
      <c r="N10319" s="5"/>
    </row>
    <row r="10320">
      <c r="N10320" s="5"/>
    </row>
    <row r="10321">
      <c r="N10321" s="5"/>
    </row>
    <row r="10322">
      <c r="N10322" s="5"/>
    </row>
    <row r="10323">
      <c r="N10323" s="5"/>
    </row>
    <row r="10324">
      <c r="N10324" s="5"/>
    </row>
    <row r="10325">
      <c r="N10325" s="5"/>
    </row>
    <row r="10326">
      <c r="N10326" s="5"/>
    </row>
    <row r="10327">
      <c r="N10327" s="5"/>
    </row>
    <row r="10328">
      <c r="N10328" s="5"/>
    </row>
    <row r="10329">
      <c r="N10329" s="5"/>
    </row>
    <row r="10330">
      <c r="N10330" s="5"/>
    </row>
    <row r="10331">
      <c r="N10331" s="5"/>
    </row>
    <row r="10332">
      <c r="N10332" s="5"/>
    </row>
    <row r="10333">
      <c r="N10333" s="5"/>
    </row>
    <row r="10334">
      <c r="N10334" s="5"/>
    </row>
    <row r="10335">
      <c r="N10335" s="5"/>
    </row>
    <row r="10336">
      <c r="N10336" s="5"/>
    </row>
    <row r="10337">
      <c r="N10337" s="5"/>
    </row>
    <row r="10338">
      <c r="N10338" s="5"/>
    </row>
    <row r="10339">
      <c r="N10339" s="5"/>
    </row>
    <row r="10340">
      <c r="N10340" s="5"/>
    </row>
    <row r="10341">
      <c r="N10341" s="5"/>
    </row>
    <row r="10342">
      <c r="N10342" s="5"/>
    </row>
    <row r="10343">
      <c r="N10343" s="5"/>
    </row>
    <row r="10344">
      <c r="N10344" s="5"/>
    </row>
    <row r="10345">
      <c r="N10345" s="5"/>
    </row>
    <row r="10346">
      <c r="N10346" s="5"/>
    </row>
    <row r="10347">
      <c r="N10347" s="5"/>
    </row>
    <row r="10348">
      <c r="N10348" s="5"/>
    </row>
    <row r="10349">
      <c r="N10349" s="5"/>
    </row>
    <row r="10350">
      <c r="N10350" s="5"/>
    </row>
    <row r="10351">
      <c r="N10351" s="5"/>
    </row>
    <row r="10352">
      <c r="N10352" s="5"/>
    </row>
    <row r="10353">
      <c r="N10353" s="5"/>
    </row>
    <row r="10354">
      <c r="N10354" s="5"/>
    </row>
    <row r="10355">
      <c r="N10355" s="5"/>
    </row>
    <row r="10356">
      <c r="N10356" s="5"/>
    </row>
    <row r="10357">
      <c r="N10357" s="5"/>
    </row>
    <row r="10358">
      <c r="N10358" s="5"/>
    </row>
    <row r="10359">
      <c r="N10359" s="5"/>
    </row>
    <row r="10360">
      <c r="N10360" s="5"/>
    </row>
    <row r="10361">
      <c r="N10361" s="5"/>
    </row>
    <row r="10362">
      <c r="N10362" s="5"/>
    </row>
    <row r="10363">
      <c r="N10363" s="5"/>
    </row>
    <row r="10364">
      <c r="N10364" s="5"/>
    </row>
    <row r="10365">
      <c r="N10365" s="5"/>
    </row>
    <row r="10366">
      <c r="N10366" s="5"/>
    </row>
    <row r="10367">
      <c r="N10367" s="5"/>
    </row>
    <row r="10368">
      <c r="N10368" s="5"/>
    </row>
    <row r="10369">
      <c r="N10369" s="5"/>
    </row>
    <row r="10370">
      <c r="N10370" s="5"/>
    </row>
    <row r="10371">
      <c r="N10371" s="5"/>
    </row>
    <row r="10372">
      <c r="N10372" s="5"/>
    </row>
    <row r="10373">
      <c r="N10373" s="5"/>
    </row>
    <row r="10374">
      <c r="N10374" s="5"/>
    </row>
    <row r="10375">
      <c r="N10375" s="5"/>
    </row>
    <row r="10376">
      <c r="N10376" s="5"/>
    </row>
    <row r="10377">
      <c r="N10377" s="5"/>
    </row>
    <row r="10378">
      <c r="N10378" s="5"/>
    </row>
    <row r="10379">
      <c r="N10379" s="5"/>
    </row>
    <row r="10380">
      <c r="N10380" s="5"/>
    </row>
    <row r="10381">
      <c r="N10381" s="5"/>
    </row>
    <row r="10382">
      <c r="N10382" s="5"/>
    </row>
    <row r="10383">
      <c r="N10383" s="5"/>
    </row>
    <row r="10384">
      <c r="N10384" s="5"/>
    </row>
    <row r="10385">
      <c r="N10385" s="5"/>
    </row>
    <row r="10386">
      <c r="N10386" s="5"/>
    </row>
    <row r="10387">
      <c r="N10387" s="5"/>
    </row>
    <row r="10388">
      <c r="N10388" s="5"/>
    </row>
    <row r="10389">
      <c r="N10389" s="5"/>
    </row>
    <row r="10390">
      <c r="N10390" s="5"/>
    </row>
    <row r="10391">
      <c r="N10391" s="5"/>
    </row>
    <row r="10392">
      <c r="N10392" s="5"/>
    </row>
    <row r="10393">
      <c r="N10393" s="5"/>
    </row>
    <row r="10394">
      <c r="N10394" s="5"/>
    </row>
    <row r="10395">
      <c r="N10395" s="5"/>
    </row>
    <row r="10396">
      <c r="N10396" s="5"/>
    </row>
    <row r="10397">
      <c r="N10397" s="5"/>
    </row>
    <row r="10398">
      <c r="N10398" s="5"/>
    </row>
    <row r="10399">
      <c r="N10399" s="5"/>
    </row>
    <row r="10400">
      <c r="N10400" s="5"/>
    </row>
    <row r="10401">
      <c r="N10401" s="5"/>
    </row>
    <row r="10402">
      <c r="N10402" s="5"/>
    </row>
    <row r="10403">
      <c r="N10403" s="5"/>
    </row>
    <row r="10404">
      <c r="N10404" s="5"/>
    </row>
    <row r="10405">
      <c r="N10405" s="5"/>
    </row>
    <row r="10406">
      <c r="N10406" s="5"/>
    </row>
    <row r="10407">
      <c r="N10407" s="5"/>
    </row>
    <row r="10408">
      <c r="N10408" s="5"/>
    </row>
    <row r="10409">
      <c r="N10409" s="5"/>
    </row>
    <row r="10410">
      <c r="N10410" s="5"/>
    </row>
    <row r="10411">
      <c r="N10411" s="5"/>
    </row>
    <row r="10412">
      <c r="N10412" s="5"/>
    </row>
    <row r="10413">
      <c r="N10413" s="5"/>
    </row>
    <row r="10414">
      <c r="N10414" s="5"/>
    </row>
    <row r="10415">
      <c r="N10415" s="5"/>
    </row>
    <row r="10416">
      <c r="N10416" s="5"/>
    </row>
    <row r="10417">
      <c r="N10417" s="5"/>
    </row>
    <row r="10418">
      <c r="N10418" s="5"/>
    </row>
    <row r="10419">
      <c r="N10419" s="5"/>
    </row>
    <row r="10420">
      <c r="N10420" s="5"/>
    </row>
    <row r="10421">
      <c r="N10421" s="5"/>
    </row>
    <row r="10422">
      <c r="N10422" s="5"/>
    </row>
    <row r="10423">
      <c r="N10423" s="5"/>
    </row>
    <row r="10424">
      <c r="N10424" s="5"/>
    </row>
    <row r="10425">
      <c r="N10425" s="5"/>
    </row>
    <row r="10426">
      <c r="N10426" s="5"/>
    </row>
    <row r="10427">
      <c r="N10427" s="5"/>
    </row>
    <row r="10428">
      <c r="N10428" s="5"/>
    </row>
    <row r="10429">
      <c r="N10429" s="5"/>
    </row>
    <row r="10430">
      <c r="N10430" s="5"/>
    </row>
    <row r="10431">
      <c r="N10431" s="5"/>
    </row>
    <row r="10432">
      <c r="N10432" s="5"/>
    </row>
    <row r="10433">
      <c r="N10433" s="5"/>
    </row>
    <row r="10434">
      <c r="N10434" s="5"/>
    </row>
    <row r="10435">
      <c r="N10435" s="5"/>
    </row>
    <row r="10436">
      <c r="N10436" s="5"/>
    </row>
    <row r="10437">
      <c r="N10437" s="5"/>
    </row>
    <row r="10438">
      <c r="N10438" s="5"/>
    </row>
    <row r="10439">
      <c r="N10439" s="5"/>
    </row>
    <row r="10440">
      <c r="N10440" s="5"/>
    </row>
    <row r="10441">
      <c r="N10441" s="5"/>
    </row>
    <row r="10442">
      <c r="N10442" s="5"/>
    </row>
    <row r="10443">
      <c r="N10443" s="5"/>
    </row>
    <row r="10444">
      <c r="N10444" s="5"/>
    </row>
    <row r="10445">
      <c r="N10445" s="5"/>
    </row>
    <row r="10446">
      <c r="N10446" s="5"/>
    </row>
    <row r="10447">
      <c r="N10447" s="5"/>
    </row>
    <row r="10448">
      <c r="N10448" s="5"/>
    </row>
    <row r="10449">
      <c r="N10449" s="5"/>
    </row>
    <row r="10450">
      <c r="N10450" s="5"/>
    </row>
    <row r="10451">
      <c r="N10451" s="5"/>
    </row>
    <row r="10452">
      <c r="N10452" s="5"/>
    </row>
    <row r="10453">
      <c r="N10453" s="5"/>
    </row>
    <row r="10454">
      <c r="N10454" s="5"/>
    </row>
    <row r="10455">
      <c r="N10455" s="5"/>
    </row>
    <row r="10456">
      <c r="N10456" s="5"/>
    </row>
    <row r="10457">
      <c r="N10457" s="5"/>
    </row>
    <row r="10458">
      <c r="N10458" s="5"/>
    </row>
    <row r="10459">
      <c r="N10459" s="5"/>
    </row>
    <row r="10460">
      <c r="N10460" s="5"/>
    </row>
    <row r="10461">
      <c r="N10461" s="5"/>
    </row>
    <row r="10462">
      <c r="N10462" s="5"/>
    </row>
    <row r="10463">
      <c r="N10463" s="5"/>
    </row>
    <row r="10464">
      <c r="N10464" s="5"/>
    </row>
    <row r="10465">
      <c r="N10465" s="5"/>
    </row>
    <row r="10466">
      <c r="N10466" s="5"/>
    </row>
    <row r="10467">
      <c r="N10467" s="5"/>
    </row>
    <row r="10468">
      <c r="N10468" s="5"/>
    </row>
    <row r="10469">
      <c r="N10469" s="5"/>
    </row>
    <row r="10470">
      <c r="N10470" s="5"/>
    </row>
    <row r="10471">
      <c r="N10471" s="5"/>
    </row>
    <row r="10472">
      <c r="N10472" s="5"/>
    </row>
    <row r="10473">
      <c r="N10473" s="5"/>
    </row>
    <row r="10474">
      <c r="N10474" s="5"/>
    </row>
    <row r="10475">
      <c r="N10475" s="5"/>
    </row>
    <row r="10476">
      <c r="N10476" s="5"/>
    </row>
    <row r="10477">
      <c r="N10477" s="5"/>
    </row>
    <row r="10478">
      <c r="N10478" s="5"/>
    </row>
    <row r="10479">
      <c r="N10479" s="5"/>
    </row>
    <row r="10480">
      <c r="N10480" s="5"/>
    </row>
    <row r="10481">
      <c r="N10481" s="5"/>
    </row>
    <row r="10482">
      <c r="N10482" s="5"/>
    </row>
    <row r="10483">
      <c r="N10483" s="5"/>
    </row>
    <row r="10484">
      <c r="N10484" s="5"/>
    </row>
    <row r="10485">
      <c r="N10485" s="5"/>
    </row>
    <row r="10486">
      <c r="N10486" s="5"/>
    </row>
    <row r="10487">
      <c r="N10487" s="5"/>
    </row>
    <row r="10488">
      <c r="N10488" s="5"/>
    </row>
    <row r="10489">
      <c r="N10489" s="5"/>
    </row>
    <row r="10490">
      <c r="N10490" s="5"/>
    </row>
    <row r="10491">
      <c r="N10491" s="5"/>
    </row>
    <row r="10492">
      <c r="N10492" s="5"/>
    </row>
    <row r="10493">
      <c r="N10493" s="5"/>
    </row>
    <row r="10494">
      <c r="N10494" s="5"/>
    </row>
    <row r="10495">
      <c r="N10495" s="5"/>
    </row>
    <row r="10496">
      <c r="N10496" s="5"/>
    </row>
    <row r="10497">
      <c r="N10497" s="5"/>
    </row>
    <row r="10498">
      <c r="N10498" s="5"/>
    </row>
    <row r="10499">
      <c r="N10499" s="5"/>
    </row>
    <row r="10500">
      <c r="N10500" s="5"/>
    </row>
    <row r="10501">
      <c r="N10501" s="5"/>
    </row>
    <row r="10502">
      <c r="N10502" s="5"/>
    </row>
    <row r="10503">
      <c r="N10503" s="5"/>
    </row>
    <row r="10504">
      <c r="N10504" s="5"/>
    </row>
    <row r="10505">
      <c r="N10505" s="5"/>
    </row>
    <row r="10506">
      <c r="N10506" s="5"/>
    </row>
    <row r="10507">
      <c r="N10507" s="5"/>
    </row>
    <row r="10508">
      <c r="N10508" s="5"/>
    </row>
    <row r="10509">
      <c r="N10509" s="5"/>
    </row>
    <row r="10510">
      <c r="N10510" s="5"/>
    </row>
    <row r="10511">
      <c r="N10511" s="5"/>
    </row>
    <row r="10512">
      <c r="N10512" s="5"/>
    </row>
    <row r="10513">
      <c r="N10513" s="5"/>
    </row>
    <row r="10514">
      <c r="N10514" s="5"/>
    </row>
    <row r="10515">
      <c r="N10515" s="5"/>
    </row>
    <row r="10516">
      <c r="N10516" s="5"/>
    </row>
    <row r="10517">
      <c r="N10517" s="5"/>
    </row>
    <row r="10518">
      <c r="N10518" s="5"/>
    </row>
    <row r="10519">
      <c r="N10519" s="5"/>
    </row>
    <row r="10520">
      <c r="N10520" s="5"/>
    </row>
    <row r="10521">
      <c r="N10521" s="5"/>
    </row>
    <row r="10522">
      <c r="N10522" s="5"/>
    </row>
    <row r="10523">
      <c r="N10523" s="5"/>
    </row>
    <row r="10524">
      <c r="N10524" s="5"/>
    </row>
    <row r="10525">
      <c r="N10525" s="5"/>
    </row>
    <row r="10526">
      <c r="N10526" s="5"/>
    </row>
    <row r="10527">
      <c r="N10527" s="5"/>
    </row>
    <row r="10528">
      <c r="N10528" s="5"/>
    </row>
    <row r="10529">
      <c r="N10529" s="5"/>
    </row>
    <row r="10530">
      <c r="N10530" s="5"/>
    </row>
    <row r="10531">
      <c r="N10531" s="5"/>
    </row>
    <row r="10532">
      <c r="N10532" s="5"/>
    </row>
    <row r="10533">
      <c r="N10533" s="5"/>
    </row>
    <row r="10534">
      <c r="N10534" s="5"/>
    </row>
    <row r="10535">
      <c r="N10535" s="5"/>
    </row>
    <row r="10536">
      <c r="N10536" s="5"/>
    </row>
    <row r="10537">
      <c r="N10537" s="5"/>
    </row>
    <row r="10538">
      <c r="N10538" s="5"/>
    </row>
    <row r="10539">
      <c r="N10539" s="5"/>
    </row>
    <row r="10540">
      <c r="N10540" s="5"/>
    </row>
    <row r="10541">
      <c r="N10541" s="5"/>
    </row>
    <row r="10542">
      <c r="N10542" s="5"/>
    </row>
    <row r="10543">
      <c r="N10543" s="5"/>
    </row>
    <row r="10544">
      <c r="N10544" s="5"/>
    </row>
    <row r="10545">
      <c r="N10545" s="5"/>
    </row>
    <row r="10546">
      <c r="N10546" s="5"/>
    </row>
    <row r="10547">
      <c r="N10547" s="5"/>
    </row>
    <row r="10548">
      <c r="N10548" s="5"/>
    </row>
    <row r="10549">
      <c r="N10549" s="5"/>
    </row>
    <row r="10550">
      <c r="N10550" s="5"/>
    </row>
    <row r="10551">
      <c r="N10551" s="5"/>
    </row>
    <row r="10552">
      <c r="N10552" s="5"/>
    </row>
    <row r="10553">
      <c r="N10553" s="5"/>
    </row>
    <row r="10554">
      <c r="N10554" s="5"/>
    </row>
    <row r="10555">
      <c r="N10555" s="5"/>
    </row>
    <row r="10556">
      <c r="N10556" s="5"/>
    </row>
    <row r="10557">
      <c r="N10557" s="5"/>
    </row>
    <row r="10558">
      <c r="N10558" s="5"/>
    </row>
    <row r="10559">
      <c r="N10559" s="5"/>
    </row>
    <row r="10560">
      <c r="N10560" s="5"/>
    </row>
    <row r="10561">
      <c r="N10561" s="5"/>
    </row>
    <row r="10562">
      <c r="N10562" s="5"/>
    </row>
    <row r="10563">
      <c r="N10563" s="5"/>
    </row>
    <row r="10564">
      <c r="N10564" s="5"/>
    </row>
    <row r="10565">
      <c r="N10565" s="5"/>
    </row>
    <row r="10566">
      <c r="N10566" s="5"/>
    </row>
    <row r="10567">
      <c r="N10567" s="5"/>
    </row>
    <row r="10568">
      <c r="N10568" s="5"/>
    </row>
    <row r="10569">
      <c r="N10569" s="5"/>
    </row>
    <row r="10570">
      <c r="N10570" s="5"/>
    </row>
    <row r="10571">
      <c r="N10571" s="5"/>
    </row>
    <row r="10572">
      <c r="N10572" s="5"/>
    </row>
    <row r="10573">
      <c r="N10573" s="5"/>
    </row>
    <row r="10574">
      <c r="N10574" s="5"/>
    </row>
    <row r="10575">
      <c r="N10575" s="5"/>
    </row>
    <row r="10576">
      <c r="N10576" s="5"/>
    </row>
    <row r="10577">
      <c r="N10577" s="5"/>
    </row>
    <row r="10578">
      <c r="N10578" s="5"/>
    </row>
    <row r="10579">
      <c r="N10579" s="5"/>
    </row>
    <row r="10580">
      <c r="N10580" s="5"/>
    </row>
    <row r="10581">
      <c r="N10581" s="5"/>
    </row>
    <row r="10582">
      <c r="N10582" s="5"/>
    </row>
    <row r="10583">
      <c r="N10583" s="5"/>
    </row>
    <row r="10584">
      <c r="N10584" s="5"/>
    </row>
    <row r="10585">
      <c r="N10585" s="5"/>
    </row>
    <row r="10586">
      <c r="N10586" s="5"/>
    </row>
    <row r="10587">
      <c r="N10587" s="5"/>
    </row>
    <row r="10588">
      <c r="N10588" s="5"/>
    </row>
    <row r="10589">
      <c r="N10589" s="5"/>
    </row>
    <row r="10590">
      <c r="N10590" s="5"/>
    </row>
    <row r="10591">
      <c r="N10591" s="5"/>
    </row>
    <row r="10592">
      <c r="N10592" s="5"/>
    </row>
    <row r="10593">
      <c r="N10593" s="5"/>
    </row>
    <row r="10594">
      <c r="N10594" s="5"/>
    </row>
    <row r="10595">
      <c r="N10595" s="5"/>
    </row>
    <row r="10596">
      <c r="N10596" s="5"/>
    </row>
    <row r="10597">
      <c r="N10597" s="5"/>
    </row>
    <row r="10598">
      <c r="N10598" s="5"/>
    </row>
    <row r="10599">
      <c r="N10599" s="5"/>
    </row>
    <row r="10600">
      <c r="N10600" s="5"/>
    </row>
    <row r="10601">
      <c r="N10601" s="5"/>
    </row>
    <row r="10602">
      <c r="N10602" s="5"/>
    </row>
    <row r="10603">
      <c r="N10603" s="5"/>
    </row>
    <row r="10604">
      <c r="N10604" s="5"/>
    </row>
    <row r="10605">
      <c r="N10605" s="5"/>
    </row>
    <row r="10606">
      <c r="N10606" s="5"/>
    </row>
    <row r="10607">
      <c r="N10607" s="5"/>
    </row>
    <row r="10608">
      <c r="N10608" s="5"/>
    </row>
    <row r="10609">
      <c r="N10609" s="5"/>
    </row>
    <row r="10610">
      <c r="N10610" s="5"/>
    </row>
    <row r="10611">
      <c r="N10611" s="5"/>
    </row>
    <row r="10612">
      <c r="N10612" s="5"/>
    </row>
    <row r="10613">
      <c r="N10613" s="5"/>
    </row>
    <row r="10614">
      <c r="N10614" s="5"/>
    </row>
    <row r="10615">
      <c r="N10615" s="5"/>
    </row>
    <row r="10616">
      <c r="N10616" s="5"/>
    </row>
    <row r="10617">
      <c r="N10617" s="5"/>
    </row>
    <row r="10618">
      <c r="N10618" s="5"/>
    </row>
    <row r="10619">
      <c r="N10619" s="5"/>
    </row>
    <row r="10620">
      <c r="N10620" s="5"/>
    </row>
    <row r="10621">
      <c r="N10621" s="5"/>
    </row>
    <row r="10622">
      <c r="N10622" s="5"/>
    </row>
    <row r="10623">
      <c r="N10623" s="5"/>
    </row>
    <row r="10624">
      <c r="N10624" s="5"/>
    </row>
    <row r="10625">
      <c r="N10625" s="5"/>
    </row>
    <row r="10626">
      <c r="N10626" s="5"/>
    </row>
    <row r="10627">
      <c r="N10627" s="5"/>
    </row>
    <row r="10628">
      <c r="N10628" s="5"/>
    </row>
    <row r="10629">
      <c r="N10629" s="5"/>
    </row>
    <row r="10630">
      <c r="N10630" s="5"/>
    </row>
    <row r="10631">
      <c r="N10631" s="5"/>
    </row>
    <row r="10632">
      <c r="N10632" s="5"/>
    </row>
    <row r="10633">
      <c r="N10633" s="5"/>
    </row>
    <row r="10634">
      <c r="N10634" s="5"/>
    </row>
    <row r="10635">
      <c r="N10635" s="5"/>
    </row>
    <row r="10636">
      <c r="N10636" s="5"/>
    </row>
    <row r="10637">
      <c r="N10637" s="5"/>
    </row>
    <row r="10638">
      <c r="N10638" s="5"/>
    </row>
    <row r="10639">
      <c r="N10639" s="5"/>
    </row>
    <row r="10640">
      <c r="N10640" s="5"/>
    </row>
    <row r="10641">
      <c r="N10641" s="5"/>
    </row>
    <row r="10642">
      <c r="N10642" s="5"/>
    </row>
    <row r="10643">
      <c r="N10643" s="5"/>
    </row>
    <row r="10644">
      <c r="N10644" s="5"/>
    </row>
    <row r="10645">
      <c r="N10645" s="5"/>
    </row>
    <row r="10646">
      <c r="N10646" s="5"/>
    </row>
    <row r="10647">
      <c r="N10647" s="5"/>
    </row>
    <row r="10648">
      <c r="N10648" s="5"/>
    </row>
    <row r="10649">
      <c r="N10649" s="5"/>
    </row>
    <row r="10650">
      <c r="N10650" s="5"/>
    </row>
    <row r="10651">
      <c r="N10651" s="5"/>
    </row>
    <row r="10652">
      <c r="N10652" s="5"/>
    </row>
    <row r="10653">
      <c r="N10653" s="5"/>
    </row>
    <row r="10654">
      <c r="N10654" s="5"/>
    </row>
    <row r="10655">
      <c r="N10655" s="5"/>
    </row>
    <row r="10656">
      <c r="N10656" s="5"/>
    </row>
    <row r="10657">
      <c r="N10657" s="5"/>
    </row>
    <row r="10658">
      <c r="N10658" s="5"/>
    </row>
    <row r="10659">
      <c r="N10659" s="5"/>
    </row>
    <row r="10660">
      <c r="N10660" s="5"/>
    </row>
    <row r="10661">
      <c r="N10661" s="5"/>
    </row>
    <row r="10662">
      <c r="N10662" s="5"/>
    </row>
    <row r="10663">
      <c r="N10663" s="5"/>
    </row>
    <row r="10664">
      <c r="N10664" s="5"/>
    </row>
    <row r="10665">
      <c r="N10665" s="5"/>
    </row>
    <row r="10666">
      <c r="N10666" s="5"/>
    </row>
    <row r="10667">
      <c r="N10667" s="5"/>
    </row>
    <row r="10668">
      <c r="N10668" s="5"/>
    </row>
    <row r="10669">
      <c r="N10669" s="5"/>
    </row>
    <row r="10670">
      <c r="N10670" s="5"/>
    </row>
    <row r="10671">
      <c r="N10671" s="5"/>
    </row>
    <row r="10672">
      <c r="N10672" s="5"/>
    </row>
    <row r="10673">
      <c r="N10673" s="5"/>
    </row>
    <row r="10674">
      <c r="N10674" s="5"/>
    </row>
    <row r="10675">
      <c r="N10675" s="5"/>
    </row>
    <row r="10676">
      <c r="N10676" s="5"/>
    </row>
    <row r="10677">
      <c r="N10677" s="5"/>
    </row>
    <row r="10678">
      <c r="N10678" s="5"/>
    </row>
    <row r="10679">
      <c r="N10679" s="5"/>
    </row>
    <row r="10680">
      <c r="N10680" s="5"/>
    </row>
    <row r="10681">
      <c r="N10681" s="5"/>
    </row>
    <row r="10682">
      <c r="N10682" s="5"/>
    </row>
    <row r="10683">
      <c r="N10683" s="5"/>
    </row>
    <row r="10684">
      <c r="N10684" s="5"/>
    </row>
    <row r="10685">
      <c r="N10685" s="5"/>
    </row>
    <row r="10686">
      <c r="N10686" s="5"/>
    </row>
    <row r="10687">
      <c r="N10687" s="5"/>
    </row>
    <row r="10688">
      <c r="N10688" s="5"/>
    </row>
    <row r="10689">
      <c r="N10689" s="5"/>
    </row>
    <row r="10690">
      <c r="N10690" s="5"/>
    </row>
    <row r="10691">
      <c r="N10691" s="5"/>
    </row>
    <row r="10692">
      <c r="N10692" s="5"/>
    </row>
    <row r="10693">
      <c r="N10693" s="5"/>
    </row>
    <row r="10694">
      <c r="N10694" s="5"/>
    </row>
    <row r="10695">
      <c r="N10695" s="5"/>
    </row>
    <row r="10696">
      <c r="N10696" s="5"/>
    </row>
    <row r="10697">
      <c r="N10697" s="5"/>
    </row>
    <row r="10698">
      <c r="N10698" s="5"/>
    </row>
    <row r="10699">
      <c r="N10699" s="5"/>
    </row>
    <row r="10700">
      <c r="N10700" s="5"/>
    </row>
    <row r="10701">
      <c r="N10701" s="5"/>
    </row>
    <row r="10702">
      <c r="N10702" s="5"/>
    </row>
    <row r="10703">
      <c r="N10703" s="5"/>
    </row>
    <row r="10704">
      <c r="N10704" s="5"/>
    </row>
    <row r="10705">
      <c r="N10705" s="5"/>
    </row>
    <row r="10706">
      <c r="N10706" s="5"/>
    </row>
    <row r="10707">
      <c r="N10707" s="5"/>
    </row>
    <row r="10708">
      <c r="N10708" s="5"/>
    </row>
    <row r="10709">
      <c r="N10709" s="5"/>
    </row>
    <row r="10710">
      <c r="N10710" s="5"/>
    </row>
    <row r="10711">
      <c r="N10711" s="5"/>
    </row>
    <row r="10712">
      <c r="N10712" s="5"/>
    </row>
    <row r="10713">
      <c r="N10713" s="5"/>
    </row>
    <row r="10714">
      <c r="N10714" s="5"/>
    </row>
    <row r="10715">
      <c r="N10715" s="5"/>
    </row>
    <row r="10716">
      <c r="N10716" s="5"/>
    </row>
    <row r="10717">
      <c r="N10717" s="5"/>
    </row>
    <row r="10718">
      <c r="N10718" s="5"/>
    </row>
    <row r="10719">
      <c r="N10719" s="5"/>
    </row>
    <row r="10720">
      <c r="N10720" s="5"/>
    </row>
    <row r="10721">
      <c r="N10721" s="5"/>
    </row>
    <row r="10722">
      <c r="N10722" s="5"/>
    </row>
    <row r="10723">
      <c r="N10723" s="5"/>
    </row>
    <row r="10724">
      <c r="N10724" s="5"/>
    </row>
    <row r="10725">
      <c r="N10725" s="5"/>
    </row>
    <row r="10726">
      <c r="N10726" s="5"/>
    </row>
    <row r="10727">
      <c r="N10727" s="5"/>
    </row>
    <row r="10728">
      <c r="N10728" s="5"/>
    </row>
    <row r="10729">
      <c r="N10729" s="5"/>
    </row>
    <row r="10730">
      <c r="N10730" s="5"/>
    </row>
    <row r="10731">
      <c r="N10731" s="5"/>
    </row>
    <row r="10732">
      <c r="N10732" s="5"/>
    </row>
    <row r="10733">
      <c r="N10733" s="5"/>
    </row>
    <row r="10734">
      <c r="N10734" s="5"/>
    </row>
    <row r="10735">
      <c r="N10735" s="5"/>
    </row>
    <row r="10736">
      <c r="N10736" s="5"/>
    </row>
    <row r="10737">
      <c r="N10737" s="5"/>
    </row>
    <row r="10738">
      <c r="N10738" s="5"/>
    </row>
    <row r="10739">
      <c r="N10739" s="5"/>
    </row>
    <row r="10740">
      <c r="N10740" s="5"/>
    </row>
    <row r="10741">
      <c r="N10741" s="5"/>
    </row>
    <row r="10742">
      <c r="N10742" s="5"/>
    </row>
    <row r="10743">
      <c r="N10743" s="5"/>
    </row>
    <row r="10744">
      <c r="N10744" s="5"/>
    </row>
    <row r="10745">
      <c r="N10745" s="5"/>
    </row>
    <row r="10746">
      <c r="N10746" s="5"/>
    </row>
    <row r="10747">
      <c r="N10747" s="5"/>
    </row>
    <row r="10748">
      <c r="N10748" s="5"/>
    </row>
    <row r="10749">
      <c r="N10749" s="5"/>
    </row>
    <row r="10750">
      <c r="N10750" s="5"/>
    </row>
    <row r="10751">
      <c r="N10751" s="5"/>
    </row>
    <row r="10752">
      <c r="N10752" s="5"/>
    </row>
    <row r="10753">
      <c r="N10753" s="5"/>
    </row>
    <row r="10754">
      <c r="N10754" s="5"/>
    </row>
    <row r="10755">
      <c r="N10755" s="5"/>
    </row>
    <row r="10756">
      <c r="N10756" s="5"/>
    </row>
    <row r="10757">
      <c r="N10757" s="5"/>
    </row>
    <row r="10758">
      <c r="N10758" s="5"/>
    </row>
    <row r="10759">
      <c r="N10759" s="5"/>
    </row>
    <row r="10760">
      <c r="N10760" s="5"/>
    </row>
    <row r="10761">
      <c r="N10761" s="5"/>
    </row>
    <row r="10762">
      <c r="N10762" s="5"/>
    </row>
    <row r="10763">
      <c r="N10763" s="5"/>
    </row>
    <row r="10764">
      <c r="N10764" s="5"/>
    </row>
    <row r="10765">
      <c r="N10765" s="5"/>
    </row>
    <row r="10766">
      <c r="N10766" s="5"/>
    </row>
    <row r="10767">
      <c r="N10767" s="5"/>
    </row>
    <row r="10768">
      <c r="N10768" s="5"/>
    </row>
    <row r="10769">
      <c r="N10769" s="5"/>
    </row>
    <row r="10770">
      <c r="N10770" s="5"/>
    </row>
    <row r="10771">
      <c r="N10771" s="5"/>
    </row>
    <row r="10772">
      <c r="N10772" s="5"/>
    </row>
    <row r="10773">
      <c r="N10773" s="5"/>
    </row>
    <row r="10774">
      <c r="N10774" s="5"/>
    </row>
    <row r="10775">
      <c r="N10775" s="5"/>
    </row>
    <row r="10776">
      <c r="N10776" s="5"/>
    </row>
    <row r="10777">
      <c r="N10777" s="5"/>
    </row>
    <row r="10778">
      <c r="N10778" s="5"/>
    </row>
    <row r="10779">
      <c r="N10779" s="5"/>
    </row>
    <row r="10780">
      <c r="N10780" s="5"/>
    </row>
    <row r="10781">
      <c r="N10781" s="5"/>
    </row>
    <row r="10782">
      <c r="N10782" s="5"/>
    </row>
    <row r="10783">
      <c r="N10783" s="5"/>
    </row>
    <row r="10784">
      <c r="N10784" s="5"/>
    </row>
    <row r="10785">
      <c r="N10785" s="5"/>
    </row>
    <row r="10786">
      <c r="N10786" s="5"/>
    </row>
    <row r="10787">
      <c r="N10787" s="5"/>
    </row>
    <row r="10788">
      <c r="N10788" s="5"/>
    </row>
    <row r="10789">
      <c r="N10789" s="5"/>
    </row>
    <row r="10790">
      <c r="N10790" s="5"/>
    </row>
    <row r="10791">
      <c r="N10791" s="5"/>
    </row>
    <row r="10792">
      <c r="N10792" s="5"/>
    </row>
    <row r="10793">
      <c r="N10793" s="5"/>
    </row>
    <row r="10794">
      <c r="N10794" s="5"/>
    </row>
    <row r="10795">
      <c r="N10795" s="5"/>
    </row>
    <row r="10796">
      <c r="N10796" s="5"/>
    </row>
    <row r="10797">
      <c r="N10797" s="5"/>
    </row>
    <row r="10798">
      <c r="N10798" s="5"/>
    </row>
    <row r="10799">
      <c r="N10799" s="5"/>
    </row>
    <row r="10800">
      <c r="N10800" s="5"/>
    </row>
    <row r="10801">
      <c r="N10801" s="5"/>
    </row>
    <row r="10802">
      <c r="N10802" s="5"/>
    </row>
    <row r="10803">
      <c r="N10803" s="5"/>
    </row>
    <row r="10804">
      <c r="N10804" s="5"/>
    </row>
    <row r="10805">
      <c r="N10805" s="5"/>
    </row>
    <row r="10806">
      <c r="N10806" s="5"/>
    </row>
    <row r="10807">
      <c r="N10807" s="5"/>
    </row>
    <row r="10808">
      <c r="N10808" s="5"/>
    </row>
    <row r="10809">
      <c r="N10809" s="5"/>
    </row>
    <row r="10810">
      <c r="N10810" s="5"/>
    </row>
    <row r="10811">
      <c r="N10811" s="5"/>
    </row>
    <row r="10812">
      <c r="N10812" s="5"/>
    </row>
    <row r="10813">
      <c r="N10813" s="5"/>
    </row>
    <row r="10814">
      <c r="N10814" s="5"/>
    </row>
    <row r="10815">
      <c r="N10815" s="5"/>
    </row>
    <row r="10816">
      <c r="N10816" s="5"/>
    </row>
    <row r="10817">
      <c r="N10817" s="5"/>
    </row>
    <row r="10818">
      <c r="N10818" s="5"/>
    </row>
    <row r="10819">
      <c r="N10819" s="5"/>
    </row>
    <row r="10820">
      <c r="N10820" s="5"/>
    </row>
    <row r="10821">
      <c r="N10821" s="5"/>
    </row>
    <row r="10822">
      <c r="N10822" s="5"/>
    </row>
    <row r="10823">
      <c r="N10823" s="5"/>
    </row>
    <row r="10824">
      <c r="N10824" s="5"/>
    </row>
    <row r="10825">
      <c r="N10825" s="5"/>
    </row>
    <row r="10826">
      <c r="N10826" s="5"/>
    </row>
    <row r="10827">
      <c r="N10827" s="5"/>
    </row>
    <row r="10828">
      <c r="N10828" s="5"/>
    </row>
    <row r="10829">
      <c r="N10829" s="5"/>
    </row>
    <row r="10830">
      <c r="N10830" s="5"/>
    </row>
    <row r="10831">
      <c r="N10831" s="5"/>
    </row>
    <row r="10832">
      <c r="N10832" s="5"/>
    </row>
    <row r="10833">
      <c r="N10833" s="5"/>
    </row>
    <row r="10834">
      <c r="N10834" s="5"/>
    </row>
    <row r="10835">
      <c r="N10835" s="5"/>
    </row>
    <row r="10836">
      <c r="N10836" s="5"/>
    </row>
    <row r="10837">
      <c r="N10837" s="5"/>
    </row>
    <row r="10838">
      <c r="N10838" s="5"/>
    </row>
    <row r="10839">
      <c r="N10839" s="5"/>
    </row>
    <row r="10840">
      <c r="N10840" s="5"/>
    </row>
    <row r="10841">
      <c r="N10841" s="5"/>
    </row>
    <row r="10842">
      <c r="N10842" s="5"/>
    </row>
    <row r="10843">
      <c r="N10843" s="5"/>
    </row>
    <row r="10844">
      <c r="N10844" s="5"/>
    </row>
    <row r="10845">
      <c r="N10845" s="5"/>
    </row>
    <row r="10846">
      <c r="N10846" s="5"/>
    </row>
    <row r="10847">
      <c r="N10847" s="5"/>
    </row>
    <row r="10848">
      <c r="N10848" s="5"/>
    </row>
    <row r="10849">
      <c r="N10849" s="5"/>
    </row>
    <row r="10850">
      <c r="N10850" s="5"/>
    </row>
    <row r="10851">
      <c r="N10851" s="5"/>
    </row>
    <row r="10852">
      <c r="N10852" s="5"/>
    </row>
    <row r="10853">
      <c r="N10853" s="5"/>
    </row>
    <row r="10854">
      <c r="N10854" s="5"/>
    </row>
    <row r="10855">
      <c r="N10855" s="5"/>
    </row>
    <row r="10856">
      <c r="N10856" s="5"/>
    </row>
    <row r="10857">
      <c r="N10857" s="5"/>
    </row>
    <row r="10858">
      <c r="N10858" s="5"/>
    </row>
    <row r="10859">
      <c r="N10859" s="5"/>
    </row>
    <row r="10860">
      <c r="N10860" s="5"/>
    </row>
    <row r="10861">
      <c r="N10861" s="5"/>
    </row>
    <row r="10862">
      <c r="N10862" s="5"/>
    </row>
    <row r="10863">
      <c r="N10863" s="5"/>
    </row>
    <row r="10864">
      <c r="N10864" s="5"/>
    </row>
    <row r="10865">
      <c r="N10865" s="5"/>
    </row>
    <row r="10866">
      <c r="N10866" s="5"/>
    </row>
    <row r="10867">
      <c r="N10867" s="5"/>
    </row>
    <row r="10868">
      <c r="N10868" s="5"/>
    </row>
    <row r="10869">
      <c r="N10869" s="5"/>
    </row>
    <row r="10870">
      <c r="N10870" s="5"/>
    </row>
    <row r="10871">
      <c r="N10871" s="5"/>
    </row>
    <row r="10872">
      <c r="N10872" s="5"/>
    </row>
    <row r="10873">
      <c r="N10873" s="5"/>
    </row>
    <row r="10874">
      <c r="N10874" s="5"/>
    </row>
    <row r="10875">
      <c r="N10875" s="5"/>
    </row>
    <row r="10876">
      <c r="N10876" s="5"/>
    </row>
    <row r="10877">
      <c r="N10877" s="5"/>
    </row>
    <row r="10878">
      <c r="N10878" s="5"/>
    </row>
    <row r="10879">
      <c r="N10879" s="5"/>
    </row>
    <row r="10880">
      <c r="N10880" s="5"/>
    </row>
    <row r="10881">
      <c r="N10881" s="5"/>
    </row>
    <row r="10882">
      <c r="N10882" s="5"/>
    </row>
    <row r="10883">
      <c r="N10883" s="5"/>
    </row>
    <row r="10884">
      <c r="N10884" s="5"/>
    </row>
    <row r="10885">
      <c r="N10885" s="5"/>
    </row>
    <row r="10886">
      <c r="N10886" s="5"/>
    </row>
    <row r="10887">
      <c r="N10887" s="5"/>
    </row>
    <row r="10888">
      <c r="N10888" s="5"/>
    </row>
    <row r="10889">
      <c r="N10889" s="5"/>
    </row>
    <row r="10890">
      <c r="N10890" s="5"/>
    </row>
    <row r="10891">
      <c r="N10891" s="5"/>
    </row>
    <row r="10892">
      <c r="N10892" s="5"/>
    </row>
    <row r="10893">
      <c r="N10893" s="5"/>
    </row>
    <row r="10894">
      <c r="N10894" s="5"/>
    </row>
    <row r="10895">
      <c r="N10895" s="5"/>
    </row>
    <row r="10896">
      <c r="N10896" s="5"/>
    </row>
    <row r="10897">
      <c r="N10897" s="5"/>
    </row>
    <row r="10898">
      <c r="N10898" s="5"/>
    </row>
    <row r="10899">
      <c r="N10899" s="5"/>
    </row>
    <row r="10900">
      <c r="N10900" s="5"/>
    </row>
    <row r="10901">
      <c r="N10901" s="5"/>
    </row>
    <row r="10902">
      <c r="N10902" s="5"/>
    </row>
    <row r="10903">
      <c r="N10903" s="5"/>
    </row>
    <row r="10904">
      <c r="N10904" s="5"/>
    </row>
    <row r="10905">
      <c r="N10905" s="5"/>
    </row>
    <row r="10906">
      <c r="N10906" s="5"/>
    </row>
    <row r="10907">
      <c r="N10907" s="5"/>
    </row>
    <row r="10908">
      <c r="N10908" s="5"/>
    </row>
    <row r="10909">
      <c r="N10909" s="5"/>
    </row>
    <row r="10910">
      <c r="N10910" s="5"/>
    </row>
    <row r="10911">
      <c r="N10911" s="5"/>
    </row>
    <row r="10912">
      <c r="N10912" s="5"/>
    </row>
    <row r="10913">
      <c r="N10913" s="5"/>
    </row>
    <row r="10914">
      <c r="N10914" s="5"/>
    </row>
    <row r="10915">
      <c r="N10915" s="5"/>
    </row>
    <row r="10916">
      <c r="N10916" s="5"/>
    </row>
    <row r="10917">
      <c r="N10917" s="5"/>
    </row>
    <row r="10918">
      <c r="N10918" s="5"/>
    </row>
    <row r="10919">
      <c r="N10919" s="5"/>
    </row>
    <row r="10920">
      <c r="N10920" s="5"/>
    </row>
    <row r="10921">
      <c r="N10921" s="5"/>
    </row>
    <row r="10922">
      <c r="N10922" s="5"/>
    </row>
    <row r="10923">
      <c r="N10923" s="5"/>
    </row>
    <row r="10924">
      <c r="N10924" s="5"/>
    </row>
    <row r="10925">
      <c r="N10925" s="5"/>
    </row>
    <row r="10926">
      <c r="N10926" s="5"/>
    </row>
    <row r="10927">
      <c r="N10927" s="5"/>
    </row>
    <row r="10928">
      <c r="N10928" s="5"/>
    </row>
    <row r="10929">
      <c r="N10929" s="5"/>
    </row>
    <row r="10930">
      <c r="N10930" s="5"/>
    </row>
    <row r="10931">
      <c r="N10931" s="5"/>
    </row>
    <row r="10932">
      <c r="N10932" s="5"/>
    </row>
    <row r="10933">
      <c r="N10933" s="5"/>
    </row>
    <row r="10934">
      <c r="N10934" s="5"/>
    </row>
    <row r="10935">
      <c r="N10935" s="5"/>
    </row>
    <row r="10936">
      <c r="N10936" s="5"/>
    </row>
    <row r="10937">
      <c r="N10937" s="5"/>
    </row>
    <row r="10938">
      <c r="N10938" s="5"/>
    </row>
    <row r="10939">
      <c r="N10939" s="5"/>
    </row>
    <row r="10940">
      <c r="N10940" s="5"/>
    </row>
    <row r="10941">
      <c r="N10941" s="5"/>
    </row>
    <row r="10942">
      <c r="N10942" s="5"/>
    </row>
    <row r="10943">
      <c r="N10943" s="5"/>
    </row>
    <row r="10944">
      <c r="N10944" s="5"/>
    </row>
    <row r="10945">
      <c r="N10945" s="5"/>
    </row>
    <row r="10946">
      <c r="N10946" s="5"/>
    </row>
    <row r="10947">
      <c r="N10947" s="5"/>
    </row>
    <row r="10948">
      <c r="N10948" s="5"/>
    </row>
    <row r="10949">
      <c r="N10949" s="5"/>
    </row>
    <row r="10950">
      <c r="N10950" s="5"/>
    </row>
    <row r="10951">
      <c r="N10951" s="5"/>
    </row>
    <row r="10952">
      <c r="N10952" s="5"/>
    </row>
    <row r="10953">
      <c r="N10953" s="5"/>
    </row>
    <row r="10954">
      <c r="N10954" s="5"/>
    </row>
    <row r="10955">
      <c r="N10955" s="5"/>
    </row>
    <row r="10956">
      <c r="N10956" s="5"/>
    </row>
    <row r="10957">
      <c r="N10957" s="5"/>
    </row>
    <row r="10958">
      <c r="N10958" s="5"/>
    </row>
    <row r="10959">
      <c r="N10959" s="5"/>
    </row>
    <row r="10960">
      <c r="N10960" s="5"/>
    </row>
    <row r="10961">
      <c r="N10961" s="5"/>
    </row>
    <row r="10962">
      <c r="N10962" s="5"/>
    </row>
    <row r="10963">
      <c r="N10963" s="5"/>
    </row>
    <row r="10964">
      <c r="N10964" s="5"/>
    </row>
    <row r="10965">
      <c r="N10965" s="5"/>
    </row>
    <row r="10966">
      <c r="N10966" s="5"/>
    </row>
    <row r="10967">
      <c r="N10967" s="5"/>
    </row>
    <row r="10968">
      <c r="N10968" s="5"/>
    </row>
    <row r="10969">
      <c r="N10969" s="5"/>
    </row>
    <row r="10970">
      <c r="N10970" s="5"/>
    </row>
    <row r="10971">
      <c r="N10971" s="5"/>
    </row>
    <row r="10972">
      <c r="N10972" s="5"/>
    </row>
    <row r="10973">
      <c r="N10973" s="5"/>
    </row>
    <row r="10974">
      <c r="N10974" s="5"/>
    </row>
    <row r="10975">
      <c r="N10975" s="5"/>
    </row>
    <row r="10976">
      <c r="N10976" s="5"/>
    </row>
    <row r="10977">
      <c r="N10977" s="5"/>
    </row>
    <row r="10978">
      <c r="N10978" s="5"/>
    </row>
    <row r="10979">
      <c r="N10979" s="5"/>
    </row>
    <row r="10980">
      <c r="N10980" s="5"/>
    </row>
    <row r="10981">
      <c r="N10981" s="5"/>
    </row>
    <row r="10982">
      <c r="N10982" s="5"/>
    </row>
    <row r="10983">
      <c r="N10983" s="5"/>
    </row>
    <row r="10984">
      <c r="N10984" s="5"/>
    </row>
    <row r="10985">
      <c r="N10985" s="5"/>
    </row>
    <row r="10986">
      <c r="N10986" s="5"/>
    </row>
    <row r="10987">
      <c r="N10987" s="5"/>
    </row>
    <row r="10988">
      <c r="N10988" s="5"/>
    </row>
    <row r="10989">
      <c r="N10989" s="5"/>
    </row>
    <row r="10990">
      <c r="N10990" s="5"/>
    </row>
    <row r="10991">
      <c r="N10991" s="5"/>
    </row>
    <row r="10992">
      <c r="N10992" s="5"/>
    </row>
    <row r="10993">
      <c r="N10993" s="5"/>
    </row>
    <row r="10994">
      <c r="N10994" s="5"/>
    </row>
    <row r="10995">
      <c r="N10995" s="5"/>
    </row>
    <row r="10996">
      <c r="N10996" s="5"/>
    </row>
    <row r="10997">
      <c r="N10997" s="5"/>
    </row>
    <row r="10998">
      <c r="N10998" s="5"/>
    </row>
    <row r="10999">
      <c r="N10999" s="5"/>
    </row>
    <row r="11000">
      <c r="N11000" s="5"/>
    </row>
    <row r="11001">
      <c r="N11001" s="5"/>
    </row>
    <row r="11002">
      <c r="N11002" s="5"/>
    </row>
    <row r="11003">
      <c r="N11003" s="5"/>
    </row>
    <row r="11004">
      <c r="N11004" s="5"/>
    </row>
    <row r="11005">
      <c r="N11005" s="5"/>
    </row>
    <row r="11006">
      <c r="N11006" s="5"/>
    </row>
    <row r="11007">
      <c r="N11007" s="5"/>
    </row>
    <row r="11008">
      <c r="N11008" s="5"/>
    </row>
    <row r="11009">
      <c r="N11009" s="5"/>
    </row>
    <row r="11010">
      <c r="N11010" s="5"/>
    </row>
    <row r="11011">
      <c r="N11011" s="5"/>
    </row>
    <row r="11012">
      <c r="N11012" s="5"/>
    </row>
    <row r="11013">
      <c r="N11013" s="5"/>
    </row>
    <row r="11014">
      <c r="N11014" s="5"/>
    </row>
    <row r="11015">
      <c r="N11015" s="5"/>
    </row>
    <row r="11016">
      <c r="N11016" s="5"/>
    </row>
    <row r="11017">
      <c r="N11017" s="5"/>
    </row>
    <row r="11018">
      <c r="N11018" s="5"/>
    </row>
    <row r="11019">
      <c r="N11019" s="5"/>
    </row>
    <row r="11020">
      <c r="N11020" s="5"/>
    </row>
    <row r="11021">
      <c r="N11021" s="5"/>
    </row>
    <row r="11022">
      <c r="N11022" s="5"/>
    </row>
    <row r="11023">
      <c r="N11023" s="5"/>
    </row>
    <row r="11024">
      <c r="N11024" s="5"/>
    </row>
    <row r="11025">
      <c r="N11025" s="5"/>
    </row>
    <row r="11026">
      <c r="N11026" s="5"/>
    </row>
    <row r="11027">
      <c r="N11027" s="5"/>
    </row>
    <row r="11028">
      <c r="N11028" s="5"/>
    </row>
    <row r="11029">
      <c r="N11029" s="5"/>
    </row>
    <row r="11030">
      <c r="N11030" s="5"/>
    </row>
    <row r="11031">
      <c r="N11031" s="5"/>
    </row>
    <row r="11032">
      <c r="N11032" s="5"/>
    </row>
    <row r="11033">
      <c r="N11033" s="5"/>
    </row>
    <row r="11034">
      <c r="N11034" s="5"/>
    </row>
    <row r="11035">
      <c r="N11035" s="5"/>
    </row>
    <row r="11036">
      <c r="N11036" s="5"/>
    </row>
    <row r="11037">
      <c r="N11037" s="5"/>
    </row>
    <row r="11038">
      <c r="N11038" s="5"/>
    </row>
    <row r="11039">
      <c r="N11039" s="5"/>
    </row>
    <row r="11040">
      <c r="N11040" s="5"/>
    </row>
    <row r="11041">
      <c r="N11041" s="5"/>
    </row>
    <row r="11042">
      <c r="N11042" s="5"/>
    </row>
    <row r="11043">
      <c r="N11043" s="5"/>
    </row>
    <row r="11044">
      <c r="N11044" s="5"/>
    </row>
    <row r="11045">
      <c r="N11045" s="5"/>
    </row>
    <row r="11046">
      <c r="N11046" s="5"/>
    </row>
    <row r="11047">
      <c r="N11047" s="5"/>
    </row>
    <row r="11048">
      <c r="N11048" s="5"/>
    </row>
    <row r="11049">
      <c r="N11049" s="5"/>
    </row>
    <row r="11050">
      <c r="N11050" s="5"/>
    </row>
    <row r="11051">
      <c r="N11051" s="5"/>
    </row>
    <row r="11052">
      <c r="N11052" s="5"/>
    </row>
    <row r="11053">
      <c r="N11053" s="5"/>
    </row>
    <row r="11054">
      <c r="N11054" s="5"/>
    </row>
    <row r="11055">
      <c r="N11055" s="5"/>
    </row>
    <row r="11056">
      <c r="N11056" s="5"/>
    </row>
    <row r="11057">
      <c r="N11057" s="5"/>
    </row>
    <row r="11058">
      <c r="N11058" s="5"/>
    </row>
    <row r="11059">
      <c r="N11059" s="5"/>
    </row>
    <row r="11060">
      <c r="N11060" s="5"/>
    </row>
    <row r="11061">
      <c r="N11061" s="5"/>
    </row>
    <row r="11062">
      <c r="N11062" s="5"/>
    </row>
    <row r="11063">
      <c r="N11063" s="5"/>
    </row>
    <row r="11064">
      <c r="N11064" s="5"/>
    </row>
    <row r="11065">
      <c r="N11065" s="5"/>
    </row>
    <row r="11066">
      <c r="N11066" s="5"/>
    </row>
    <row r="11067">
      <c r="N11067" s="5"/>
    </row>
    <row r="11068">
      <c r="N11068" s="5"/>
    </row>
    <row r="11069">
      <c r="N11069" s="5"/>
    </row>
    <row r="11070">
      <c r="N11070" s="5"/>
    </row>
    <row r="11071">
      <c r="N11071" s="5"/>
    </row>
    <row r="11072">
      <c r="N11072" s="5"/>
    </row>
    <row r="11073">
      <c r="N11073" s="5"/>
    </row>
    <row r="11074">
      <c r="N11074" s="5"/>
    </row>
    <row r="11075">
      <c r="N11075" s="5"/>
    </row>
    <row r="11076">
      <c r="N11076" s="5"/>
    </row>
    <row r="11077">
      <c r="N11077" s="5"/>
    </row>
    <row r="11078">
      <c r="N11078" s="5"/>
    </row>
    <row r="11079">
      <c r="N11079" s="5"/>
    </row>
    <row r="11080">
      <c r="N11080" s="5"/>
    </row>
    <row r="11081">
      <c r="N11081" s="5"/>
    </row>
    <row r="11082">
      <c r="N11082" s="5"/>
    </row>
    <row r="11083">
      <c r="N11083" s="5"/>
    </row>
    <row r="11084">
      <c r="N11084" s="5"/>
    </row>
    <row r="11085">
      <c r="N11085" s="5"/>
    </row>
    <row r="11086">
      <c r="N11086" s="5"/>
    </row>
    <row r="11087">
      <c r="N11087" s="5"/>
    </row>
    <row r="11088">
      <c r="N11088" s="5"/>
    </row>
    <row r="11089">
      <c r="N11089" s="5"/>
    </row>
    <row r="11090">
      <c r="N11090" s="5"/>
    </row>
    <row r="11091">
      <c r="N11091" s="5"/>
    </row>
    <row r="11092">
      <c r="N11092" s="5"/>
    </row>
    <row r="11093">
      <c r="N11093" s="5"/>
    </row>
    <row r="11094">
      <c r="N11094" s="5"/>
    </row>
    <row r="11095">
      <c r="N11095" s="5"/>
    </row>
    <row r="11096">
      <c r="N11096" s="5"/>
    </row>
    <row r="11097">
      <c r="N11097" s="5"/>
    </row>
    <row r="11098">
      <c r="N11098" s="5"/>
    </row>
    <row r="11099">
      <c r="N11099" s="5"/>
    </row>
    <row r="11100">
      <c r="N11100" s="5"/>
    </row>
    <row r="11101">
      <c r="N11101" s="5"/>
    </row>
    <row r="11102">
      <c r="N11102" s="5"/>
    </row>
    <row r="11103">
      <c r="N11103" s="5"/>
    </row>
    <row r="11104">
      <c r="N11104" s="5"/>
    </row>
    <row r="11105">
      <c r="N11105" s="5"/>
    </row>
    <row r="11106">
      <c r="N11106" s="5"/>
    </row>
    <row r="11107">
      <c r="N11107" s="5"/>
    </row>
    <row r="11108">
      <c r="N11108" s="5"/>
    </row>
    <row r="11109">
      <c r="N11109" s="5"/>
    </row>
    <row r="11110">
      <c r="N11110" s="5"/>
    </row>
    <row r="11111">
      <c r="N11111" s="5"/>
    </row>
    <row r="11112">
      <c r="N11112" s="5"/>
    </row>
    <row r="11113">
      <c r="N11113" s="5"/>
    </row>
    <row r="11114">
      <c r="N11114" s="5"/>
    </row>
    <row r="11115">
      <c r="N11115" s="5"/>
    </row>
    <row r="11116">
      <c r="N11116" s="5"/>
    </row>
    <row r="11117">
      <c r="N11117" s="5"/>
    </row>
    <row r="11118">
      <c r="N11118" s="5"/>
    </row>
    <row r="11119">
      <c r="N11119" s="5"/>
    </row>
    <row r="11120">
      <c r="N11120" s="5"/>
    </row>
    <row r="11121">
      <c r="N11121" s="5"/>
    </row>
    <row r="11122">
      <c r="N11122" s="5"/>
    </row>
    <row r="11123">
      <c r="N11123" s="5"/>
    </row>
    <row r="11124">
      <c r="N11124" s="5"/>
    </row>
    <row r="11125">
      <c r="N11125" s="5"/>
    </row>
    <row r="11126">
      <c r="N11126" s="5"/>
    </row>
    <row r="11127">
      <c r="N11127" s="5"/>
    </row>
    <row r="11128">
      <c r="N11128" s="5"/>
    </row>
    <row r="11129">
      <c r="N11129" s="5"/>
    </row>
    <row r="11130">
      <c r="N11130" s="5"/>
    </row>
    <row r="11131">
      <c r="N11131" s="5"/>
    </row>
    <row r="11132">
      <c r="N11132" s="5"/>
    </row>
    <row r="11133">
      <c r="N11133" s="5"/>
    </row>
    <row r="11134">
      <c r="N11134" s="5"/>
    </row>
    <row r="11135">
      <c r="N11135" s="5"/>
    </row>
    <row r="11136">
      <c r="N11136" s="5"/>
    </row>
    <row r="11137">
      <c r="N11137" s="5"/>
    </row>
    <row r="11138">
      <c r="N11138" s="5"/>
    </row>
    <row r="11139">
      <c r="N11139" s="5"/>
    </row>
    <row r="11140">
      <c r="N11140" s="5"/>
    </row>
    <row r="11141">
      <c r="N11141" s="5"/>
    </row>
    <row r="11142">
      <c r="N11142" s="5"/>
    </row>
    <row r="11143">
      <c r="N11143" s="5"/>
    </row>
    <row r="11144">
      <c r="N11144" s="5"/>
    </row>
    <row r="11145">
      <c r="N11145" s="5"/>
    </row>
    <row r="11146">
      <c r="N11146" s="5"/>
    </row>
    <row r="11147">
      <c r="N11147" s="5"/>
    </row>
    <row r="11148">
      <c r="N11148" s="5"/>
    </row>
    <row r="11149">
      <c r="N11149" s="5"/>
    </row>
    <row r="11150">
      <c r="N11150" s="5"/>
    </row>
    <row r="11151">
      <c r="N11151" s="5"/>
    </row>
    <row r="11152">
      <c r="N11152" s="5"/>
    </row>
    <row r="11153">
      <c r="N11153" s="5"/>
    </row>
    <row r="11154">
      <c r="N11154" s="5"/>
    </row>
    <row r="11155">
      <c r="N11155" s="5"/>
    </row>
    <row r="11156">
      <c r="N11156" s="5"/>
    </row>
    <row r="11157">
      <c r="N11157" s="5"/>
    </row>
    <row r="11158">
      <c r="N11158" s="5"/>
    </row>
    <row r="11159">
      <c r="N11159" s="5"/>
    </row>
    <row r="11160">
      <c r="N11160" s="5"/>
    </row>
    <row r="11161">
      <c r="N11161" s="5"/>
    </row>
    <row r="11162">
      <c r="N11162" s="5"/>
    </row>
    <row r="11163">
      <c r="N11163" s="5"/>
    </row>
    <row r="11164">
      <c r="N11164" s="5"/>
    </row>
    <row r="11165">
      <c r="N11165" s="5"/>
    </row>
    <row r="11166">
      <c r="N11166" s="5"/>
    </row>
    <row r="11167">
      <c r="N11167" s="5"/>
    </row>
    <row r="11168">
      <c r="N11168" s="5"/>
    </row>
    <row r="11169">
      <c r="N11169" s="5"/>
    </row>
    <row r="11170">
      <c r="N11170" s="5"/>
    </row>
    <row r="11171">
      <c r="N11171" s="5"/>
    </row>
    <row r="11172">
      <c r="N11172" s="5"/>
    </row>
    <row r="11173">
      <c r="N11173" s="5"/>
    </row>
    <row r="11174">
      <c r="N11174" s="5"/>
    </row>
    <row r="11175">
      <c r="N11175" s="5"/>
    </row>
    <row r="11176">
      <c r="N11176" s="5"/>
    </row>
    <row r="11177">
      <c r="N11177" s="5"/>
    </row>
    <row r="11178">
      <c r="N11178" s="5"/>
    </row>
    <row r="11179">
      <c r="N11179" s="5"/>
    </row>
    <row r="11180">
      <c r="N11180" s="5"/>
    </row>
    <row r="11181">
      <c r="N11181" s="5"/>
    </row>
    <row r="11182">
      <c r="N11182" s="5"/>
    </row>
    <row r="11183">
      <c r="N11183" s="5"/>
    </row>
    <row r="11184">
      <c r="N11184" s="5"/>
    </row>
    <row r="11185">
      <c r="N11185" s="5"/>
    </row>
    <row r="11186">
      <c r="N11186" s="5"/>
    </row>
    <row r="11187">
      <c r="N11187" s="5"/>
    </row>
    <row r="11188">
      <c r="N11188" s="5"/>
    </row>
    <row r="11189">
      <c r="N11189" s="5"/>
    </row>
    <row r="11190">
      <c r="N11190" s="5"/>
    </row>
    <row r="11191">
      <c r="N11191" s="5"/>
    </row>
    <row r="11192">
      <c r="N11192" s="5"/>
    </row>
    <row r="11193">
      <c r="N11193" s="5"/>
    </row>
    <row r="11194">
      <c r="N11194" s="5"/>
    </row>
    <row r="11195">
      <c r="N11195" s="5"/>
    </row>
    <row r="11196">
      <c r="N11196" s="5"/>
    </row>
    <row r="11197">
      <c r="N11197" s="5"/>
    </row>
    <row r="11198">
      <c r="N11198" s="5"/>
    </row>
    <row r="11199">
      <c r="N11199" s="5"/>
    </row>
    <row r="11200">
      <c r="N11200" s="5"/>
    </row>
    <row r="11201">
      <c r="N11201" s="5"/>
    </row>
    <row r="11202">
      <c r="N11202" s="5"/>
    </row>
    <row r="11203">
      <c r="N11203" s="5"/>
    </row>
    <row r="11204">
      <c r="N11204" s="5"/>
    </row>
    <row r="11205">
      <c r="N11205" s="5"/>
    </row>
    <row r="11206">
      <c r="N11206" s="5"/>
    </row>
    <row r="11207">
      <c r="N11207" s="5"/>
    </row>
    <row r="11208">
      <c r="N11208" s="5"/>
    </row>
    <row r="11209">
      <c r="N11209" s="5"/>
    </row>
    <row r="11210">
      <c r="N11210" s="5"/>
    </row>
    <row r="11211">
      <c r="N11211" s="5"/>
    </row>
    <row r="11212">
      <c r="N11212" s="5"/>
    </row>
    <row r="11213">
      <c r="N11213" s="5"/>
    </row>
    <row r="11214">
      <c r="N11214" s="5"/>
    </row>
    <row r="11215">
      <c r="N11215" s="5"/>
    </row>
    <row r="11216">
      <c r="N11216" s="5"/>
    </row>
    <row r="11217">
      <c r="N11217" s="5"/>
    </row>
    <row r="11218">
      <c r="N11218" s="5"/>
    </row>
    <row r="11219">
      <c r="N11219" s="5"/>
    </row>
    <row r="11220">
      <c r="N11220" s="5"/>
    </row>
    <row r="11221">
      <c r="N11221" s="5"/>
    </row>
    <row r="11222">
      <c r="N11222" s="5"/>
    </row>
    <row r="11223">
      <c r="N11223" s="5"/>
    </row>
    <row r="11224">
      <c r="N11224" s="5"/>
    </row>
    <row r="11225">
      <c r="N11225" s="5"/>
    </row>
    <row r="11226">
      <c r="N11226" s="5"/>
    </row>
    <row r="11227">
      <c r="N11227" s="5"/>
    </row>
    <row r="11228">
      <c r="N11228" s="5"/>
    </row>
    <row r="11229">
      <c r="N11229" s="5"/>
    </row>
    <row r="11230">
      <c r="N11230" s="5"/>
    </row>
    <row r="11231">
      <c r="N11231" s="5"/>
    </row>
    <row r="11232">
      <c r="N11232" s="5"/>
    </row>
    <row r="11233">
      <c r="N11233" s="5"/>
    </row>
    <row r="11234">
      <c r="N11234" s="5"/>
    </row>
    <row r="11235">
      <c r="N11235" s="5"/>
    </row>
    <row r="11236">
      <c r="N11236" s="5"/>
    </row>
    <row r="11237">
      <c r="N11237" s="5"/>
    </row>
    <row r="11238">
      <c r="N11238" s="5"/>
    </row>
    <row r="11239">
      <c r="N11239" s="5"/>
    </row>
    <row r="11240">
      <c r="N11240" s="5"/>
    </row>
    <row r="11241">
      <c r="N11241" s="5"/>
    </row>
    <row r="11242">
      <c r="N11242" s="5"/>
    </row>
    <row r="11243">
      <c r="N11243" s="5"/>
    </row>
    <row r="11244">
      <c r="N11244" s="5"/>
    </row>
    <row r="11245">
      <c r="N11245" s="5"/>
    </row>
    <row r="11246">
      <c r="N11246" s="5"/>
    </row>
    <row r="11247">
      <c r="N11247" s="5"/>
    </row>
    <row r="11248">
      <c r="N11248" s="5"/>
    </row>
    <row r="11249">
      <c r="N11249" s="5"/>
    </row>
    <row r="11250">
      <c r="N11250" s="5"/>
    </row>
    <row r="11251">
      <c r="N11251" s="5"/>
    </row>
    <row r="11252">
      <c r="N11252" s="5"/>
    </row>
    <row r="11253">
      <c r="N11253" s="5"/>
    </row>
    <row r="11254">
      <c r="N11254" s="5"/>
    </row>
    <row r="11255">
      <c r="N11255" s="5"/>
    </row>
    <row r="11256">
      <c r="N11256" s="5"/>
    </row>
    <row r="11257">
      <c r="N11257" s="5"/>
    </row>
    <row r="11258">
      <c r="N11258" s="5"/>
    </row>
    <row r="11259">
      <c r="N11259" s="5"/>
    </row>
    <row r="11260">
      <c r="N11260" s="5"/>
    </row>
    <row r="11261">
      <c r="N11261" s="5"/>
    </row>
    <row r="11262">
      <c r="N11262" s="5"/>
    </row>
    <row r="11263">
      <c r="N11263" s="5"/>
    </row>
    <row r="11264">
      <c r="N11264" s="5"/>
    </row>
    <row r="11265">
      <c r="N11265" s="5"/>
    </row>
    <row r="11266">
      <c r="N11266" s="5"/>
    </row>
    <row r="11267">
      <c r="N11267" s="5"/>
    </row>
    <row r="11268">
      <c r="N11268" s="5"/>
    </row>
    <row r="11269">
      <c r="N11269" s="5"/>
    </row>
    <row r="11270">
      <c r="N11270" s="5"/>
    </row>
    <row r="11271">
      <c r="N11271" s="5"/>
    </row>
    <row r="11272">
      <c r="N11272" s="5"/>
    </row>
    <row r="11273">
      <c r="N11273" s="5"/>
    </row>
    <row r="11274">
      <c r="N11274" s="5"/>
    </row>
    <row r="11275">
      <c r="N11275" s="5"/>
    </row>
    <row r="11276">
      <c r="N11276" s="5"/>
    </row>
    <row r="11277">
      <c r="N11277" s="5"/>
    </row>
    <row r="11278">
      <c r="N11278" s="5"/>
    </row>
    <row r="11279">
      <c r="N11279" s="5"/>
    </row>
    <row r="11280">
      <c r="N11280" s="5"/>
    </row>
    <row r="11281">
      <c r="N11281" s="5"/>
    </row>
    <row r="11282">
      <c r="N11282" s="5"/>
    </row>
    <row r="11283">
      <c r="N11283" s="5"/>
    </row>
    <row r="11284">
      <c r="N11284" s="5"/>
    </row>
    <row r="11285">
      <c r="N11285" s="5"/>
    </row>
    <row r="11286">
      <c r="N11286" s="5"/>
    </row>
    <row r="11287">
      <c r="N11287" s="5"/>
    </row>
    <row r="11288">
      <c r="N11288" s="5"/>
    </row>
    <row r="11289">
      <c r="N11289" s="5"/>
    </row>
    <row r="11290">
      <c r="N11290" s="5"/>
    </row>
    <row r="11291">
      <c r="N11291" s="5"/>
    </row>
    <row r="11292">
      <c r="N11292" s="5"/>
    </row>
    <row r="11293">
      <c r="N11293" s="5"/>
    </row>
    <row r="11294">
      <c r="N11294" s="5"/>
    </row>
    <row r="11295">
      <c r="N11295" s="5"/>
    </row>
    <row r="11296">
      <c r="N11296" s="5"/>
    </row>
    <row r="11297">
      <c r="N11297" s="5"/>
    </row>
    <row r="11298">
      <c r="N11298" s="5"/>
    </row>
    <row r="11299">
      <c r="N11299" s="5"/>
    </row>
    <row r="11300">
      <c r="N11300" s="5"/>
    </row>
    <row r="11301">
      <c r="N11301" s="5"/>
    </row>
    <row r="11302">
      <c r="N11302" s="5"/>
    </row>
    <row r="11303">
      <c r="N11303" s="5"/>
    </row>
    <row r="11304">
      <c r="N11304" s="5"/>
    </row>
    <row r="11305">
      <c r="N11305" s="5"/>
    </row>
    <row r="11306">
      <c r="N11306" s="5"/>
    </row>
    <row r="11307">
      <c r="N11307" s="5"/>
    </row>
    <row r="11308">
      <c r="N11308" s="5"/>
    </row>
    <row r="11309">
      <c r="N11309" s="5"/>
    </row>
    <row r="11310">
      <c r="N11310" s="5"/>
    </row>
    <row r="11311">
      <c r="N11311" s="5"/>
    </row>
    <row r="11312">
      <c r="N11312" s="5"/>
    </row>
    <row r="11313">
      <c r="N11313" s="5"/>
    </row>
    <row r="11314">
      <c r="N11314" s="5"/>
    </row>
    <row r="11315">
      <c r="N11315" s="5"/>
    </row>
    <row r="11316">
      <c r="N11316" s="5"/>
    </row>
    <row r="11317">
      <c r="N11317" s="5"/>
    </row>
    <row r="11318">
      <c r="N11318" s="5"/>
    </row>
    <row r="11319">
      <c r="N11319" s="5"/>
    </row>
    <row r="11320">
      <c r="N11320" s="5"/>
    </row>
    <row r="11321">
      <c r="N11321" s="5"/>
    </row>
    <row r="11322">
      <c r="N11322" s="5"/>
    </row>
    <row r="11323">
      <c r="N11323" s="5"/>
    </row>
    <row r="11324">
      <c r="N11324" s="5"/>
    </row>
    <row r="11325">
      <c r="N11325" s="5"/>
    </row>
    <row r="11326">
      <c r="N11326" s="5"/>
    </row>
    <row r="11327">
      <c r="N11327" s="5"/>
    </row>
    <row r="11328">
      <c r="N11328" s="5"/>
    </row>
    <row r="11329">
      <c r="N11329" s="5"/>
    </row>
    <row r="11330">
      <c r="N11330" s="5"/>
    </row>
    <row r="11331">
      <c r="N11331" s="5"/>
    </row>
    <row r="11332">
      <c r="N11332" s="5"/>
    </row>
    <row r="11333">
      <c r="N11333" s="5"/>
    </row>
    <row r="11334">
      <c r="N11334" s="5"/>
    </row>
    <row r="11335">
      <c r="N11335" s="5"/>
    </row>
    <row r="11336">
      <c r="N11336" s="5"/>
    </row>
    <row r="11337">
      <c r="N11337" s="5"/>
    </row>
    <row r="11338">
      <c r="N11338" s="5"/>
    </row>
    <row r="11339">
      <c r="N11339" s="5"/>
    </row>
    <row r="11340">
      <c r="N11340" s="5"/>
    </row>
    <row r="11341">
      <c r="N11341" s="5"/>
    </row>
    <row r="11342">
      <c r="N11342" s="5"/>
    </row>
    <row r="11343">
      <c r="N11343" s="5"/>
    </row>
    <row r="11344">
      <c r="N11344" s="5"/>
    </row>
    <row r="11345">
      <c r="N11345" s="5"/>
    </row>
    <row r="11346">
      <c r="N11346" s="5"/>
    </row>
    <row r="11347">
      <c r="N11347" s="5"/>
    </row>
    <row r="11348">
      <c r="N11348" s="5"/>
    </row>
    <row r="11349">
      <c r="N11349" s="5"/>
    </row>
    <row r="11350">
      <c r="N11350" s="5"/>
    </row>
    <row r="11351">
      <c r="N11351" s="5"/>
    </row>
    <row r="11352">
      <c r="N11352" s="5"/>
    </row>
    <row r="11353">
      <c r="N11353" s="5"/>
    </row>
    <row r="11354">
      <c r="N11354" s="5"/>
    </row>
    <row r="11355">
      <c r="N11355" s="5"/>
    </row>
    <row r="11356">
      <c r="N11356" s="5"/>
    </row>
    <row r="11357">
      <c r="N11357" s="5"/>
    </row>
    <row r="11358">
      <c r="N11358" s="5"/>
    </row>
    <row r="11359">
      <c r="N11359" s="5"/>
    </row>
    <row r="11360">
      <c r="N11360" s="5"/>
    </row>
    <row r="11361">
      <c r="N11361" s="5"/>
    </row>
    <row r="11362">
      <c r="N11362" s="5"/>
    </row>
    <row r="11363">
      <c r="N11363" s="5"/>
    </row>
    <row r="11364">
      <c r="N11364" s="5"/>
    </row>
    <row r="11365">
      <c r="N11365" s="5"/>
    </row>
    <row r="11366">
      <c r="N11366" s="5"/>
    </row>
    <row r="11367">
      <c r="N11367" s="5"/>
    </row>
    <row r="11368">
      <c r="N11368" s="5"/>
    </row>
    <row r="11369">
      <c r="N11369" s="5"/>
    </row>
    <row r="11370">
      <c r="N11370" s="5"/>
    </row>
    <row r="11371">
      <c r="N11371" s="5"/>
    </row>
    <row r="11372">
      <c r="N11372" s="5"/>
    </row>
    <row r="11373">
      <c r="N11373" s="5"/>
    </row>
    <row r="11374">
      <c r="N11374" s="5"/>
    </row>
    <row r="11375">
      <c r="N11375" s="5"/>
    </row>
    <row r="11376">
      <c r="N11376" s="5"/>
    </row>
    <row r="11377">
      <c r="N11377" s="5"/>
    </row>
    <row r="11378">
      <c r="N11378" s="5"/>
    </row>
    <row r="11379">
      <c r="N11379" s="5"/>
    </row>
    <row r="11380">
      <c r="N11380" s="5"/>
    </row>
    <row r="11381">
      <c r="N11381" s="5"/>
    </row>
    <row r="11382">
      <c r="N11382" s="5"/>
    </row>
    <row r="11383">
      <c r="N11383" s="5"/>
    </row>
    <row r="11384">
      <c r="N11384" s="5"/>
    </row>
    <row r="11385">
      <c r="N11385" s="5"/>
    </row>
    <row r="11386">
      <c r="N11386" s="5"/>
    </row>
    <row r="11387">
      <c r="N11387" s="5"/>
    </row>
    <row r="11388">
      <c r="N11388" s="5"/>
    </row>
    <row r="11389">
      <c r="N11389" s="5"/>
    </row>
    <row r="11390">
      <c r="N11390" s="5"/>
    </row>
    <row r="11391">
      <c r="N11391" s="5"/>
    </row>
    <row r="11392">
      <c r="N11392" s="5"/>
    </row>
    <row r="11393">
      <c r="N11393" s="5"/>
    </row>
    <row r="11394">
      <c r="N11394" s="5"/>
    </row>
    <row r="11395">
      <c r="N11395" s="5"/>
    </row>
    <row r="11396">
      <c r="N11396" s="5"/>
    </row>
    <row r="11397">
      <c r="N11397" s="5"/>
    </row>
    <row r="11398">
      <c r="N11398" s="5"/>
    </row>
    <row r="11399">
      <c r="N11399" s="5"/>
    </row>
    <row r="11400">
      <c r="N11400" s="5"/>
    </row>
    <row r="11401">
      <c r="N11401" s="5"/>
    </row>
    <row r="11402">
      <c r="N11402" s="5"/>
    </row>
    <row r="11403">
      <c r="N11403" s="5"/>
    </row>
    <row r="11404">
      <c r="N11404" s="5"/>
    </row>
    <row r="11405">
      <c r="N11405" s="5"/>
    </row>
    <row r="11406">
      <c r="N11406" s="5"/>
    </row>
    <row r="11407">
      <c r="N11407" s="5"/>
    </row>
    <row r="11408">
      <c r="N11408" s="5"/>
    </row>
    <row r="11409">
      <c r="N11409" s="5"/>
    </row>
    <row r="11410">
      <c r="N11410" s="5"/>
    </row>
    <row r="11411">
      <c r="N11411" s="5"/>
    </row>
    <row r="11412">
      <c r="N11412" s="5"/>
    </row>
    <row r="11413">
      <c r="N11413" s="5"/>
    </row>
    <row r="11414">
      <c r="N11414" s="5"/>
    </row>
    <row r="11415">
      <c r="N11415" s="5"/>
    </row>
    <row r="11416">
      <c r="N11416" s="5"/>
    </row>
    <row r="11417">
      <c r="N11417" s="5"/>
    </row>
    <row r="11418">
      <c r="N11418" s="5"/>
    </row>
    <row r="11419">
      <c r="N11419" s="5"/>
    </row>
    <row r="11420">
      <c r="N11420" s="5"/>
    </row>
    <row r="11421">
      <c r="N11421" s="5"/>
    </row>
    <row r="11422">
      <c r="N11422" s="5"/>
    </row>
    <row r="11423">
      <c r="N11423" s="5"/>
    </row>
    <row r="11424">
      <c r="N11424" s="5"/>
    </row>
    <row r="11425">
      <c r="N11425" s="5"/>
    </row>
    <row r="11426">
      <c r="N11426" s="5"/>
    </row>
    <row r="11427">
      <c r="N11427" s="5"/>
    </row>
    <row r="11428">
      <c r="N11428" s="5"/>
    </row>
    <row r="11429">
      <c r="N11429" s="5"/>
    </row>
    <row r="11430">
      <c r="N11430" s="5"/>
    </row>
    <row r="11431">
      <c r="N11431" s="5"/>
    </row>
    <row r="11432">
      <c r="N11432" s="5"/>
    </row>
    <row r="11433">
      <c r="N11433" s="5"/>
    </row>
    <row r="11434">
      <c r="N11434" s="5"/>
    </row>
    <row r="11435">
      <c r="N11435" s="5"/>
    </row>
    <row r="11436">
      <c r="N11436" s="5"/>
    </row>
    <row r="11437">
      <c r="N11437" s="5"/>
    </row>
    <row r="11438">
      <c r="N11438" s="5"/>
    </row>
    <row r="11439">
      <c r="N11439" s="5"/>
    </row>
    <row r="11440">
      <c r="N11440" s="5"/>
    </row>
    <row r="11441">
      <c r="N11441" s="5"/>
    </row>
    <row r="11442">
      <c r="N11442" s="5"/>
    </row>
    <row r="11443">
      <c r="N11443" s="5"/>
    </row>
    <row r="11444">
      <c r="N11444" s="5"/>
    </row>
    <row r="11445">
      <c r="N11445" s="5"/>
    </row>
    <row r="11446">
      <c r="N11446" s="5"/>
    </row>
    <row r="11447">
      <c r="N11447" s="5"/>
    </row>
    <row r="11448">
      <c r="N11448" s="5"/>
    </row>
    <row r="11449">
      <c r="N11449" s="5"/>
    </row>
    <row r="11450">
      <c r="N11450" s="5"/>
    </row>
    <row r="11451">
      <c r="N11451" s="5"/>
    </row>
    <row r="11452">
      <c r="N11452" s="5"/>
    </row>
    <row r="11453">
      <c r="N11453" s="5"/>
    </row>
    <row r="11454">
      <c r="N11454" s="5"/>
    </row>
    <row r="11455">
      <c r="N11455" s="5"/>
    </row>
    <row r="11456">
      <c r="N11456" s="5"/>
    </row>
    <row r="11457">
      <c r="N11457" s="5"/>
    </row>
    <row r="11458">
      <c r="N11458" s="5"/>
    </row>
    <row r="11459">
      <c r="N11459" s="5"/>
    </row>
    <row r="11460">
      <c r="N11460" s="5"/>
    </row>
    <row r="11461">
      <c r="N11461" s="5"/>
    </row>
    <row r="11462">
      <c r="N11462" s="5"/>
    </row>
    <row r="11463">
      <c r="N11463" s="5"/>
    </row>
    <row r="11464">
      <c r="N11464" s="5"/>
    </row>
    <row r="11465">
      <c r="N11465" s="5"/>
    </row>
    <row r="11466">
      <c r="N11466" s="5"/>
    </row>
    <row r="11467">
      <c r="N11467" s="5"/>
    </row>
    <row r="11468">
      <c r="N11468" s="5"/>
    </row>
    <row r="11469">
      <c r="N11469" s="5"/>
    </row>
    <row r="11470">
      <c r="N11470" s="5"/>
    </row>
    <row r="11471">
      <c r="N11471" s="5"/>
    </row>
    <row r="11472">
      <c r="N11472" s="5"/>
    </row>
    <row r="11473">
      <c r="N11473" s="5"/>
    </row>
    <row r="11474">
      <c r="N11474" s="5"/>
    </row>
    <row r="11475">
      <c r="N11475" s="5"/>
    </row>
    <row r="11476">
      <c r="N11476" s="5"/>
    </row>
    <row r="11477">
      <c r="N11477" s="5"/>
    </row>
    <row r="11478">
      <c r="N11478" s="5"/>
    </row>
    <row r="11479">
      <c r="N11479" s="5"/>
    </row>
    <row r="11480">
      <c r="N11480" s="5"/>
    </row>
    <row r="11481">
      <c r="N11481" s="5"/>
    </row>
    <row r="11482">
      <c r="N11482" s="5"/>
    </row>
    <row r="11483">
      <c r="N11483" s="5"/>
    </row>
    <row r="11484">
      <c r="N11484" s="5"/>
    </row>
    <row r="11485">
      <c r="N11485" s="5"/>
    </row>
    <row r="11486">
      <c r="N11486" s="5"/>
    </row>
    <row r="11487">
      <c r="N11487" s="5"/>
    </row>
    <row r="11488">
      <c r="N11488" s="5"/>
    </row>
    <row r="11489">
      <c r="N11489" s="5"/>
    </row>
    <row r="11490">
      <c r="N11490" s="5"/>
    </row>
    <row r="11491">
      <c r="N11491" s="5"/>
    </row>
    <row r="11492">
      <c r="N11492" s="5"/>
    </row>
    <row r="11493">
      <c r="N11493" s="5"/>
    </row>
    <row r="11494">
      <c r="N11494" s="5"/>
    </row>
    <row r="11495">
      <c r="N11495" s="5"/>
    </row>
    <row r="11496">
      <c r="N11496" s="5"/>
    </row>
    <row r="11497">
      <c r="N11497" s="5"/>
    </row>
    <row r="11498">
      <c r="N11498" s="5"/>
    </row>
    <row r="11499">
      <c r="N11499" s="5"/>
    </row>
    <row r="11500">
      <c r="N11500" s="5"/>
    </row>
    <row r="11501">
      <c r="N11501" s="5"/>
    </row>
    <row r="11502">
      <c r="N11502" s="5"/>
    </row>
    <row r="11503">
      <c r="N11503" s="5"/>
    </row>
    <row r="11504">
      <c r="N11504" s="5"/>
    </row>
    <row r="11505">
      <c r="N11505" s="5"/>
    </row>
    <row r="11506">
      <c r="N11506" s="5"/>
    </row>
    <row r="11507">
      <c r="N11507" s="5"/>
    </row>
    <row r="11508">
      <c r="N11508" s="5"/>
    </row>
    <row r="11509">
      <c r="N11509" s="5"/>
    </row>
    <row r="11510">
      <c r="N11510" s="5"/>
    </row>
    <row r="11511">
      <c r="N11511" s="5"/>
    </row>
    <row r="11512">
      <c r="N11512" s="5"/>
    </row>
    <row r="11513">
      <c r="N11513" s="5"/>
    </row>
    <row r="11514">
      <c r="N11514" s="5"/>
    </row>
    <row r="11515">
      <c r="N11515" s="5"/>
    </row>
    <row r="11516">
      <c r="N11516" s="5"/>
    </row>
    <row r="11517">
      <c r="N11517" s="5"/>
    </row>
    <row r="11518">
      <c r="N11518" s="5"/>
    </row>
    <row r="11519">
      <c r="N11519" s="5"/>
    </row>
    <row r="11520">
      <c r="N11520" s="5"/>
    </row>
    <row r="11521">
      <c r="N11521" s="5"/>
    </row>
    <row r="11522">
      <c r="N11522" s="5"/>
    </row>
    <row r="11523">
      <c r="N11523" s="5"/>
    </row>
    <row r="11524">
      <c r="N11524" s="5"/>
    </row>
    <row r="11525">
      <c r="N11525" s="5"/>
    </row>
    <row r="11526">
      <c r="N11526" s="5"/>
    </row>
    <row r="11527">
      <c r="N11527" s="5"/>
    </row>
    <row r="11528">
      <c r="N11528" s="5"/>
    </row>
    <row r="11529">
      <c r="N11529" s="5"/>
    </row>
    <row r="11530">
      <c r="N11530" s="5"/>
    </row>
    <row r="11531">
      <c r="N11531" s="5"/>
    </row>
    <row r="11532">
      <c r="N11532" s="5"/>
    </row>
    <row r="11533">
      <c r="N11533" s="5"/>
    </row>
    <row r="11534">
      <c r="N11534" s="5"/>
    </row>
    <row r="11535">
      <c r="N11535" s="5"/>
    </row>
    <row r="11536">
      <c r="N11536" s="5"/>
    </row>
    <row r="11537">
      <c r="N11537" s="5"/>
    </row>
    <row r="11538">
      <c r="N11538" s="5"/>
    </row>
    <row r="11539">
      <c r="N11539" s="5"/>
    </row>
    <row r="11540">
      <c r="N11540" s="5"/>
    </row>
    <row r="11541">
      <c r="N11541" s="5"/>
    </row>
    <row r="11542">
      <c r="N11542" s="5"/>
    </row>
    <row r="11543">
      <c r="N11543" s="5"/>
    </row>
    <row r="11544">
      <c r="N11544" s="5"/>
    </row>
    <row r="11545">
      <c r="N11545" s="5"/>
    </row>
    <row r="11546">
      <c r="N11546" s="5"/>
    </row>
    <row r="11547">
      <c r="N11547" s="5"/>
    </row>
    <row r="11548">
      <c r="N11548" s="5"/>
    </row>
    <row r="11549">
      <c r="N11549" s="5"/>
    </row>
    <row r="11550">
      <c r="N11550" s="5"/>
    </row>
    <row r="11551">
      <c r="N11551" s="5"/>
    </row>
    <row r="11552">
      <c r="N11552" s="5"/>
    </row>
    <row r="11553">
      <c r="N11553" s="5"/>
    </row>
    <row r="11554">
      <c r="N11554" s="5"/>
    </row>
    <row r="11555">
      <c r="N11555" s="5"/>
    </row>
    <row r="11556">
      <c r="N11556" s="5"/>
    </row>
    <row r="11557">
      <c r="N11557" s="5"/>
    </row>
    <row r="11558">
      <c r="N11558" s="5"/>
    </row>
    <row r="11559">
      <c r="N11559" s="5"/>
    </row>
    <row r="11560">
      <c r="N11560" s="5"/>
    </row>
    <row r="11561">
      <c r="N11561" s="5"/>
    </row>
    <row r="11562">
      <c r="N11562" s="5"/>
    </row>
    <row r="11563">
      <c r="N11563" s="5"/>
    </row>
    <row r="11564">
      <c r="N11564" s="5"/>
    </row>
    <row r="11565">
      <c r="N11565" s="5"/>
    </row>
    <row r="11566">
      <c r="N11566" s="5"/>
    </row>
    <row r="11567">
      <c r="N11567" s="5"/>
    </row>
    <row r="11568">
      <c r="N11568" s="5"/>
    </row>
    <row r="11569">
      <c r="N11569" s="5"/>
    </row>
    <row r="11570">
      <c r="N11570" s="5"/>
    </row>
    <row r="11571">
      <c r="N11571" s="5"/>
    </row>
    <row r="11572">
      <c r="N11572" s="5"/>
    </row>
    <row r="11573">
      <c r="N11573" s="5"/>
    </row>
    <row r="11574">
      <c r="N11574" s="5"/>
    </row>
    <row r="11575">
      <c r="N11575" s="5"/>
    </row>
    <row r="11576">
      <c r="N11576" s="5"/>
    </row>
    <row r="11577">
      <c r="N11577" s="5"/>
    </row>
    <row r="11578">
      <c r="N11578" s="5"/>
    </row>
    <row r="11579">
      <c r="N11579" s="5"/>
    </row>
    <row r="11580">
      <c r="N11580" s="5"/>
    </row>
    <row r="11581">
      <c r="N11581" s="5"/>
    </row>
    <row r="11582">
      <c r="N11582" s="5"/>
    </row>
    <row r="11583">
      <c r="N11583" s="5"/>
    </row>
    <row r="11584">
      <c r="N11584" s="5"/>
    </row>
    <row r="11585">
      <c r="N11585" s="5"/>
    </row>
    <row r="11586">
      <c r="N11586" s="5"/>
    </row>
    <row r="11587">
      <c r="N11587" s="5"/>
    </row>
    <row r="11588">
      <c r="N11588" s="5"/>
    </row>
    <row r="11589">
      <c r="N11589" s="5"/>
    </row>
    <row r="11590">
      <c r="N11590" s="5"/>
    </row>
    <row r="11591">
      <c r="N11591" s="5"/>
    </row>
    <row r="11592">
      <c r="N11592" s="5"/>
    </row>
    <row r="11593">
      <c r="N11593" s="5"/>
    </row>
    <row r="11594">
      <c r="N11594" s="5"/>
    </row>
    <row r="11595">
      <c r="N11595" s="5"/>
    </row>
    <row r="11596">
      <c r="N11596" s="5"/>
    </row>
    <row r="11597">
      <c r="N11597" s="5"/>
    </row>
    <row r="11598">
      <c r="N11598" s="5"/>
    </row>
    <row r="11599">
      <c r="N11599" s="5"/>
    </row>
    <row r="11600">
      <c r="N11600" s="5"/>
    </row>
    <row r="11601">
      <c r="N11601" s="5"/>
    </row>
    <row r="11602">
      <c r="N11602" s="5"/>
    </row>
    <row r="11603">
      <c r="N11603" s="5"/>
    </row>
    <row r="11604">
      <c r="N11604" s="5"/>
    </row>
    <row r="11605">
      <c r="N11605" s="5"/>
    </row>
    <row r="11606">
      <c r="N11606" s="5"/>
    </row>
    <row r="11607">
      <c r="N11607" s="5"/>
    </row>
    <row r="11608">
      <c r="N11608" s="5"/>
    </row>
    <row r="11609">
      <c r="N11609" s="5"/>
    </row>
    <row r="11610">
      <c r="N11610" s="5"/>
    </row>
    <row r="11611">
      <c r="N11611" s="5"/>
    </row>
    <row r="11612">
      <c r="N11612" s="5"/>
    </row>
    <row r="11613">
      <c r="N11613" s="5"/>
    </row>
    <row r="11614">
      <c r="N11614" s="5"/>
    </row>
    <row r="11615">
      <c r="N11615" s="5"/>
    </row>
    <row r="11616">
      <c r="N11616" s="5"/>
    </row>
    <row r="11617">
      <c r="N11617" s="5"/>
    </row>
    <row r="11618">
      <c r="N11618" s="5"/>
    </row>
    <row r="11619">
      <c r="N11619" s="5"/>
    </row>
    <row r="11620">
      <c r="N11620" s="5"/>
    </row>
    <row r="11621">
      <c r="N11621" s="5"/>
    </row>
    <row r="11622">
      <c r="N11622" s="5"/>
    </row>
    <row r="11623">
      <c r="N11623" s="5"/>
    </row>
    <row r="11624">
      <c r="N11624" s="5"/>
    </row>
    <row r="11625">
      <c r="N11625" s="5"/>
    </row>
    <row r="11626">
      <c r="N11626" s="5"/>
    </row>
    <row r="11627">
      <c r="N11627" s="5"/>
    </row>
    <row r="11628">
      <c r="N11628" s="5"/>
    </row>
    <row r="11629">
      <c r="N11629" s="5"/>
    </row>
    <row r="11630">
      <c r="N11630" s="5"/>
    </row>
    <row r="11631">
      <c r="N11631" s="5"/>
    </row>
    <row r="11632">
      <c r="N11632" s="5"/>
    </row>
    <row r="11633">
      <c r="N11633" s="5"/>
    </row>
    <row r="11634">
      <c r="N11634" s="5"/>
    </row>
    <row r="11635">
      <c r="N11635" s="5"/>
    </row>
    <row r="11636">
      <c r="N11636" s="5"/>
    </row>
    <row r="11637">
      <c r="N11637" s="5"/>
    </row>
    <row r="11638">
      <c r="N11638" s="5"/>
    </row>
    <row r="11639">
      <c r="N11639" s="5"/>
    </row>
    <row r="11640">
      <c r="N11640" s="5"/>
    </row>
    <row r="11641">
      <c r="N11641" s="5"/>
    </row>
    <row r="11642">
      <c r="N11642" s="5"/>
    </row>
    <row r="11643">
      <c r="N11643" s="5"/>
    </row>
    <row r="11644">
      <c r="N11644" s="5"/>
    </row>
    <row r="11645">
      <c r="N11645" s="5"/>
    </row>
    <row r="11646">
      <c r="N11646" s="5"/>
    </row>
    <row r="11647">
      <c r="N11647" s="5"/>
    </row>
    <row r="11648">
      <c r="N11648" s="5"/>
    </row>
    <row r="11649">
      <c r="N11649" s="5"/>
    </row>
    <row r="11650">
      <c r="N11650" s="5"/>
    </row>
    <row r="11651">
      <c r="N11651" s="5"/>
    </row>
    <row r="11652">
      <c r="N11652" s="5"/>
    </row>
    <row r="11653">
      <c r="N11653" s="5"/>
    </row>
    <row r="11654">
      <c r="N11654" s="5"/>
    </row>
    <row r="11655">
      <c r="N11655" s="5"/>
    </row>
    <row r="11656">
      <c r="N11656" s="5"/>
    </row>
    <row r="11657">
      <c r="N11657" s="5"/>
    </row>
    <row r="11658">
      <c r="N11658" s="5"/>
    </row>
    <row r="11659">
      <c r="N11659" s="5"/>
    </row>
    <row r="11660">
      <c r="N11660" s="5"/>
    </row>
    <row r="11661">
      <c r="N11661" s="5"/>
    </row>
    <row r="11662">
      <c r="N11662" s="5"/>
    </row>
    <row r="11663">
      <c r="N11663" s="5"/>
    </row>
    <row r="11664">
      <c r="N11664" s="5"/>
    </row>
    <row r="11665">
      <c r="N11665" s="5"/>
    </row>
    <row r="11666">
      <c r="N11666" s="5"/>
    </row>
    <row r="11667">
      <c r="N11667" s="5"/>
    </row>
    <row r="11668">
      <c r="N11668" s="5"/>
    </row>
    <row r="11669">
      <c r="N11669" s="5"/>
    </row>
    <row r="11670">
      <c r="N11670" s="5"/>
    </row>
    <row r="11671">
      <c r="N11671" s="5"/>
    </row>
    <row r="11672">
      <c r="N11672" s="5"/>
    </row>
    <row r="11673">
      <c r="N11673" s="5"/>
    </row>
    <row r="11674">
      <c r="N11674" s="5"/>
    </row>
    <row r="11675">
      <c r="N11675" s="5"/>
    </row>
    <row r="11676">
      <c r="N11676" s="5"/>
    </row>
    <row r="11677">
      <c r="N11677" s="5"/>
    </row>
    <row r="11678">
      <c r="N11678" s="5"/>
    </row>
    <row r="11679">
      <c r="N11679" s="5"/>
    </row>
    <row r="11680">
      <c r="N11680" s="5"/>
    </row>
    <row r="11681">
      <c r="N11681" s="5"/>
    </row>
    <row r="11682">
      <c r="N11682" s="5"/>
    </row>
    <row r="11683">
      <c r="N11683" s="5"/>
    </row>
    <row r="11684">
      <c r="N11684" s="5"/>
    </row>
    <row r="11685">
      <c r="N11685" s="5"/>
    </row>
    <row r="11686">
      <c r="N11686" s="5"/>
    </row>
    <row r="11687">
      <c r="N11687" s="5"/>
    </row>
    <row r="11688">
      <c r="N11688" s="5"/>
    </row>
    <row r="11689">
      <c r="N11689" s="5"/>
    </row>
    <row r="11690">
      <c r="N11690" s="5"/>
    </row>
    <row r="11691">
      <c r="N11691" s="5"/>
    </row>
    <row r="11692">
      <c r="N11692" s="5"/>
    </row>
    <row r="11693">
      <c r="N11693" s="5"/>
    </row>
    <row r="11694">
      <c r="N11694" s="5"/>
    </row>
    <row r="11695">
      <c r="N11695" s="5"/>
    </row>
    <row r="11696">
      <c r="N11696" s="5"/>
    </row>
    <row r="11697">
      <c r="N11697" s="5"/>
    </row>
    <row r="11698">
      <c r="N11698" s="5"/>
    </row>
    <row r="11699">
      <c r="N11699" s="5"/>
    </row>
    <row r="11700">
      <c r="N11700" s="5"/>
    </row>
    <row r="11701">
      <c r="N11701" s="5"/>
    </row>
    <row r="11702">
      <c r="N11702" s="5"/>
    </row>
    <row r="11703">
      <c r="N11703" s="5"/>
    </row>
    <row r="11704">
      <c r="N11704" s="5"/>
    </row>
    <row r="11705">
      <c r="N11705" s="5"/>
    </row>
    <row r="11706">
      <c r="N11706" s="5"/>
    </row>
    <row r="11707">
      <c r="N11707" s="5"/>
    </row>
    <row r="11708">
      <c r="N11708" s="5"/>
    </row>
    <row r="11709">
      <c r="N11709" s="5"/>
    </row>
    <row r="11710">
      <c r="N11710" s="5"/>
    </row>
    <row r="11711">
      <c r="N11711" s="5"/>
    </row>
    <row r="11712">
      <c r="N11712" s="5"/>
    </row>
    <row r="11713">
      <c r="N11713" s="5"/>
    </row>
    <row r="11714">
      <c r="N11714" s="5"/>
    </row>
    <row r="11715">
      <c r="N11715" s="5"/>
    </row>
    <row r="11716">
      <c r="N11716" s="5"/>
    </row>
    <row r="11717">
      <c r="N11717" s="5"/>
    </row>
    <row r="11718">
      <c r="N11718" s="5"/>
    </row>
    <row r="11719">
      <c r="N11719" s="5"/>
    </row>
    <row r="11720">
      <c r="N11720" s="5"/>
    </row>
    <row r="11721">
      <c r="N11721" s="5"/>
    </row>
    <row r="11722">
      <c r="N11722" s="5"/>
    </row>
    <row r="11723">
      <c r="N11723" s="5"/>
    </row>
    <row r="11724">
      <c r="N11724" s="5"/>
    </row>
    <row r="11725">
      <c r="N11725" s="5"/>
    </row>
    <row r="11726">
      <c r="N11726" s="5"/>
    </row>
    <row r="11727">
      <c r="N11727" s="5"/>
    </row>
    <row r="11728">
      <c r="N11728" s="5"/>
    </row>
    <row r="11729">
      <c r="N11729" s="5"/>
    </row>
    <row r="11730">
      <c r="N11730" s="5"/>
    </row>
    <row r="11731">
      <c r="N11731" s="5"/>
    </row>
    <row r="11732">
      <c r="N11732" s="5"/>
    </row>
    <row r="11733">
      <c r="N11733" s="5"/>
    </row>
    <row r="11734">
      <c r="N11734" s="5"/>
    </row>
    <row r="11735">
      <c r="N11735" s="5"/>
    </row>
    <row r="11736">
      <c r="N11736" s="5"/>
    </row>
    <row r="11737">
      <c r="N11737" s="5"/>
    </row>
    <row r="11738">
      <c r="N11738" s="5"/>
    </row>
    <row r="11739">
      <c r="N11739" s="5"/>
    </row>
    <row r="11740">
      <c r="N11740" s="5"/>
    </row>
    <row r="11741">
      <c r="N11741" s="5"/>
    </row>
    <row r="11742">
      <c r="N11742" s="5"/>
    </row>
    <row r="11743">
      <c r="N11743" s="5"/>
    </row>
    <row r="11744">
      <c r="N11744" s="5"/>
    </row>
    <row r="11745">
      <c r="N11745" s="5"/>
    </row>
    <row r="11746">
      <c r="N11746" s="5"/>
    </row>
    <row r="11747">
      <c r="N11747" s="5"/>
    </row>
    <row r="11748">
      <c r="N11748" s="5"/>
    </row>
    <row r="11749">
      <c r="N11749" s="5"/>
    </row>
    <row r="11750">
      <c r="N11750" s="5"/>
    </row>
    <row r="11751">
      <c r="N11751" s="5"/>
    </row>
    <row r="11752">
      <c r="N11752" s="5"/>
    </row>
    <row r="11753">
      <c r="N11753" s="5"/>
    </row>
    <row r="11754">
      <c r="N11754" s="5"/>
    </row>
    <row r="11755">
      <c r="N11755" s="5"/>
    </row>
    <row r="11756">
      <c r="N11756" s="5"/>
    </row>
    <row r="11757">
      <c r="N11757" s="5"/>
    </row>
    <row r="11758">
      <c r="N11758" s="5"/>
    </row>
    <row r="11759">
      <c r="N11759" s="5"/>
    </row>
    <row r="11760">
      <c r="N11760" s="5"/>
    </row>
    <row r="11761">
      <c r="N11761" s="5"/>
    </row>
    <row r="11762">
      <c r="N11762" s="5"/>
    </row>
    <row r="11763">
      <c r="N11763" s="5"/>
    </row>
    <row r="11764">
      <c r="N11764" s="5"/>
    </row>
    <row r="11765">
      <c r="N11765" s="5"/>
    </row>
    <row r="11766">
      <c r="N11766" s="5"/>
    </row>
    <row r="11767">
      <c r="N11767" s="5"/>
    </row>
    <row r="11768">
      <c r="N11768" s="5"/>
    </row>
    <row r="11769">
      <c r="N11769" s="5"/>
    </row>
    <row r="11770">
      <c r="N11770" s="5"/>
    </row>
    <row r="11771">
      <c r="N11771" s="5"/>
    </row>
    <row r="11772">
      <c r="N11772" s="5"/>
    </row>
    <row r="11773">
      <c r="N11773" s="5"/>
    </row>
    <row r="11774">
      <c r="N11774" s="5"/>
    </row>
    <row r="11775">
      <c r="N11775" s="5"/>
    </row>
    <row r="11776">
      <c r="N11776" s="5"/>
    </row>
    <row r="11777">
      <c r="N11777" s="5"/>
    </row>
    <row r="11778">
      <c r="N11778" s="5"/>
    </row>
    <row r="11779">
      <c r="N11779" s="5"/>
    </row>
    <row r="11780">
      <c r="N11780" s="5"/>
    </row>
    <row r="11781">
      <c r="N11781" s="5"/>
    </row>
    <row r="11782">
      <c r="N11782" s="5"/>
    </row>
    <row r="11783">
      <c r="N11783" s="5"/>
    </row>
    <row r="11784">
      <c r="N11784" s="5"/>
    </row>
    <row r="11785">
      <c r="N11785" s="5"/>
    </row>
    <row r="11786">
      <c r="N11786" s="5"/>
    </row>
    <row r="11787">
      <c r="N11787" s="5"/>
    </row>
    <row r="11788">
      <c r="N11788" s="5"/>
    </row>
    <row r="11789">
      <c r="N11789" s="5"/>
    </row>
    <row r="11790">
      <c r="N11790" s="5"/>
    </row>
    <row r="11791">
      <c r="N11791" s="5"/>
    </row>
    <row r="11792">
      <c r="N11792" s="5"/>
    </row>
    <row r="11793">
      <c r="N11793" s="5"/>
    </row>
    <row r="11794">
      <c r="N11794" s="5"/>
    </row>
    <row r="11795">
      <c r="N11795" s="5"/>
    </row>
    <row r="11796">
      <c r="N11796" s="5"/>
    </row>
    <row r="11797">
      <c r="N11797" s="5"/>
    </row>
    <row r="11798">
      <c r="N11798" s="5"/>
    </row>
    <row r="11799">
      <c r="N11799" s="5"/>
    </row>
    <row r="11800">
      <c r="N11800" s="5"/>
    </row>
    <row r="11801">
      <c r="N11801" s="5"/>
    </row>
    <row r="11802">
      <c r="N11802" s="5"/>
    </row>
    <row r="11803">
      <c r="N11803" s="5"/>
    </row>
    <row r="11804">
      <c r="N11804" s="5"/>
    </row>
    <row r="11805">
      <c r="N11805" s="5"/>
    </row>
    <row r="11806">
      <c r="N11806" s="5"/>
    </row>
    <row r="11807">
      <c r="N11807" s="5"/>
    </row>
    <row r="11808">
      <c r="N11808" s="5"/>
    </row>
    <row r="11809">
      <c r="N11809" s="5"/>
    </row>
    <row r="11810">
      <c r="N11810" s="5"/>
    </row>
    <row r="11811">
      <c r="N11811" s="5"/>
    </row>
    <row r="11812">
      <c r="N11812" s="5"/>
    </row>
    <row r="11813">
      <c r="N11813" s="5"/>
    </row>
    <row r="11814">
      <c r="N11814" s="5"/>
    </row>
    <row r="11815">
      <c r="N11815" s="5"/>
    </row>
    <row r="11816">
      <c r="N11816" s="5"/>
    </row>
    <row r="11817">
      <c r="N11817" s="5"/>
    </row>
    <row r="11818">
      <c r="N11818" s="5"/>
    </row>
    <row r="11819">
      <c r="N11819" s="5"/>
    </row>
    <row r="11820">
      <c r="N11820" s="5"/>
    </row>
    <row r="11821">
      <c r="N11821" s="5"/>
    </row>
    <row r="11822">
      <c r="N11822" s="5"/>
    </row>
    <row r="11823">
      <c r="N11823" s="5"/>
    </row>
    <row r="11824">
      <c r="N11824" s="5"/>
    </row>
    <row r="11825">
      <c r="N11825" s="5"/>
    </row>
    <row r="11826">
      <c r="N11826" s="5"/>
    </row>
    <row r="11827">
      <c r="N11827" s="5"/>
    </row>
    <row r="11828">
      <c r="N11828" s="5"/>
    </row>
    <row r="11829">
      <c r="N11829" s="5"/>
    </row>
    <row r="11830">
      <c r="N11830" s="5"/>
    </row>
    <row r="11831">
      <c r="N11831" s="5"/>
    </row>
    <row r="11832">
      <c r="N11832" s="5"/>
    </row>
    <row r="11833">
      <c r="N11833" s="5"/>
    </row>
    <row r="11834">
      <c r="N11834" s="5"/>
    </row>
    <row r="11835">
      <c r="N11835" s="5"/>
    </row>
    <row r="11836">
      <c r="N11836" s="5"/>
    </row>
    <row r="11837">
      <c r="N11837" s="5"/>
    </row>
    <row r="11838">
      <c r="N11838" s="5"/>
    </row>
    <row r="11839">
      <c r="N11839" s="5"/>
    </row>
    <row r="11840">
      <c r="N11840" s="5"/>
    </row>
    <row r="11841">
      <c r="N11841" s="5"/>
    </row>
    <row r="11842">
      <c r="N11842" s="5"/>
    </row>
    <row r="11843">
      <c r="N11843" s="5"/>
    </row>
    <row r="11844">
      <c r="N11844" s="5"/>
    </row>
    <row r="11845">
      <c r="N11845" s="5"/>
    </row>
    <row r="11846">
      <c r="N11846" s="5"/>
    </row>
    <row r="11847">
      <c r="N11847" s="5"/>
    </row>
    <row r="11848">
      <c r="N11848" s="5"/>
    </row>
    <row r="11849">
      <c r="N11849" s="5"/>
    </row>
    <row r="11850">
      <c r="N11850" s="5"/>
    </row>
    <row r="11851">
      <c r="N11851" s="5"/>
    </row>
    <row r="11852">
      <c r="N11852" s="5"/>
    </row>
    <row r="11853">
      <c r="N11853" s="5"/>
    </row>
    <row r="11854">
      <c r="N11854" s="5"/>
    </row>
    <row r="11855">
      <c r="N11855" s="5"/>
    </row>
    <row r="11856">
      <c r="N11856" s="5"/>
    </row>
    <row r="11857">
      <c r="N11857" s="5"/>
    </row>
    <row r="11858">
      <c r="N11858" s="5"/>
    </row>
    <row r="11859">
      <c r="N11859" s="5"/>
    </row>
    <row r="11860">
      <c r="N11860" s="5"/>
    </row>
    <row r="11861">
      <c r="N11861" s="5"/>
    </row>
    <row r="11862">
      <c r="N11862" s="5"/>
    </row>
    <row r="11863">
      <c r="N11863" s="5"/>
    </row>
    <row r="11864">
      <c r="N11864" s="5"/>
    </row>
    <row r="11865">
      <c r="N11865" s="5"/>
    </row>
    <row r="11866">
      <c r="N11866" s="5"/>
    </row>
    <row r="11867">
      <c r="N11867" s="5"/>
    </row>
    <row r="11868">
      <c r="N11868" s="5"/>
    </row>
    <row r="11869">
      <c r="N11869" s="5"/>
    </row>
    <row r="11870">
      <c r="N11870" s="5"/>
    </row>
    <row r="11871">
      <c r="N11871" s="5"/>
    </row>
    <row r="11872">
      <c r="N11872" s="5"/>
    </row>
    <row r="11873">
      <c r="N11873" s="5"/>
    </row>
    <row r="11874">
      <c r="N11874" s="5"/>
    </row>
    <row r="11875">
      <c r="N11875" s="5"/>
    </row>
    <row r="11876">
      <c r="N11876" s="5"/>
    </row>
    <row r="11877">
      <c r="N11877" s="5"/>
    </row>
    <row r="11878">
      <c r="N11878" s="5"/>
    </row>
    <row r="11879">
      <c r="N11879" s="5"/>
    </row>
    <row r="11880">
      <c r="N11880" s="5"/>
    </row>
    <row r="11881">
      <c r="N11881" s="5"/>
    </row>
    <row r="11882">
      <c r="N11882" s="5"/>
    </row>
    <row r="11883">
      <c r="N11883" s="5"/>
    </row>
    <row r="11884">
      <c r="N11884" s="5"/>
    </row>
    <row r="11885">
      <c r="N11885" s="5"/>
    </row>
    <row r="11886">
      <c r="N11886" s="5"/>
    </row>
    <row r="11887">
      <c r="N11887" s="5"/>
    </row>
    <row r="11888">
      <c r="N11888" s="5"/>
    </row>
    <row r="11889">
      <c r="N11889" s="5"/>
    </row>
    <row r="11890">
      <c r="N11890" s="5"/>
    </row>
    <row r="11891">
      <c r="N11891" s="5"/>
    </row>
    <row r="11892">
      <c r="N11892" s="5"/>
    </row>
    <row r="11893">
      <c r="N11893" s="5"/>
    </row>
    <row r="11894">
      <c r="N11894" s="5"/>
    </row>
    <row r="11895">
      <c r="N11895" s="5"/>
    </row>
    <row r="11896">
      <c r="N11896" s="5"/>
    </row>
    <row r="11897">
      <c r="N11897" s="5"/>
    </row>
    <row r="11898">
      <c r="N11898" s="5"/>
    </row>
    <row r="11899">
      <c r="N11899" s="5"/>
    </row>
    <row r="11900">
      <c r="N11900" s="5"/>
    </row>
    <row r="11901">
      <c r="N11901" s="5"/>
    </row>
    <row r="11902">
      <c r="N11902" s="5"/>
    </row>
    <row r="11903">
      <c r="N11903" s="5"/>
    </row>
    <row r="11904">
      <c r="N11904" s="5"/>
    </row>
    <row r="11905">
      <c r="N11905" s="5"/>
    </row>
    <row r="11906">
      <c r="N11906" s="5"/>
    </row>
    <row r="11907">
      <c r="N11907" s="5"/>
    </row>
    <row r="11908">
      <c r="N11908" s="5"/>
    </row>
    <row r="11909">
      <c r="N11909" s="5"/>
    </row>
    <row r="11910">
      <c r="N11910" s="5"/>
    </row>
    <row r="11911">
      <c r="N11911" s="5"/>
    </row>
    <row r="11912">
      <c r="N11912" s="5"/>
    </row>
    <row r="11913">
      <c r="N11913" s="5"/>
    </row>
    <row r="11914">
      <c r="N11914" s="5"/>
    </row>
    <row r="11915">
      <c r="N11915" s="5"/>
    </row>
    <row r="11916">
      <c r="N11916" s="5"/>
    </row>
    <row r="11917">
      <c r="N11917" s="5"/>
    </row>
    <row r="11918">
      <c r="N11918" s="5"/>
    </row>
    <row r="11919">
      <c r="N11919" s="5"/>
    </row>
    <row r="11920">
      <c r="N11920" s="5"/>
    </row>
    <row r="11921">
      <c r="N11921" s="5"/>
    </row>
    <row r="11922">
      <c r="N11922" s="5"/>
    </row>
    <row r="11923">
      <c r="N11923" s="5"/>
    </row>
    <row r="11924">
      <c r="N11924" s="5"/>
    </row>
    <row r="11925">
      <c r="N11925" s="5"/>
    </row>
    <row r="11926">
      <c r="N11926" s="5"/>
    </row>
    <row r="11927">
      <c r="N11927" s="5"/>
    </row>
    <row r="11928">
      <c r="N11928" s="5"/>
    </row>
    <row r="11929">
      <c r="N11929" s="5"/>
    </row>
    <row r="11930">
      <c r="N11930" s="5"/>
    </row>
    <row r="11931">
      <c r="N11931" s="5"/>
    </row>
    <row r="11932">
      <c r="N11932" s="5"/>
    </row>
    <row r="11933">
      <c r="N11933" s="5"/>
    </row>
    <row r="11934">
      <c r="N11934" s="5"/>
    </row>
    <row r="11935">
      <c r="N11935" s="5"/>
    </row>
    <row r="11936">
      <c r="N11936" s="5"/>
    </row>
    <row r="11937">
      <c r="N11937" s="5"/>
    </row>
    <row r="11938">
      <c r="N11938" s="5"/>
    </row>
    <row r="11939">
      <c r="N11939" s="5"/>
    </row>
    <row r="11940">
      <c r="N11940" s="5"/>
    </row>
    <row r="11941">
      <c r="N11941" s="5"/>
    </row>
    <row r="11942">
      <c r="N11942" s="5"/>
    </row>
    <row r="11943">
      <c r="N11943" s="5"/>
    </row>
    <row r="11944">
      <c r="N11944" s="5"/>
    </row>
    <row r="11945">
      <c r="N11945" s="5"/>
    </row>
    <row r="11946">
      <c r="N11946" s="5"/>
    </row>
    <row r="11947">
      <c r="N11947" s="5"/>
    </row>
    <row r="11948">
      <c r="N11948" s="5"/>
    </row>
    <row r="11949">
      <c r="N11949" s="5"/>
    </row>
    <row r="11950">
      <c r="N11950" s="5"/>
    </row>
    <row r="11951">
      <c r="N11951" s="5"/>
    </row>
    <row r="11952">
      <c r="N11952" s="5"/>
    </row>
    <row r="11953">
      <c r="N11953" s="5"/>
    </row>
    <row r="11954">
      <c r="N11954" s="5"/>
    </row>
    <row r="11955">
      <c r="N11955" s="5"/>
    </row>
    <row r="11956">
      <c r="N11956" s="5"/>
    </row>
    <row r="11957">
      <c r="N11957" s="5"/>
    </row>
    <row r="11958">
      <c r="N11958" s="5"/>
    </row>
    <row r="11959">
      <c r="N11959" s="5"/>
    </row>
    <row r="11960">
      <c r="N11960" s="5"/>
    </row>
    <row r="11961">
      <c r="N11961" s="5"/>
    </row>
    <row r="11962">
      <c r="N11962" s="5"/>
    </row>
    <row r="11963">
      <c r="N11963" s="5"/>
    </row>
    <row r="11964">
      <c r="N11964" s="5"/>
    </row>
    <row r="11965">
      <c r="N11965" s="5"/>
    </row>
    <row r="11966">
      <c r="N11966" s="5"/>
    </row>
    <row r="11967">
      <c r="N11967" s="5"/>
    </row>
    <row r="11968">
      <c r="N11968" s="5"/>
    </row>
    <row r="11969">
      <c r="N11969" s="5"/>
    </row>
    <row r="11970">
      <c r="N11970" s="5"/>
    </row>
    <row r="11971">
      <c r="N11971" s="5"/>
    </row>
    <row r="11972">
      <c r="N11972" s="5"/>
    </row>
    <row r="11973">
      <c r="N11973" s="5"/>
    </row>
    <row r="11974">
      <c r="N11974" s="5"/>
    </row>
    <row r="11975">
      <c r="N11975" s="5"/>
    </row>
    <row r="11976">
      <c r="N11976" s="5"/>
    </row>
    <row r="11977">
      <c r="N11977" s="5"/>
    </row>
    <row r="11978">
      <c r="N11978" s="5"/>
    </row>
    <row r="11979">
      <c r="N11979" s="5"/>
    </row>
    <row r="11980">
      <c r="N11980" s="5"/>
    </row>
    <row r="11981">
      <c r="N11981" s="5"/>
    </row>
    <row r="11982">
      <c r="N11982" s="5"/>
    </row>
    <row r="11983">
      <c r="N11983" s="5"/>
    </row>
    <row r="11984">
      <c r="N11984" s="5"/>
    </row>
    <row r="11985">
      <c r="N11985" s="5"/>
    </row>
    <row r="11986">
      <c r="N11986" s="5"/>
    </row>
    <row r="11987">
      <c r="N11987" s="5"/>
    </row>
    <row r="11988">
      <c r="N11988" s="5"/>
    </row>
    <row r="11989">
      <c r="N11989" s="5"/>
    </row>
    <row r="11990">
      <c r="N11990" s="5"/>
    </row>
    <row r="11991">
      <c r="N11991" s="5"/>
    </row>
    <row r="11992">
      <c r="N11992" s="5"/>
    </row>
    <row r="11993">
      <c r="N11993" s="5"/>
    </row>
    <row r="11994">
      <c r="N11994" s="5"/>
    </row>
    <row r="11995">
      <c r="N11995" s="5"/>
    </row>
    <row r="11996">
      <c r="N11996" s="5"/>
    </row>
    <row r="11997">
      <c r="N11997" s="5"/>
    </row>
    <row r="11998">
      <c r="N11998" s="5"/>
    </row>
    <row r="11999">
      <c r="N11999" s="5"/>
    </row>
    <row r="12000">
      <c r="N12000" s="5"/>
    </row>
    <row r="12001">
      <c r="N12001" s="5"/>
    </row>
    <row r="12002">
      <c r="N12002" s="5"/>
    </row>
    <row r="12003">
      <c r="N12003" s="5"/>
    </row>
    <row r="12004">
      <c r="N12004" s="5"/>
    </row>
    <row r="12005">
      <c r="N12005" s="5"/>
    </row>
    <row r="12006">
      <c r="N12006" s="5"/>
    </row>
    <row r="12007">
      <c r="N12007" s="5"/>
    </row>
    <row r="12008">
      <c r="N12008" s="5"/>
    </row>
    <row r="12009">
      <c r="N12009" s="5"/>
    </row>
    <row r="12010">
      <c r="N12010" s="5"/>
    </row>
    <row r="12011">
      <c r="N12011" s="5"/>
    </row>
    <row r="12012">
      <c r="N12012" s="5"/>
    </row>
    <row r="12013">
      <c r="N12013" s="5"/>
    </row>
    <row r="12014">
      <c r="N12014" s="5"/>
    </row>
    <row r="12015">
      <c r="N12015" s="5"/>
    </row>
    <row r="12016">
      <c r="N12016" s="5"/>
    </row>
    <row r="12017">
      <c r="N12017" s="5"/>
    </row>
    <row r="12018">
      <c r="N12018" s="5"/>
    </row>
    <row r="12019">
      <c r="N12019" s="5"/>
    </row>
    <row r="12020">
      <c r="N12020" s="5"/>
    </row>
    <row r="12021">
      <c r="N12021" s="5"/>
    </row>
    <row r="12022">
      <c r="N12022" s="5"/>
    </row>
    <row r="12023">
      <c r="N12023" s="5"/>
    </row>
    <row r="12024">
      <c r="N12024" s="5"/>
    </row>
    <row r="12025">
      <c r="N12025" s="5"/>
    </row>
    <row r="12026">
      <c r="N12026" s="5"/>
    </row>
    <row r="12027">
      <c r="N12027" s="5"/>
    </row>
    <row r="12028">
      <c r="N12028" s="5"/>
    </row>
    <row r="12029">
      <c r="N12029" s="5"/>
    </row>
    <row r="12030">
      <c r="N12030" s="5"/>
    </row>
    <row r="12031">
      <c r="N12031" s="5"/>
    </row>
    <row r="12032">
      <c r="N12032" s="5"/>
    </row>
    <row r="12033">
      <c r="N12033" s="5"/>
    </row>
    <row r="12034">
      <c r="N12034" s="5"/>
    </row>
    <row r="12035">
      <c r="N12035" s="5"/>
    </row>
    <row r="12036">
      <c r="N12036" s="5"/>
    </row>
    <row r="12037">
      <c r="N12037" s="5"/>
    </row>
    <row r="12038">
      <c r="N12038" s="5"/>
    </row>
    <row r="12039">
      <c r="N12039" s="5"/>
    </row>
    <row r="12040">
      <c r="N12040" s="5"/>
    </row>
    <row r="12041">
      <c r="N12041" s="5"/>
    </row>
    <row r="12042">
      <c r="N12042" s="5"/>
    </row>
    <row r="12043">
      <c r="N12043" s="5"/>
    </row>
    <row r="12044">
      <c r="N12044" s="5"/>
    </row>
    <row r="12045">
      <c r="N12045" s="5"/>
    </row>
    <row r="12046">
      <c r="N12046" s="5"/>
    </row>
    <row r="12047">
      <c r="N12047" s="5"/>
    </row>
    <row r="12048">
      <c r="N12048" s="5"/>
    </row>
    <row r="12049">
      <c r="N12049" s="5"/>
    </row>
    <row r="12050">
      <c r="N12050" s="5"/>
    </row>
    <row r="12051">
      <c r="N12051" s="5"/>
    </row>
    <row r="12052">
      <c r="N12052" s="5"/>
    </row>
    <row r="12053">
      <c r="N12053" s="5"/>
    </row>
    <row r="12054">
      <c r="N12054" s="5"/>
    </row>
    <row r="12055">
      <c r="N12055" s="5"/>
    </row>
    <row r="12056">
      <c r="N12056" s="5"/>
    </row>
    <row r="12057">
      <c r="N12057" s="5"/>
    </row>
    <row r="12058">
      <c r="N12058" s="5"/>
    </row>
    <row r="12059">
      <c r="N12059" s="5"/>
    </row>
    <row r="12060">
      <c r="N12060" s="5"/>
    </row>
    <row r="12061">
      <c r="N12061" s="5"/>
    </row>
    <row r="12062">
      <c r="N12062" s="5"/>
    </row>
    <row r="12063">
      <c r="N12063" s="5"/>
    </row>
    <row r="12064">
      <c r="N12064" s="5"/>
    </row>
    <row r="12065">
      <c r="N12065" s="5"/>
    </row>
    <row r="12066">
      <c r="N12066" s="5"/>
    </row>
    <row r="12067">
      <c r="N12067" s="5"/>
    </row>
    <row r="12068">
      <c r="N12068" s="5"/>
    </row>
    <row r="12069">
      <c r="N12069" s="5"/>
    </row>
    <row r="12070">
      <c r="N12070" s="5"/>
    </row>
    <row r="12071">
      <c r="N12071" s="5"/>
    </row>
    <row r="12072">
      <c r="N12072" s="5"/>
    </row>
    <row r="12073">
      <c r="N12073" s="5"/>
    </row>
    <row r="12074">
      <c r="N12074" s="5"/>
    </row>
    <row r="12075">
      <c r="N12075" s="5"/>
    </row>
    <row r="12076">
      <c r="N12076" s="5"/>
    </row>
    <row r="12077">
      <c r="N12077" s="5"/>
    </row>
    <row r="12078">
      <c r="N12078" s="5"/>
    </row>
    <row r="12079">
      <c r="N12079" s="5"/>
    </row>
    <row r="12080">
      <c r="N12080" s="5"/>
    </row>
    <row r="12081">
      <c r="N12081" s="5"/>
    </row>
    <row r="12082">
      <c r="N12082" s="5"/>
    </row>
    <row r="12083">
      <c r="N12083" s="5"/>
    </row>
    <row r="12084">
      <c r="N12084" s="5"/>
    </row>
    <row r="12085">
      <c r="N12085" s="5"/>
    </row>
    <row r="12086">
      <c r="N12086" s="5"/>
    </row>
    <row r="12087">
      <c r="N12087" s="5"/>
    </row>
    <row r="12088">
      <c r="N12088" s="5"/>
    </row>
    <row r="12089">
      <c r="N12089" s="5"/>
    </row>
    <row r="12090">
      <c r="N12090" s="5"/>
    </row>
    <row r="12091">
      <c r="N12091" s="5"/>
    </row>
    <row r="12092">
      <c r="N12092" s="5"/>
    </row>
    <row r="12093">
      <c r="N12093" s="5"/>
    </row>
    <row r="12094">
      <c r="N12094" s="5"/>
    </row>
    <row r="12095">
      <c r="N12095" s="5"/>
    </row>
    <row r="12096">
      <c r="N12096" s="5"/>
    </row>
    <row r="12097">
      <c r="N12097" s="5"/>
    </row>
    <row r="12098">
      <c r="N12098" s="5"/>
    </row>
    <row r="12099">
      <c r="N12099" s="5"/>
    </row>
    <row r="12100">
      <c r="N12100" s="5"/>
    </row>
    <row r="12101">
      <c r="N12101" s="5"/>
    </row>
    <row r="12102">
      <c r="N12102" s="5"/>
    </row>
    <row r="12103">
      <c r="N12103" s="5"/>
    </row>
    <row r="12104">
      <c r="N12104" s="5"/>
    </row>
    <row r="12105">
      <c r="N12105" s="5"/>
    </row>
    <row r="12106">
      <c r="N12106" s="5"/>
    </row>
    <row r="12107">
      <c r="N12107" s="5"/>
    </row>
    <row r="12108">
      <c r="N12108" s="5"/>
    </row>
    <row r="12109">
      <c r="N12109" s="5"/>
    </row>
    <row r="12110">
      <c r="N12110" s="5"/>
    </row>
    <row r="12111">
      <c r="N12111" s="5"/>
    </row>
    <row r="12112">
      <c r="N12112" s="5"/>
    </row>
    <row r="12113">
      <c r="N12113" s="5"/>
    </row>
    <row r="12114">
      <c r="N12114" s="5"/>
    </row>
    <row r="12115">
      <c r="N12115" s="5"/>
    </row>
    <row r="12116">
      <c r="N12116" s="5"/>
    </row>
    <row r="12117">
      <c r="N12117" s="5"/>
    </row>
    <row r="12118">
      <c r="N12118" s="5"/>
    </row>
    <row r="12119">
      <c r="N12119" s="5"/>
    </row>
    <row r="12120">
      <c r="N12120" s="5"/>
    </row>
    <row r="12121">
      <c r="N12121" s="5"/>
    </row>
    <row r="12122">
      <c r="N12122" s="5"/>
    </row>
    <row r="12123">
      <c r="N12123" s="5"/>
    </row>
    <row r="12124">
      <c r="N12124" s="5"/>
    </row>
    <row r="12125">
      <c r="N12125" s="5"/>
    </row>
    <row r="12126">
      <c r="N12126" s="5"/>
    </row>
    <row r="12127">
      <c r="N12127" s="5"/>
    </row>
    <row r="12128">
      <c r="N12128" s="5"/>
    </row>
    <row r="12129">
      <c r="N12129" s="5"/>
    </row>
    <row r="12130">
      <c r="N12130" s="5"/>
    </row>
    <row r="12131">
      <c r="N12131" s="5"/>
    </row>
    <row r="12132">
      <c r="N12132" s="5"/>
    </row>
    <row r="12133">
      <c r="N12133" s="5"/>
    </row>
    <row r="12134">
      <c r="N12134" s="5"/>
    </row>
    <row r="12135">
      <c r="N12135" s="5"/>
    </row>
    <row r="12136">
      <c r="N12136" s="5"/>
    </row>
    <row r="12137">
      <c r="N12137" s="5"/>
    </row>
    <row r="12138">
      <c r="N12138" s="5"/>
    </row>
    <row r="12139">
      <c r="N12139" s="5"/>
    </row>
    <row r="12140">
      <c r="N12140" s="5"/>
    </row>
    <row r="12141">
      <c r="N12141" s="5"/>
    </row>
    <row r="12142">
      <c r="N12142" s="5"/>
    </row>
    <row r="12143">
      <c r="N12143" s="5"/>
    </row>
    <row r="12144">
      <c r="N12144" s="5"/>
    </row>
    <row r="12145">
      <c r="N12145" s="5"/>
    </row>
    <row r="12146">
      <c r="N12146" s="5"/>
    </row>
    <row r="12147">
      <c r="N12147" s="5"/>
    </row>
    <row r="12148">
      <c r="N12148" s="5"/>
    </row>
    <row r="12149">
      <c r="N12149" s="5"/>
    </row>
    <row r="12150">
      <c r="N12150" s="5"/>
    </row>
    <row r="12151">
      <c r="N12151" s="5"/>
    </row>
    <row r="12152">
      <c r="N12152" s="5"/>
    </row>
    <row r="12153">
      <c r="N12153" s="5"/>
    </row>
    <row r="12154">
      <c r="N12154" s="5"/>
    </row>
    <row r="12155">
      <c r="N12155" s="5"/>
    </row>
    <row r="12156">
      <c r="N12156" s="5"/>
    </row>
    <row r="12157">
      <c r="N12157" s="5"/>
    </row>
    <row r="12158">
      <c r="N12158" s="5"/>
    </row>
    <row r="12159">
      <c r="N12159" s="5"/>
    </row>
    <row r="12160">
      <c r="N12160" s="5"/>
    </row>
    <row r="12161">
      <c r="N12161" s="5"/>
    </row>
    <row r="12162">
      <c r="N12162" s="5"/>
    </row>
    <row r="12163">
      <c r="N12163" s="5"/>
    </row>
    <row r="12164">
      <c r="N12164" s="5"/>
    </row>
    <row r="12165">
      <c r="N12165" s="5"/>
    </row>
    <row r="12166">
      <c r="N12166" s="5"/>
    </row>
    <row r="12167">
      <c r="N12167" s="5"/>
    </row>
    <row r="12168">
      <c r="N12168" s="5"/>
    </row>
    <row r="12169">
      <c r="N12169" s="5"/>
    </row>
    <row r="12170">
      <c r="N12170" s="5"/>
    </row>
    <row r="12171">
      <c r="N12171" s="5"/>
    </row>
    <row r="12172">
      <c r="N12172" s="5"/>
    </row>
    <row r="12173">
      <c r="N12173" s="5"/>
    </row>
    <row r="12174">
      <c r="N12174" s="5"/>
    </row>
    <row r="12175">
      <c r="N12175" s="5"/>
    </row>
    <row r="12176">
      <c r="N12176" s="5"/>
    </row>
    <row r="12177">
      <c r="N12177" s="5"/>
    </row>
    <row r="12178">
      <c r="N12178" s="5"/>
    </row>
    <row r="12179">
      <c r="N12179" s="5"/>
    </row>
    <row r="12180">
      <c r="N12180" s="5"/>
    </row>
    <row r="12181">
      <c r="N12181" s="5"/>
    </row>
    <row r="12182">
      <c r="N12182" s="5"/>
    </row>
    <row r="12183">
      <c r="N12183" s="5"/>
    </row>
    <row r="12184">
      <c r="N12184" s="5"/>
    </row>
    <row r="12185">
      <c r="N12185" s="5"/>
    </row>
    <row r="12186">
      <c r="N12186" s="5"/>
    </row>
    <row r="12187">
      <c r="N12187" s="5"/>
    </row>
    <row r="12188">
      <c r="N12188" s="5"/>
    </row>
    <row r="12189">
      <c r="N12189" s="5"/>
    </row>
    <row r="12190">
      <c r="N12190" s="5"/>
    </row>
    <row r="12191">
      <c r="N12191" s="5"/>
    </row>
    <row r="12192">
      <c r="N12192" s="5"/>
    </row>
    <row r="12193">
      <c r="N12193" s="5"/>
    </row>
    <row r="12194">
      <c r="N12194" s="5"/>
    </row>
    <row r="12195">
      <c r="N12195" s="5"/>
    </row>
    <row r="12196">
      <c r="N12196" s="5"/>
    </row>
    <row r="12197">
      <c r="N12197" s="5"/>
    </row>
    <row r="12198">
      <c r="N12198" s="5"/>
    </row>
    <row r="12199">
      <c r="N12199" s="5"/>
    </row>
    <row r="12200">
      <c r="N12200" s="5"/>
    </row>
    <row r="12201">
      <c r="N12201" s="5"/>
    </row>
    <row r="12202">
      <c r="N12202" s="5"/>
    </row>
    <row r="12203">
      <c r="N12203" s="5"/>
    </row>
    <row r="12204">
      <c r="N12204" s="5"/>
    </row>
    <row r="12205">
      <c r="N12205" s="5"/>
    </row>
    <row r="12206">
      <c r="N12206" s="5"/>
    </row>
    <row r="12207">
      <c r="N12207" s="5"/>
    </row>
    <row r="12208">
      <c r="N12208" s="5"/>
    </row>
    <row r="12209">
      <c r="N12209" s="5"/>
    </row>
    <row r="12210">
      <c r="N12210" s="5"/>
    </row>
    <row r="12211">
      <c r="N12211" s="5"/>
    </row>
    <row r="12212">
      <c r="N12212" s="5"/>
    </row>
    <row r="12213">
      <c r="N12213" s="5"/>
    </row>
    <row r="12214">
      <c r="N12214" s="5"/>
    </row>
    <row r="12215">
      <c r="N12215" s="5"/>
    </row>
    <row r="12216">
      <c r="N12216" s="5"/>
    </row>
    <row r="12217">
      <c r="N12217" s="5"/>
    </row>
    <row r="12218">
      <c r="N12218" s="5"/>
    </row>
    <row r="12219">
      <c r="N12219" s="5"/>
    </row>
    <row r="12220">
      <c r="N12220" s="5"/>
    </row>
    <row r="12221">
      <c r="N12221" s="5"/>
    </row>
    <row r="12222">
      <c r="N12222" s="5"/>
    </row>
    <row r="12223">
      <c r="N12223" s="5"/>
    </row>
    <row r="12224">
      <c r="N12224" s="5"/>
    </row>
    <row r="12225">
      <c r="N12225" s="5"/>
    </row>
    <row r="12226">
      <c r="N12226" s="5"/>
    </row>
    <row r="12227">
      <c r="N12227" s="5"/>
    </row>
    <row r="12228">
      <c r="N12228" s="5"/>
    </row>
    <row r="12229">
      <c r="N12229" s="5"/>
    </row>
    <row r="12230">
      <c r="N12230" s="5"/>
    </row>
    <row r="12231">
      <c r="N12231" s="5"/>
    </row>
    <row r="12232">
      <c r="N12232" s="5"/>
    </row>
    <row r="12233">
      <c r="N12233" s="5"/>
    </row>
    <row r="12234">
      <c r="N12234" s="5"/>
    </row>
    <row r="12235">
      <c r="N12235" s="5"/>
    </row>
    <row r="12236">
      <c r="N12236" s="5"/>
    </row>
    <row r="12237">
      <c r="N12237" s="5"/>
    </row>
    <row r="12238">
      <c r="N12238" s="5"/>
    </row>
    <row r="12239">
      <c r="N12239" s="5"/>
    </row>
    <row r="12240">
      <c r="N12240" s="5"/>
    </row>
    <row r="12241">
      <c r="N12241" s="5"/>
    </row>
    <row r="12242">
      <c r="N12242" s="5"/>
    </row>
    <row r="12243">
      <c r="N12243" s="5"/>
    </row>
    <row r="12244">
      <c r="N12244" s="5"/>
    </row>
    <row r="12245">
      <c r="N12245" s="5"/>
    </row>
    <row r="12246">
      <c r="N12246" s="5"/>
    </row>
    <row r="12247">
      <c r="N12247" s="5"/>
    </row>
    <row r="12248">
      <c r="N12248" s="5"/>
    </row>
    <row r="12249">
      <c r="N12249" s="5"/>
    </row>
    <row r="12250">
      <c r="N12250" s="5"/>
    </row>
    <row r="12251">
      <c r="N12251" s="5"/>
    </row>
    <row r="12252">
      <c r="N12252" s="5"/>
    </row>
    <row r="12253">
      <c r="N12253" s="5"/>
    </row>
    <row r="12254">
      <c r="N12254" s="5"/>
    </row>
    <row r="12255">
      <c r="N12255" s="5"/>
    </row>
    <row r="12256">
      <c r="N12256" s="5"/>
    </row>
    <row r="12257">
      <c r="N12257" s="5"/>
    </row>
    <row r="12258">
      <c r="N12258" s="5"/>
    </row>
    <row r="12259">
      <c r="N12259" s="5"/>
    </row>
    <row r="12260">
      <c r="N12260" s="5"/>
    </row>
    <row r="12261">
      <c r="N12261" s="5"/>
    </row>
    <row r="12262">
      <c r="N12262" s="5"/>
    </row>
    <row r="12263">
      <c r="N12263" s="5"/>
    </row>
    <row r="12264">
      <c r="N12264" s="5"/>
    </row>
    <row r="12265">
      <c r="N12265" s="5"/>
    </row>
    <row r="12266">
      <c r="N12266" s="5"/>
    </row>
    <row r="12267">
      <c r="N12267" s="5"/>
    </row>
    <row r="12268">
      <c r="N12268" s="5"/>
    </row>
    <row r="12269">
      <c r="N12269" s="5"/>
    </row>
    <row r="12270">
      <c r="N12270" s="5"/>
    </row>
    <row r="12271">
      <c r="N12271" s="5"/>
    </row>
    <row r="12272">
      <c r="N12272" s="5"/>
    </row>
    <row r="12273">
      <c r="N12273" s="5"/>
    </row>
    <row r="12274">
      <c r="N12274" s="5"/>
    </row>
    <row r="12275">
      <c r="N12275" s="5"/>
    </row>
    <row r="12276">
      <c r="N12276" s="5"/>
    </row>
    <row r="12277">
      <c r="N12277" s="5"/>
    </row>
    <row r="12278">
      <c r="N12278" s="5"/>
    </row>
    <row r="12279">
      <c r="N12279" s="5"/>
    </row>
    <row r="12280">
      <c r="N12280" s="5"/>
    </row>
    <row r="12281">
      <c r="N12281" s="5"/>
    </row>
    <row r="12282">
      <c r="N12282" s="5"/>
    </row>
    <row r="12283">
      <c r="N12283" s="5"/>
    </row>
    <row r="12284">
      <c r="N12284" s="5"/>
    </row>
    <row r="12285">
      <c r="N12285" s="5"/>
    </row>
    <row r="12286">
      <c r="N12286" s="5"/>
    </row>
    <row r="12287">
      <c r="N12287" s="5"/>
    </row>
    <row r="12288">
      <c r="N12288" s="5"/>
    </row>
    <row r="12289">
      <c r="N12289" s="5"/>
    </row>
    <row r="12290">
      <c r="N12290" s="5"/>
    </row>
    <row r="12291">
      <c r="N12291" s="5"/>
    </row>
    <row r="12292">
      <c r="N12292" s="5"/>
    </row>
    <row r="12293">
      <c r="N12293" s="5"/>
    </row>
    <row r="12294">
      <c r="N12294" s="5"/>
    </row>
    <row r="12295">
      <c r="N12295" s="5"/>
    </row>
    <row r="12296">
      <c r="N12296" s="5"/>
    </row>
    <row r="12297">
      <c r="N12297" s="5"/>
    </row>
    <row r="12298">
      <c r="N12298" s="5"/>
    </row>
    <row r="12299">
      <c r="N12299" s="5"/>
    </row>
    <row r="12300">
      <c r="N12300" s="5"/>
    </row>
    <row r="12301">
      <c r="N12301" s="5"/>
    </row>
    <row r="12302">
      <c r="N12302" s="5"/>
    </row>
    <row r="12303">
      <c r="N12303" s="5"/>
    </row>
    <row r="12304">
      <c r="N12304" s="5"/>
    </row>
    <row r="12305">
      <c r="N12305" s="5"/>
    </row>
    <row r="12306">
      <c r="N12306" s="5"/>
    </row>
    <row r="12307">
      <c r="N12307" s="5"/>
    </row>
    <row r="12308">
      <c r="N12308" s="5"/>
    </row>
    <row r="12309">
      <c r="N12309" s="5"/>
    </row>
    <row r="12310">
      <c r="N12310" s="5"/>
    </row>
    <row r="12311">
      <c r="N12311" s="5"/>
    </row>
    <row r="12312">
      <c r="N12312" s="5"/>
    </row>
    <row r="12313">
      <c r="N12313" s="5"/>
    </row>
    <row r="12314">
      <c r="N12314" s="5"/>
    </row>
    <row r="12315">
      <c r="N12315" s="5"/>
    </row>
    <row r="12316">
      <c r="N12316" s="5"/>
    </row>
    <row r="12317">
      <c r="N12317" s="5"/>
    </row>
    <row r="12318">
      <c r="N12318" s="5"/>
    </row>
    <row r="12319">
      <c r="N12319" s="5"/>
    </row>
    <row r="12320">
      <c r="N12320" s="5"/>
    </row>
    <row r="12321">
      <c r="N12321" s="5"/>
    </row>
    <row r="12322">
      <c r="N12322" s="5"/>
    </row>
    <row r="12323">
      <c r="N12323" s="5"/>
    </row>
    <row r="12324">
      <c r="N12324" s="5"/>
    </row>
    <row r="12325">
      <c r="N12325" s="5"/>
    </row>
    <row r="12326">
      <c r="N12326" s="5"/>
    </row>
    <row r="12327">
      <c r="N12327" s="5"/>
    </row>
    <row r="12328">
      <c r="N12328" s="5"/>
    </row>
    <row r="12329">
      <c r="N12329" s="5"/>
    </row>
    <row r="12330">
      <c r="N12330" s="5"/>
    </row>
    <row r="12331">
      <c r="N12331" s="5"/>
    </row>
    <row r="12332">
      <c r="N12332" s="5"/>
    </row>
    <row r="12333">
      <c r="N12333" s="5"/>
    </row>
    <row r="12334">
      <c r="N12334" s="5"/>
    </row>
    <row r="12335">
      <c r="N12335" s="5"/>
    </row>
    <row r="12336">
      <c r="N12336" s="5"/>
    </row>
    <row r="12337">
      <c r="N12337" s="5"/>
    </row>
    <row r="12338">
      <c r="N12338" s="5"/>
    </row>
    <row r="12339">
      <c r="N12339" s="5"/>
    </row>
    <row r="12340">
      <c r="N12340" s="5"/>
    </row>
    <row r="12341">
      <c r="N12341" s="5"/>
    </row>
    <row r="12342">
      <c r="N12342" s="5"/>
    </row>
    <row r="12343">
      <c r="N12343" s="5"/>
    </row>
    <row r="12344">
      <c r="N12344" s="5"/>
    </row>
    <row r="12345">
      <c r="N12345" s="5"/>
    </row>
    <row r="12346">
      <c r="N12346" s="5"/>
    </row>
    <row r="12347">
      <c r="N12347" s="5"/>
    </row>
    <row r="12348">
      <c r="N12348" s="5"/>
    </row>
    <row r="12349">
      <c r="N12349" s="5"/>
    </row>
    <row r="12350">
      <c r="N12350" s="5"/>
    </row>
    <row r="12351">
      <c r="N12351" s="5"/>
    </row>
    <row r="12352">
      <c r="N12352" s="5"/>
    </row>
    <row r="12353">
      <c r="N12353" s="5"/>
    </row>
    <row r="12354">
      <c r="N12354" s="5"/>
    </row>
    <row r="12355">
      <c r="N12355" s="5"/>
    </row>
    <row r="12356">
      <c r="N12356" s="5"/>
    </row>
    <row r="12357">
      <c r="N12357" s="5"/>
    </row>
    <row r="12358">
      <c r="N12358" s="5"/>
    </row>
    <row r="12359">
      <c r="N12359" s="5"/>
    </row>
    <row r="12360">
      <c r="N12360" s="5"/>
    </row>
    <row r="12361">
      <c r="N12361" s="5"/>
    </row>
    <row r="12362">
      <c r="N12362" s="5"/>
    </row>
    <row r="12363">
      <c r="N12363" s="5"/>
    </row>
    <row r="12364">
      <c r="N12364" s="5"/>
    </row>
    <row r="12365">
      <c r="N12365" s="5"/>
    </row>
    <row r="12366">
      <c r="N12366" s="5"/>
    </row>
    <row r="12367">
      <c r="N12367" s="5"/>
    </row>
    <row r="12368">
      <c r="N12368" s="5"/>
    </row>
    <row r="12369">
      <c r="N12369" s="5"/>
    </row>
    <row r="12370">
      <c r="N12370" s="5"/>
    </row>
    <row r="12371">
      <c r="N12371" s="5"/>
    </row>
    <row r="12372">
      <c r="N12372" s="5"/>
    </row>
    <row r="12373">
      <c r="N12373" s="5"/>
    </row>
    <row r="12374">
      <c r="N12374" s="5"/>
    </row>
    <row r="12375">
      <c r="N12375" s="5"/>
    </row>
    <row r="12376">
      <c r="N12376" s="5"/>
    </row>
    <row r="12377">
      <c r="N12377" s="5"/>
    </row>
    <row r="12378">
      <c r="N12378" s="5"/>
    </row>
    <row r="12379">
      <c r="N12379" s="5"/>
    </row>
    <row r="12380">
      <c r="N12380" s="5"/>
    </row>
    <row r="12381">
      <c r="N12381" s="5"/>
    </row>
    <row r="12382">
      <c r="N12382" s="5"/>
    </row>
    <row r="12383">
      <c r="N12383" s="5"/>
    </row>
    <row r="12384">
      <c r="N12384" s="5"/>
    </row>
    <row r="12385">
      <c r="N12385" s="5"/>
    </row>
    <row r="12386">
      <c r="N12386" s="5"/>
    </row>
    <row r="12387">
      <c r="N12387" s="5"/>
    </row>
    <row r="12388">
      <c r="N12388" s="5"/>
    </row>
    <row r="12389">
      <c r="N12389" s="5"/>
    </row>
    <row r="12390">
      <c r="N12390" s="5"/>
    </row>
    <row r="12391">
      <c r="N12391" s="5"/>
    </row>
    <row r="12392">
      <c r="N12392" s="5"/>
    </row>
    <row r="12393">
      <c r="N12393" s="5"/>
    </row>
    <row r="12394">
      <c r="N12394" s="5"/>
    </row>
    <row r="12395">
      <c r="N12395" s="5"/>
    </row>
    <row r="12396">
      <c r="N12396" s="5"/>
    </row>
    <row r="12397">
      <c r="N12397" s="5"/>
    </row>
    <row r="12398">
      <c r="N12398" s="5"/>
    </row>
    <row r="12399">
      <c r="N12399" s="5"/>
    </row>
    <row r="12400">
      <c r="N12400" s="5"/>
    </row>
    <row r="12401">
      <c r="N12401" s="5"/>
    </row>
    <row r="12402">
      <c r="N12402" s="5"/>
    </row>
    <row r="12403">
      <c r="N12403" s="5"/>
    </row>
    <row r="12404">
      <c r="N12404" s="5"/>
    </row>
    <row r="12405">
      <c r="N12405" s="5"/>
    </row>
    <row r="12406">
      <c r="N12406" s="5"/>
    </row>
    <row r="12407">
      <c r="N12407" s="5"/>
    </row>
    <row r="12408">
      <c r="N12408" s="5"/>
    </row>
    <row r="12409">
      <c r="N12409" s="5"/>
    </row>
    <row r="12410">
      <c r="N12410" s="5"/>
    </row>
    <row r="12411">
      <c r="N12411" s="5"/>
    </row>
    <row r="12412">
      <c r="N12412" s="5"/>
    </row>
    <row r="12413">
      <c r="N12413" s="5"/>
    </row>
    <row r="12414">
      <c r="N12414" s="5"/>
    </row>
    <row r="12415">
      <c r="N12415" s="5"/>
    </row>
    <row r="12416">
      <c r="N12416" s="5"/>
    </row>
    <row r="12417">
      <c r="N12417" s="5"/>
    </row>
    <row r="12418">
      <c r="N12418" s="5"/>
    </row>
    <row r="12419">
      <c r="N12419" s="5"/>
    </row>
    <row r="12420">
      <c r="N12420" s="5"/>
    </row>
    <row r="12421">
      <c r="N12421" s="5"/>
    </row>
    <row r="12422">
      <c r="N12422" s="5"/>
    </row>
    <row r="12423">
      <c r="N12423" s="5"/>
    </row>
    <row r="12424">
      <c r="N12424" s="5"/>
    </row>
    <row r="12425">
      <c r="N12425" s="5"/>
    </row>
    <row r="12426">
      <c r="N12426" s="5"/>
    </row>
    <row r="12427">
      <c r="N12427" s="5"/>
    </row>
    <row r="12428">
      <c r="N12428" s="5"/>
    </row>
    <row r="12429">
      <c r="N12429" s="5"/>
    </row>
    <row r="12430">
      <c r="N12430" s="5"/>
    </row>
    <row r="12431">
      <c r="N12431" s="5"/>
    </row>
    <row r="12432">
      <c r="N12432" s="5"/>
    </row>
    <row r="12433">
      <c r="N12433" s="5"/>
    </row>
    <row r="12434">
      <c r="N12434" s="5"/>
    </row>
    <row r="12435">
      <c r="N12435" s="5"/>
    </row>
    <row r="12436">
      <c r="N12436" s="5"/>
    </row>
    <row r="12437">
      <c r="N12437" s="5"/>
    </row>
    <row r="12438">
      <c r="N12438" s="5"/>
    </row>
    <row r="12439">
      <c r="N12439" s="5"/>
    </row>
    <row r="12440">
      <c r="N12440" s="5"/>
    </row>
    <row r="12441">
      <c r="N12441" s="5"/>
    </row>
    <row r="12442">
      <c r="N12442" s="5"/>
    </row>
    <row r="12443">
      <c r="N12443" s="5"/>
    </row>
    <row r="12444">
      <c r="N12444" s="5"/>
    </row>
    <row r="12445">
      <c r="N12445" s="5"/>
    </row>
    <row r="12446">
      <c r="N12446" s="5"/>
    </row>
    <row r="12447">
      <c r="N12447" s="5"/>
    </row>
    <row r="12448">
      <c r="N12448" s="5"/>
    </row>
    <row r="12449">
      <c r="N12449" s="5"/>
    </row>
    <row r="12450">
      <c r="N12450" s="5"/>
    </row>
    <row r="12451">
      <c r="N12451" s="5"/>
    </row>
    <row r="12452">
      <c r="N12452" s="5"/>
    </row>
    <row r="12453">
      <c r="N12453" s="5"/>
    </row>
    <row r="12454">
      <c r="N12454" s="5"/>
    </row>
    <row r="12455">
      <c r="N12455" s="5"/>
    </row>
    <row r="12456">
      <c r="N12456" s="5"/>
    </row>
    <row r="12457">
      <c r="N12457" s="5"/>
    </row>
    <row r="12458">
      <c r="N12458" s="5"/>
    </row>
    <row r="12459">
      <c r="N12459" s="5"/>
    </row>
    <row r="12460">
      <c r="N12460" s="5"/>
    </row>
    <row r="12461">
      <c r="N12461" s="5"/>
    </row>
    <row r="12462">
      <c r="N12462" s="5"/>
    </row>
    <row r="12463">
      <c r="N12463" s="5"/>
    </row>
    <row r="12464">
      <c r="N12464" s="5"/>
    </row>
    <row r="12465">
      <c r="N12465" s="5"/>
    </row>
    <row r="12466">
      <c r="N12466" s="5"/>
    </row>
    <row r="12467">
      <c r="N12467" s="5"/>
    </row>
    <row r="12468">
      <c r="N12468" s="5"/>
    </row>
    <row r="12469">
      <c r="N12469" s="5"/>
    </row>
    <row r="12470">
      <c r="N12470" s="5"/>
    </row>
    <row r="12471">
      <c r="N12471" s="5"/>
    </row>
    <row r="12472">
      <c r="N12472" s="5"/>
    </row>
    <row r="12473">
      <c r="N12473" s="5"/>
    </row>
    <row r="12474">
      <c r="N12474" s="5"/>
    </row>
    <row r="12475">
      <c r="N12475" s="5"/>
    </row>
    <row r="12476">
      <c r="N12476" s="5"/>
    </row>
    <row r="12477">
      <c r="N12477" s="5"/>
    </row>
    <row r="12478">
      <c r="N12478" s="5"/>
    </row>
    <row r="12479">
      <c r="N12479" s="5"/>
    </row>
    <row r="12480">
      <c r="N12480" s="5"/>
    </row>
    <row r="12481">
      <c r="N12481" s="5"/>
    </row>
    <row r="12482">
      <c r="N12482" s="5"/>
    </row>
    <row r="12483">
      <c r="N12483" s="5"/>
    </row>
    <row r="12484">
      <c r="N12484" s="5"/>
    </row>
    <row r="12485">
      <c r="N12485" s="5"/>
    </row>
    <row r="12486">
      <c r="N12486" s="5"/>
    </row>
    <row r="12487">
      <c r="N12487" s="5"/>
    </row>
    <row r="12488">
      <c r="N12488" s="5"/>
    </row>
    <row r="12489">
      <c r="N12489" s="5"/>
    </row>
    <row r="12490">
      <c r="N12490" s="5"/>
    </row>
    <row r="12491">
      <c r="N12491" s="5"/>
    </row>
    <row r="12492">
      <c r="N12492" s="5"/>
    </row>
    <row r="12493">
      <c r="N12493" s="5"/>
    </row>
    <row r="12494">
      <c r="N12494" s="5"/>
    </row>
    <row r="12495">
      <c r="N12495" s="5"/>
    </row>
    <row r="12496">
      <c r="N12496" s="5"/>
    </row>
    <row r="12497">
      <c r="N12497" s="5"/>
    </row>
    <row r="12498">
      <c r="N12498" s="5"/>
    </row>
    <row r="12499">
      <c r="N12499" s="5"/>
    </row>
    <row r="12500">
      <c r="N12500" s="5"/>
    </row>
    <row r="12501">
      <c r="N12501" s="5"/>
    </row>
    <row r="12502">
      <c r="N12502" s="5"/>
    </row>
    <row r="12503">
      <c r="N12503" s="5"/>
    </row>
    <row r="12504">
      <c r="N12504" s="5"/>
    </row>
    <row r="12505">
      <c r="N12505" s="5"/>
    </row>
    <row r="12506">
      <c r="N12506" s="5"/>
    </row>
    <row r="12507">
      <c r="N12507" s="5"/>
    </row>
    <row r="12508">
      <c r="N12508" s="5"/>
    </row>
    <row r="12509">
      <c r="N12509" s="5"/>
    </row>
    <row r="12510">
      <c r="N12510" s="5"/>
    </row>
    <row r="12511">
      <c r="N12511" s="5"/>
    </row>
    <row r="12512">
      <c r="N12512" s="5"/>
    </row>
    <row r="12513">
      <c r="N12513" s="5"/>
    </row>
    <row r="12514">
      <c r="N12514" s="5"/>
    </row>
    <row r="12515">
      <c r="N12515" s="5"/>
    </row>
    <row r="12516">
      <c r="N12516" s="5"/>
    </row>
    <row r="12517">
      <c r="N12517" s="5"/>
    </row>
    <row r="12518">
      <c r="N12518" s="5"/>
    </row>
    <row r="12519">
      <c r="N12519" s="5"/>
    </row>
    <row r="12520">
      <c r="N12520" s="5"/>
    </row>
    <row r="12521">
      <c r="N12521" s="5"/>
    </row>
    <row r="12522">
      <c r="N12522" s="5"/>
    </row>
    <row r="12523">
      <c r="N12523" s="5"/>
    </row>
    <row r="12524">
      <c r="N12524" s="5"/>
    </row>
    <row r="12525">
      <c r="N12525" s="5"/>
    </row>
    <row r="12526">
      <c r="N12526" s="5"/>
    </row>
    <row r="12527">
      <c r="N12527" s="5"/>
    </row>
    <row r="12528">
      <c r="N12528" s="5"/>
    </row>
    <row r="12529">
      <c r="N12529" s="5"/>
    </row>
    <row r="12530">
      <c r="N12530" s="5"/>
    </row>
    <row r="12531">
      <c r="N12531" s="5"/>
    </row>
    <row r="12532">
      <c r="N12532" s="5"/>
    </row>
    <row r="12533">
      <c r="N12533" s="5"/>
    </row>
    <row r="12534">
      <c r="N12534" s="5"/>
    </row>
    <row r="12535">
      <c r="N12535" s="5"/>
    </row>
    <row r="12536">
      <c r="N12536" s="5"/>
    </row>
    <row r="12537">
      <c r="N12537" s="5"/>
    </row>
    <row r="12538">
      <c r="N12538" s="5"/>
    </row>
    <row r="12539">
      <c r="N12539" s="5"/>
    </row>
    <row r="12540">
      <c r="N12540" s="5"/>
    </row>
    <row r="12541">
      <c r="N12541" s="5"/>
    </row>
    <row r="12542">
      <c r="N12542" s="5"/>
    </row>
    <row r="12543">
      <c r="N12543" s="5"/>
    </row>
    <row r="12544">
      <c r="N12544" s="5"/>
    </row>
    <row r="12545">
      <c r="N12545" s="5"/>
    </row>
    <row r="12546">
      <c r="N12546" s="5"/>
    </row>
    <row r="12547">
      <c r="N12547" s="5"/>
    </row>
    <row r="12548">
      <c r="N12548" s="5"/>
    </row>
    <row r="12549">
      <c r="N12549" s="5"/>
    </row>
    <row r="12550">
      <c r="N12550" s="5"/>
    </row>
    <row r="12551">
      <c r="N12551" s="5"/>
    </row>
    <row r="12552">
      <c r="N12552" s="5"/>
    </row>
    <row r="12553">
      <c r="N12553" s="5"/>
    </row>
    <row r="12554">
      <c r="N12554" s="5"/>
    </row>
    <row r="12555">
      <c r="N12555" s="5"/>
    </row>
    <row r="12556">
      <c r="N12556" s="5"/>
    </row>
    <row r="12557">
      <c r="N12557" s="5"/>
    </row>
    <row r="12558">
      <c r="N12558" s="5"/>
    </row>
    <row r="12559">
      <c r="N12559" s="5"/>
    </row>
    <row r="12560">
      <c r="N12560" s="5"/>
    </row>
    <row r="12561">
      <c r="N12561" s="5"/>
    </row>
    <row r="12562">
      <c r="N12562" s="5"/>
    </row>
    <row r="12563">
      <c r="N12563" s="5"/>
    </row>
    <row r="12564">
      <c r="N12564" s="5"/>
    </row>
    <row r="12565">
      <c r="N12565" s="5"/>
    </row>
    <row r="12566">
      <c r="N12566" s="5"/>
    </row>
    <row r="12567">
      <c r="N12567" s="5"/>
    </row>
    <row r="12568">
      <c r="N12568" s="5"/>
    </row>
    <row r="12569">
      <c r="N12569" s="5"/>
    </row>
    <row r="12570">
      <c r="N12570" s="5"/>
    </row>
    <row r="12571">
      <c r="N12571" s="5"/>
    </row>
    <row r="12572">
      <c r="N12572" s="5"/>
    </row>
    <row r="12573">
      <c r="N12573" s="5"/>
    </row>
    <row r="12574">
      <c r="N12574" s="5"/>
    </row>
    <row r="12575">
      <c r="N12575" s="5"/>
    </row>
    <row r="12576">
      <c r="N12576" s="5"/>
    </row>
    <row r="12577">
      <c r="N12577" s="5"/>
    </row>
    <row r="12578">
      <c r="N12578" s="5"/>
    </row>
    <row r="12579">
      <c r="N12579" s="5"/>
    </row>
    <row r="12580">
      <c r="N12580" s="5"/>
    </row>
    <row r="12581">
      <c r="N12581" s="5"/>
    </row>
    <row r="12582">
      <c r="N12582" s="5"/>
    </row>
    <row r="12583">
      <c r="N12583" s="5"/>
    </row>
    <row r="12584">
      <c r="N12584" s="5"/>
    </row>
    <row r="12585">
      <c r="N12585" s="5"/>
    </row>
    <row r="12586">
      <c r="N12586" s="5"/>
    </row>
    <row r="12587">
      <c r="N12587" s="5"/>
    </row>
    <row r="12588">
      <c r="N12588" s="5"/>
    </row>
    <row r="12589">
      <c r="N12589" s="5"/>
    </row>
    <row r="12590">
      <c r="N12590" s="5"/>
    </row>
    <row r="12591">
      <c r="N12591" s="5"/>
    </row>
    <row r="12592">
      <c r="N12592" s="5"/>
    </row>
    <row r="12593">
      <c r="N12593" s="5"/>
    </row>
    <row r="12594">
      <c r="N12594" s="5"/>
    </row>
    <row r="12595">
      <c r="N12595" s="5"/>
    </row>
    <row r="12596">
      <c r="N12596" s="5"/>
    </row>
    <row r="12597">
      <c r="N12597" s="5"/>
    </row>
    <row r="12598">
      <c r="N12598" s="5"/>
    </row>
    <row r="12599">
      <c r="N12599" s="5"/>
    </row>
    <row r="12600">
      <c r="N12600" s="5"/>
    </row>
    <row r="12601">
      <c r="N12601" s="5"/>
    </row>
    <row r="12602">
      <c r="N12602" s="5"/>
    </row>
    <row r="12603">
      <c r="N12603" s="5"/>
    </row>
    <row r="12604">
      <c r="N12604" s="5"/>
    </row>
    <row r="12605">
      <c r="N12605" s="5"/>
    </row>
    <row r="12606">
      <c r="N12606" s="5"/>
    </row>
    <row r="12607">
      <c r="N12607" s="5"/>
    </row>
    <row r="12608">
      <c r="N12608" s="5"/>
    </row>
    <row r="12609">
      <c r="N12609" s="5"/>
    </row>
    <row r="12610">
      <c r="N12610" s="5"/>
    </row>
  </sheetData>
  <autoFilter ref="$A$1:$Z$1261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21</v>
      </c>
      <c r="D2" s="1">
        <v>9.0</v>
      </c>
      <c r="E2" s="1">
        <v>2100.0</v>
      </c>
      <c r="F2" s="1">
        <v>1.2</v>
      </c>
      <c r="G2" s="1">
        <v>0.49</v>
      </c>
      <c r="H2" s="1" t="s">
        <v>19</v>
      </c>
      <c r="I2" s="4">
        <v>46230.68956018519</v>
      </c>
      <c r="J2" s="1" t="s">
        <v>24</v>
      </c>
      <c r="K2" s="1">
        <v>578000.0</v>
      </c>
      <c r="L2" s="1">
        <v>600.0</v>
      </c>
      <c r="M2" s="1">
        <v>700.0</v>
      </c>
      <c r="N2" s="5">
        <v>42445.0</v>
      </c>
      <c r="O2" s="1" t="s">
        <v>27</v>
      </c>
      <c r="P2" s="1" t="s">
        <v>29</v>
      </c>
      <c r="Q2" s="1" t="s">
        <v>30</v>
      </c>
      <c r="R2" s="1" t="s">
        <v>32</v>
      </c>
      <c r="S2" s="1" t="s">
        <v>34</v>
      </c>
    </row>
    <row r="3">
      <c r="A3" s="1">
        <v>2.0</v>
      </c>
      <c r="B3" s="1" t="s">
        <v>35</v>
      </c>
      <c r="C3" s="1" t="s">
        <v>21</v>
      </c>
      <c r="D3" s="1">
        <v>0.0</v>
      </c>
      <c r="E3" s="1">
        <v>150.0</v>
      </c>
      <c r="F3" s="1">
        <v>1.2</v>
      </c>
      <c r="H3" s="1" t="s">
        <v>39</v>
      </c>
      <c r="I3" s="4">
        <v>46214.59721064815</v>
      </c>
      <c r="J3" s="1" t="s">
        <v>40</v>
      </c>
      <c r="K3" s="1">
        <v>14000.0</v>
      </c>
      <c r="L3" s="1">
        <v>10.0</v>
      </c>
      <c r="M3" s="1">
        <v>10.0</v>
      </c>
      <c r="N3" s="5">
        <v>42421.0</v>
      </c>
      <c r="O3" s="1" t="s">
        <v>27</v>
      </c>
      <c r="P3" s="1" t="s">
        <v>29</v>
      </c>
      <c r="Q3" s="1" t="s">
        <v>44</v>
      </c>
      <c r="S3" s="1" t="s">
        <v>46</v>
      </c>
    </row>
    <row r="4">
      <c r="A4" s="1">
        <v>3.0</v>
      </c>
      <c r="B4" s="1" t="s">
        <v>47</v>
      </c>
      <c r="C4" s="1" t="s">
        <v>21</v>
      </c>
      <c r="D4" s="1">
        <v>13.0</v>
      </c>
      <c r="E4" s="1">
        <v>150.0</v>
      </c>
      <c r="F4" s="1">
        <v>1.6</v>
      </c>
      <c r="H4" s="1" t="s">
        <v>19</v>
      </c>
      <c r="I4" s="4">
        <v>46223.86341435185</v>
      </c>
      <c r="J4" s="1" t="s">
        <v>50</v>
      </c>
      <c r="K4" s="1">
        <v>101000.0</v>
      </c>
      <c r="L4" s="1">
        <v>80.0</v>
      </c>
      <c r="M4" s="1">
        <v>80.0</v>
      </c>
      <c r="N4" s="5">
        <v>43576.0</v>
      </c>
      <c r="O4" s="1" t="s">
        <v>27</v>
      </c>
      <c r="P4" s="1" t="s">
        <v>29</v>
      </c>
      <c r="Q4" s="1" t="s">
        <v>54</v>
      </c>
      <c r="S4" s="1" t="s">
        <v>46</v>
      </c>
    </row>
    <row r="5">
      <c r="A5" s="1">
        <v>4.0</v>
      </c>
      <c r="B5" s="1" t="s">
        <v>52</v>
      </c>
      <c r="C5" s="1" t="s">
        <v>21</v>
      </c>
      <c r="D5" s="1">
        <v>0.0</v>
      </c>
      <c r="E5" s="1">
        <v>90.0</v>
      </c>
      <c r="I5" s="4">
        <v>46237.517175925925</v>
      </c>
      <c r="K5" s="1">
        <v>90.0</v>
      </c>
      <c r="N5" s="5">
        <v>45087.0</v>
      </c>
      <c r="Q5" s="1" t="s">
        <v>55</v>
      </c>
    </row>
    <row r="6">
      <c r="A6" s="1">
        <v>5.0</v>
      </c>
      <c r="B6" s="1" t="s">
        <v>60</v>
      </c>
      <c r="C6" s="1" t="s">
        <v>21</v>
      </c>
      <c r="E6" s="1">
        <v>90.0</v>
      </c>
      <c r="F6" s="1">
        <v>1.3</v>
      </c>
      <c r="I6" s="4"/>
      <c r="K6" s="1">
        <v>8500.0</v>
      </c>
      <c r="N6" s="5">
        <v>42492.0</v>
      </c>
      <c r="O6" s="1" t="s">
        <v>64</v>
      </c>
      <c r="P6" s="1" t="s">
        <v>29</v>
      </c>
      <c r="Q6" s="1" t="s">
        <v>66</v>
      </c>
      <c r="S6" s="1" t="s">
        <v>46</v>
      </c>
    </row>
    <row r="7">
      <c r="A7" s="1">
        <v>6.0</v>
      </c>
      <c r="B7" s="1" t="s">
        <v>69</v>
      </c>
      <c r="C7" s="1" t="s">
        <v>21</v>
      </c>
      <c r="D7" s="1">
        <v>0.0</v>
      </c>
      <c r="E7" s="1">
        <v>80.0</v>
      </c>
      <c r="F7" s="1">
        <v>0.6</v>
      </c>
      <c r="H7" s="1" t="s">
        <v>69</v>
      </c>
      <c r="I7" s="4">
        <v>46230.61384259259</v>
      </c>
      <c r="J7" s="1" t="s">
        <v>40</v>
      </c>
      <c r="K7" s="1">
        <v>4700.0</v>
      </c>
      <c r="L7" s="1">
        <v>20.0</v>
      </c>
      <c r="M7" s="1">
        <v>20.0</v>
      </c>
      <c r="N7" s="5">
        <v>43889.0</v>
      </c>
      <c r="O7" s="1" t="s">
        <v>64</v>
      </c>
      <c r="P7" s="1" t="s">
        <v>29</v>
      </c>
      <c r="Q7" s="1" t="s">
        <v>73</v>
      </c>
      <c r="S7" s="1" t="s">
        <v>34</v>
      </c>
    </row>
    <row r="8">
      <c r="A8" s="1">
        <v>7.0</v>
      </c>
      <c r="B8" s="1" t="s">
        <v>75</v>
      </c>
      <c r="C8" s="1" t="s">
        <v>21</v>
      </c>
      <c r="D8" s="1">
        <v>13.0</v>
      </c>
      <c r="E8" s="1">
        <v>70.0</v>
      </c>
      <c r="F8" s="1">
        <v>1.0</v>
      </c>
      <c r="H8" s="1" t="s">
        <v>76</v>
      </c>
      <c r="I8" s="4">
        <v>46228.50609953704</v>
      </c>
      <c r="J8" s="1" t="s">
        <v>40</v>
      </c>
      <c r="K8" s="1">
        <v>3900.0</v>
      </c>
      <c r="L8" s="1">
        <v>11000.0</v>
      </c>
      <c r="M8" s="1">
        <v>11000.0</v>
      </c>
      <c r="N8" s="5">
        <v>42718.0</v>
      </c>
      <c r="O8" s="1" t="s">
        <v>65</v>
      </c>
      <c r="P8" s="1" t="s">
        <v>29</v>
      </c>
      <c r="Q8" s="1" t="s">
        <v>79</v>
      </c>
      <c r="S8" s="1" t="s">
        <v>34</v>
      </c>
    </row>
    <row r="9">
      <c r="A9" s="1">
        <v>8.0</v>
      </c>
      <c r="B9" s="1" t="s">
        <v>82</v>
      </c>
      <c r="C9" s="1" t="s">
        <v>21</v>
      </c>
      <c r="E9" s="1">
        <v>70.0</v>
      </c>
      <c r="F9" s="1">
        <v>0.9</v>
      </c>
      <c r="I9" s="4"/>
      <c r="K9" s="1">
        <v>1600.0</v>
      </c>
      <c r="N9" s="5">
        <v>43520.0</v>
      </c>
      <c r="Q9" s="1" t="s">
        <v>85</v>
      </c>
    </row>
    <row r="10">
      <c r="A10" s="1">
        <v>9.0</v>
      </c>
      <c r="B10" s="1" t="s">
        <v>87</v>
      </c>
      <c r="C10" s="1" t="s">
        <v>21</v>
      </c>
      <c r="D10" s="1">
        <v>0.0</v>
      </c>
      <c r="E10" s="1">
        <v>70.0</v>
      </c>
      <c r="H10" s="1" t="s">
        <v>71</v>
      </c>
      <c r="I10" s="4">
        <v>46237.50077546296</v>
      </c>
      <c r="K10" s="1">
        <v>1600.0</v>
      </c>
      <c r="N10" s="5">
        <v>43854.0</v>
      </c>
      <c r="Q10" s="1" t="s">
        <v>90</v>
      </c>
    </row>
    <row r="11">
      <c r="A11" s="1">
        <v>10.0</v>
      </c>
      <c r="B11" s="1" t="s">
        <v>92</v>
      </c>
      <c r="C11" s="1" t="s">
        <v>21</v>
      </c>
      <c r="E11" s="1">
        <v>60.0</v>
      </c>
      <c r="I11" s="4"/>
      <c r="K11" s="1">
        <v>150.0</v>
      </c>
      <c r="N11" s="5">
        <v>44540.0</v>
      </c>
      <c r="Q11" s="1" t="s">
        <v>94</v>
      </c>
    </row>
    <row r="12">
      <c r="A12" s="1">
        <v>11.0</v>
      </c>
      <c r="B12" s="1" t="s">
        <v>95</v>
      </c>
      <c r="C12" s="1" t="s">
        <v>21</v>
      </c>
      <c r="D12" s="1">
        <v>39.0</v>
      </c>
      <c r="E12" s="1">
        <v>60.0</v>
      </c>
      <c r="F12" s="1">
        <v>1.1</v>
      </c>
      <c r="H12" s="1" t="s">
        <v>71</v>
      </c>
      <c r="I12" s="4">
        <v>46233.667037037034</v>
      </c>
      <c r="K12" s="1">
        <v>2400.0</v>
      </c>
      <c r="N12" s="5">
        <v>43889.0</v>
      </c>
      <c r="Q12" s="1" t="s">
        <v>97</v>
      </c>
    </row>
    <row r="13">
      <c r="A13" s="1">
        <v>12.0</v>
      </c>
      <c r="B13" s="1" t="s">
        <v>98</v>
      </c>
      <c r="C13" s="1" t="s">
        <v>21</v>
      </c>
      <c r="D13" s="1">
        <v>0.0</v>
      </c>
      <c r="E13" s="1">
        <v>50.0</v>
      </c>
      <c r="F13" s="1">
        <v>0.5</v>
      </c>
      <c r="H13" s="1" t="s">
        <v>19</v>
      </c>
      <c r="I13" s="4">
        <v>46228.16259259259</v>
      </c>
      <c r="J13" s="1" t="s">
        <v>40</v>
      </c>
      <c r="K13" s="1">
        <v>3200.0</v>
      </c>
      <c r="L13" s="1">
        <v>600.0</v>
      </c>
      <c r="M13" s="1">
        <v>700.0</v>
      </c>
      <c r="N13" s="5">
        <v>42675.0</v>
      </c>
      <c r="O13" s="1" t="s">
        <v>64</v>
      </c>
      <c r="P13" s="1" t="s">
        <v>29</v>
      </c>
      <c r="Q13" s="1" t="s">
        <v>100</v>
      </c>
      <c r="S13" s="1" t="s">
        <v>46</v>
      </c>
    </row>
    <row r="14">
      <c r="A14" s="1">
        <v>13.0</v>
      </c>
      <c r="B14" s="1" t="s">
        <v>101</v>
      </c>
      <c r="C14" s="1" t="s">
        <v>21</v>
      </c>
      <c r="E14" s="1">
        <v>40.0</v>
      </c>
      <c r="F14" s="1">
        <v>0.5</v>
      </c>
      <c r="I14" s="4"/>
      <c r="K14" s="1">
        <v>1500.0</v>
      </c>
      <c r="N14" s="5">
        <v>43877.0</v>
      </c>
      <c r="O14" s="1" t="s">
        <v>27</v>
      </c>
      <c r="P14" s="1" t="s">
        <v>29</v>
      </c>
      <c r="Q14" s="1" t="s">
        <v>102</v>
      </c>
      <c r="S14" s="1" t="s">
        <v>46</v>
      </c>
    </row>
    <row r="15">
      <c r="A15" s="1">
        <v>14.0</v>
      </c>
      <c r="B15" s="1" t="s">
        <v>104</v>
      </c>
      <c r="C15" s="1" t="s">
        <v>21</v>
      </c>
      <c r="E15" s="1">
        <v>30.0</v>
      </c>
      <c r="F15" s="1">
        <v>0.8</v>
      </c>
      <c r="I15" s="4"/>
      <c r="K15" s="1">
        <v>10000.0</v>
      </c>
      <c r="N15" s="5">
        <v>42796.0</v>
      </c>
      <c r="Q15" s="1" t="s">
        <v>106</v>
      </c>
    </row>
    <row r="16">
      <c r="A16" s="1">
        <v>15.0</v>
      </c>
      <c r="B16" s="1" t="s">
        <v>107</v>
      </c>
      <c r="C16" s="1" t="s">
        <v>21</v>
      </c>
      <c r="E16" s="1">
        <v>30.0</v>
      </c>
      <c r="F16" s="1">
        <v>0.45</v>
      </c>
      <c r="I16" s="4"/>
      <c r="K16" s="1">
        <v>2100.0</v>
      </c>
      <c r="N16" s="5">
        <v>43988.0</v>
      </c>
      <c r="Q16" s="1" t="s">
        <v>109</v>
      </c>
    </row>
    <row r="17">
      <c r="A17" s="1">
        <v>16.0</v>
      </c>
      <c r="B17" s="1" t="s">
        <v>111</v>
      </c>
      <c r="C17" s="1" t="s">
        <v>21</v>
      </c>
      <c r="E17" s="1">
        <v>30.0</v>
      </c>
      <c r="I17" s="4"/>
      <c r="K17" s="1">
        <v>150.0</v>
      </c>
      <c r="N17" s="5">
        <v>44339.0</v>
      </c>
      <c r="Q17" s="1" t="s">
        <v>114</v>
      </c>
    </row>
    <row r="18">
      <c r="A18" s="1">
        <v>17.0</v>
      </c>
      <c r="B18" s="1" t="s">
        <v>115</v>
      </c>
      <c r="C18" s="1" t="s">
        <v>21</v>
      </c>
      <c r="E18" s="1">
        <v>20.0</v>
      </c>
      <c r="I18" s="4"/>
      <c r="K18" s="1">
        <v>20.0</v>
      </c>
      <c r="N18" s="5">
        <v>45993.0</v>
      </c>
      <c r="Q18" s="1" t="s">
        <v>117</v>
      </c>
    </row>
    <row r="19">
      <c r="A19" s="1">
        <v>18.0</v>
      </c>
      <c r="B19" s="1" t="s">
        <v>119</v>
      </c>
      <c r="C19" s="1" t="s">
        <v>21</v>
      </c>
      <c r="E19" s="1">
        <v>20.0</v>
      </c>
      <c r="I19" s="4"/>
      <c r="K19" s="1">
        <v>400.0</v>
      </c>
      <c r="N19" s="5">
        <v>44047.0</v>
      </c>
      <c r="Q19" s="1" t="s">
        <v>121</v>
      </c>
    </row>
    <row r="20">
      <c r="A20" s="1">
        <v>19.0</v>
      </c>
      <c r="B20" s="1" t="s">
        <v>122</v>
      </c>
      <c r="C20" s="1" t="s">
        <v>21</v>
      </c>
      <c r="E20" s="1">
        <v>20.0</v>
      </c>
      <c r="I20" s="4"/>
      <c r="K20" s="1">
        <v>150.0</v>
      </c>
      <c r="N20" s="5">
        <v>45433.0</v>
      </c>
      <c r="Q20" s="1" t="s">
        <v>124</v>
      </c>
    </row>
    <row r="21">
      <c r="A21" s="1">
        <v>20.0</v>
      </c>
      <c r="B21" s="1" t="s">
        <v>125</v>
      </c>
      <c r="C21" s="1" t="s">
        <v>21</v>
      </c>
      <c r="E21" s="1">
        <v>20.0</v>
      </c>
      <c r="I21" s="4"/>
      <c r="K21" s="1">
        <v>250.0</v>
      </c>
      <c r="N21" s="5">
        <v>44350.0</v>
      </c>
      <c r="Q21" s="1" t="s">
        <v>127</v>
      </c>
    </row>
    <row r="22">
      <c r="A22" s="1">
        <v>21.0</v>
      </c>
      <c r="B22" s="1" t="s">
        <v>128</v>
      </c>
      <c r="C22" s="1" t="s">
        <v>21</v>
      </c>
      <c r="E22" s="1">
        <v>20.0</v>
      </c>
      <c r="I22" s="4"/>
      <c r="K22" s="1">
        <v>70.0</v>
      </c>
      <c r="N22" s="5">
        <v>44673.0</v>
      </c>
      <c r="Q22" s="1" t="s">
        <v>130</v>
      </c>
    </row>
    <row r="23">
      <c r="A23" s="1">
        <v>22.0</v>
      </c>
      <c r="B23" s="1" t="s">
        <v>131</v>
      </c>
      <c r="C23" s="1" t="s">
        <v>21</v>
      </c>
      <c r="E23" s="1">
        <v>20.0</v>
      </c>
      <c r="I23" s="4"/>
      <c r="K23" s="1">
        <v>6000.0</v>
      </c>
      <c r="N23" s="5">
        <v>43478.0</v>
      </c>
      <c r="O23" s="1" t="s">
        <v>64</v>
      </c>
      <c r="P23" s="1" t="s">
        <v>29</v>
      </c>
      <c r="Q23" s="1" t="s">
        <v>134</v>
      </c>
      <c r="S23" s="1" t="s">
        <v>46</v>
      </c>
    </row>
    <row r="24">
      <c r="A24" s="1">
        <v>23.0</v>
      </c>
      <c r="B24" s="1" t="s">
        <v>136</v>
      </c>
      <c r="C24" s="1" t="s">
        <v>21</v>
      </c>
      <c r="E24" s="1">
        <v>20.0</v>
      </c>
      <c r="I24" s="4"/>
      <c r="K24" s="1">
        <v>200.0</v>
      </c>
      <c r="N24" s="5">
        <v>44587.0</v>
      </c>
      <c r="Q24" s="1" t="s">
        <v>138</v>
      </c>
    </row>
    <row r="25">
      <c r="A25" s="1">
        <v>24.0</v>
      </c>
      <c r="B25" s="1" t="s">
        <v>139</v>
      </c>
      <c r="C25" s="1" t="s">
        <v>21</v>
      </c>
      <c r="E25" s="1">
        <v>20.0</v>
      </c>
      <c r="I25" s="4"/>
      <c r="K25" s="1">
        <v>60.0</v>
      </c>
      <c r="N25" s="5">
        <v>43854.0</v>
      </c>
      <c r="Q25" s="1" t="s">
        <v>141</v>
      </c>
    </row>
    <row r="26">
      <c r="A26" s="1">
        <v>25.0</v>
      </c>
      <c r="B26" s="1" t="s">
        <v>142</v>
      </c>
      <c r="C26" s="1" t="s">
        <v>21</v>
      </c>
      <c r="E26" s="1">
        <v>20.0</v>
      </c>
      <c r="I26" s="4"/>
      <c r="K26" s="1">
        <v>150.0</v>
      </c>
      <c r="N26" s="5">
        <v>44585.0</v>
      </c>
      <c r="Q26" s="1" t="s">
        <v>144</v>
      </c>
    </row>
    <row r="27">
      <c r="A27" s="1">
        <v>26.0</v>
      </c>
      <c r="B27" s="1" t="s">
        <v>57</v>
      </c>
      <c r="C27" s="1" t="s">
        <v>21</v>
      </c>
      <c r="D27" s="1">
        <v>0.0</v>
      </c>
      <c r="E27" s="1">
        <v>20.0</v>
      </c>
      <c r="F27" s="1">
        <v>0.5</v>
      </c>
      <c r="H27" s="1" t="s">
        <v>59</v>
      </c>
      <c r="I27" s="4">
        <v>46224.46396990741</v>
      </c>
      <c r="J27" s="1" t="s">
        <v>62</v>
      </c>
      <c r="K27" s="1">
        <v>500.0</v>
      </c>
      <c r="L27" s="1">
        <v>20.0</v>
      </c>
      <c r="M27" s="1">
        <v>20.0</v>
      </c>
      <c r="N27" s="5">
        <v>44244.0</v>
      </c>
      <c r="O27" s="1" t="s">
        <v>65</v>
      </c>
      <c r="P27" s="1" t="s">
        <v>29</v>
      </c>
      <c r="Q27" s="1" t="s">
        <v>67</v>
      </c>
      <c r="S27" s="1" t="s">
        <v>46</v>
      </c>
    </row>
    <row r="28">
      <c r="A28" s="1">
        <v>27.0</v>
      </c>
      <c r="B28" s="1" t="s">
        <v>148</v>
      </c>
      <c r="C28" s="1" t="s">
        <v>21</v>
      </c>
      <c r="E28" s="1">
        <v>20.0</v>
      </c>
      <c r="I28" s="4"/>
      <c r="K28" s="1">
        <v>40.0</v>
      </c>
      <c r="N28" s="5">
        <v>45211.0</v>
      </c>
      <c r="Q28" s="1" t="s">
        <v>150</v>
      </c>
    </row>
    <row r="29">
      <c r="A29" s="1">
        <v>28.0</v>
      </c>
      <c r="B29" s="1" t="s">
        <v>151</v>
      </c>
      <c r="C29" s="1" t="s">
        <v>21</v>
      </c>
      <c r="E29" s="1">
        <v>20.0</v>
      </c>
      <c r="I29" s="4"/>
      <c r="K29" s="1">
        <v>600.0</v>
      </c>
      <c r="N29" s="5">
        <v>43867.0</v>
      </c>
      <c r="Q29" s="1" t="s">
        <v>154</v>
      </c>
    </row>
    <row r="30">
      <c r="A30" s="1">
        <v>29.0</v>
      </c>
      <c r="B30" s="1" t="s">
        <v>155</v>
      </c>
      <c r="C30" s="1" t="s">
        <v>21</v>
      </c>
      <c r="E30" s="1">
        <v>20.0</v>
      </c>
      <c r="I30" s="4"/>
      <c r="K30" s="1">
        <v>900.0</v>
      </c>
      <c r="N30" s="5">
        <v>44203.0</v>
      </c>
      <c r="Q30" s="1" t="s">
        <v>157</v>
      </c>
    </row>
    <row r="31">
      <c r="A31" s="1">
        <v>30.0</v>
      </c>
      <c r="B31" s="1" t="s">
        <v>158</v>
      </c>
      <c r="C31" s="1" t="s">
        <v>21</v>
      </c>
      <c r="E31" s="1">
        <v>20.0</v>
      </c>
      <c r="I31" s="4"/>
      <c r="K31" s="1">
        <v>70.0</v>
      </c>
      <c r="N31" s="5">
        <v>45195.0</v>
      </c>
      <c r="Q31" s="1" t="s">
        <v>159</v>
      </c>
    </row>
    <row r="32">
      <c r="A32" s="1">
        <v>31.0</v>
      </c>
      <c r="B32" s="1" t="s">
        <v>161</v>
      </c>
      <c r="C32" s="1" t="s">
        <v>21</v>
      </c>
      <c r="E32" s="1">
        <v>20.0</v>
      </c>
      <c r="I32" s="4"/>
      <c r="K32" s="1">
        <v>150.0</v>
      </c>
      <c r="N32" s="5">
        <v>44203.0</v>
      </c>
      <c r="Q32" s="1" t="s">
        <v>163</v>
      </c>
    </row>
    <row r="33">
      <c r="A33" s="1">
        <v>32.0</v>
      </c>
      <c r="B33" s="1" t="s">
        <v>164</v>
      </c>
      <c r="C33" s="1" t="s">
        <v>21</v>
      </c>
      <c r="D33" s="1">
        <v>0.0</v>
      </c>
      <c r="E33" s="1">
        <v>20.0</v>
      </c>
      <c r="F33" s="1">
        <v>0.02</v>
      </c>
      <c r="H33" s="1" t="s">
        <v>166</v>
      </c>
      <c r="I33" s="4">
        <v>46206.35839120371</v>
      </c>
      <c r="K33" s="1">
        <v>2200.0</v>
      </c>
      <c r="L33" s="1">
        <v>0.0</v>
      </c>
      <c r="M33" s="1">
        <v>0.0</v>
      </c>
      <c r="N33" s="5">
        <v>43840.0</v>
      </c>
      <c r="O33" s="1" t="s">
        <v>168</v>
      </c>
      <c r="P33" s="1" t="s">
        <v>29</v>
      </c>
      <c r="Q33" s="1" t="s">
        <v>169</v>
      </c>
      <c r="S33" s="1" t="s">
        <v>170</v>
      </c>
    </row>
    <row r="34">
      <c r="A34" s="1">
        <v>33.0</v>
      </c>
      <c r="B34" s="1" t="s">
        <v>172</v>
      </c>
      <c r="C34" s="1" t="s">
        <v>21</v>
      </c>
      <c r="E34" s="1">
        <v>20.0</v>
      </c>
      <c r="I34" s="4"/>
      <c r="K34" s="1">
        <v>60.0</v>
      </c>
      <c r="N34" s="5">
        <v>44893.0</v>
      </c>
      <c r="Q34" s="1" t="s">
        <v>174</v>
      </c>
    </row>
    <row r="35">
      <c r="A35" s="1">
        <v>34.0</v>
      </c>
      <c r="B35" s="1" t="s">
        <v>175</v>
      </c>
      <c r="C35" s="1" t="s">
        <v>21</v>
      </c>
      <c r="E35" s="1">
        <v>20.0</v>
      </c>
      <c r="I35" s="4"/>
      <c r="K35" s="1">
        <v>1900.0</v>
      </c>
      <c r="N35" s="5">
        <v>42625.0</v>
      </c>
      <c r="Q35" s="1" t="s">
        <v>177</v>
      </c>
    </row>
    <row r="36">
      <c r="A36" s="1">
        <v>35.0</v>
      </c>
      <c r="B36" s="1" t="s">
        <v>178</v>
      </c>
      <c r="C36" s="1" t="s">
        <v>21</v>
      </c>
      <c r="E36" s="1">
        <v>20.0</v>
      </c>
      <c r="I36" s="4"/>
      <c r="K36" s="1">
        <v>60.0</v>
      </c>
      <c r="N36" s="5">
        <v>44374.0</v>
      </c>
      <c r="Q36" s="1" t="s">
        <v>180</v>
      </c>
    </row>
    <row r="37">
      <c r="A37" s="1">
        <v>36.0</v>
      </c>
      <c r="B37" s="1" t="s">
        <v>181</v>
      </c>
      <c r="C37" s="1" t="s">
        <v>21</v>
      </c>
      <c r="E37" s="1">
        <v>20.0</v>
      </c>
      <c r="I37" s="4"/>
      <c r="K37" s="1">
        <v>50.0</v>
      </c>
      <c r="N37" s="5">
        <v>44929.0</v>
      </c>
      <c r="Q37" s="1" t="s">
        <v>184</v>
      </c>
    </row>
    <row r="38">
      <c r="A38" s="1">
        <v>37.0</v>
      </c>
      <c r="B38" s="1" t="s">
        <v>185</v>
      </c>
      <c r="C38" s="1" t="s">
        <v>21</v>
      </c>
      <c r="E38" s="1">
        <v>20.0</v>
      </c>
      <c r="F38" s="1">
        <v>0.3</v>
      </c>
      <c r="I38" s="4"/>
      <c r="K38" s="1">
        <v>900.0</v>
      </c>
      <c r="N38" s="5">
        <v>43141.0</v>
      </c>
      <c r="Q38" s="1" t="s">
        <v>187</v>
      </c>
    </row>
    <row r="39">
      <c r="A39" s="1">
        <v>38.0</v>
      </c>
      <c r="B39" s="1" t="s">
        <v>188</v>
      </c>
      <c r="C39" s="1" t="s">
        <v>21</v>
      </c>
      <c r="E39" s="1">
        <v>20.0</v>
      </c>
      <c r="I39" s="4"/>
      <c r="K39" s="1">
        <v>90.0</v>
      </c>
      <c r="N39" s="5">
        <v>44195.0</v>
      </c>
      <c r="Q39" s="1" t="s">
        <v>190</v>
      </c>
    </row>
    <row r="40">
      <c r="A40" s="1">
        <v>39.0</v>
      </c>
      <c r="B40" s="1" t="s">
        <v>192</v>
      </c>
      <c r="C40" s="1" t="s">
        <v>21</v>
      </c>
      <c r="E40" s="1">
        <v>20.0</v>
      </c>
      <c r="I40" s="4"/>
      <c r="K40" s="1">
        <v>40.0</v>
      </c>
      <c r="N40" s="5">
        <v>45840.0</v>
      </c>
      <c r="Q40" s="1" t="s">
        <v>194</v>
      </c>
    </row>
    <row r="41">
      <c r="A41" s="1">
        <v>40.0</v>
      </c>
      <c r="B41" s="1" t="s">
        <v>196</v>
      </c>
      <c r="C41" s="1" t="s">
        <v>21</v>
      </c>
      <c r="E41" s="1">
        <v>20.0</v>
      </c>
      <c r="I41" s="4"/>
      <c r="K41" s="1">
        <v>100.0</v>
      </c>
      <c r="N41" s="5">
        <v>45428.0</v>
      </c>
      <c r="Q41" s="1" t="s">
        <v>197</v>
      </c>
    </row>
    <row r="42">
      <c r="A42" s="1">
        <v>41.0</v>
      </c>
      <c r="B42" s="1" t="s">
        <v>198</v>
      </c>
      <c r="C42" s="1" t="s">
        <v>21</v>
      </c>
      <c r="E42" s="1">
        <v>20.0</v>
      </c>
      <c r="K42" s="1">
        <v>500.0</v>
      </c>
      <c r="N42" s="5">
        <v>44109.0</v>
      </c>
      <c r="Q42" s="1" t="s">
        <v>199</v>
      </c>
    </row>
    <row r="43">
      <c r="A43" s="1">
        <v>42.0</v>
      </c>
      <c r="B43" s="1" t="s">
        <v>200</v>
      </c>
      <c r="C43" s="1" t="s">
        <v>21</v>
      </c>
      <c r="E43" s="1">
        <v>20.0</v>
      </c>
      <c r="I43" s="4"/>
      <c r="K43" s="1">
        <v>150.0</v>
      </c>
      <c r="N43" s="5">
        <v>44339.0</v>
      </c>
      <c r="Q43" s="1" t="s">
        <v>202</v>
      </c>
    </row>
    <row r="44">
      <c r="A44" s="1">
        <v>43.0</v>
      </c>
      <c r="B44" s="1" t="s">
        <v>203</v>
      </c>
      <c r="C44" s="1" t="s">
        <v>21</v>
      </c>
      <c r="E44" s="1">
        <v>20.0</v>
      </c>
      <c r="K44" s="1">
        <v>150.0</v>
      </c>
      <c r="N44" s="5">
        <v>45083.0</v>
      </c>
      <c r="Q44" s="1" t="s">
        <v>205</v>
      </c>
    </row>
    <row r="45">
      <c r="A45" s="1">
        <v>44.0</v>
      </c>
      <c r="B45" s="1" t="s">
        <v>206</v>
      </c>
      <c r="C45" s="1" t="s">
        <v>21</v>
      </c>
      <c r="E45" s="1">
        <v>20.0</v>
      </c>
      <c r="I45" s="4"/>
      <c r="K45" s="1">
        <v>80.0</v>
      </c>
      <c r="N45" s="5">
        <v>44251.0</v>
      </c>
      <c r="Q45" s="1" t="s">
        <v>208</v>
      </c>
    </row>
    <row r="46">
      <c r="A46" s="1">
        <v>45.0</v>
      </c>
      <c r="B46" s="1" t="s">
        <v>209</v>
      </c>
      <c r="C46" s="1" t="s">
        <v>21</v>
      </c>
      <c r="E46" s="1">
        <v>20.0</v>
      </c>
      <c r="I46" s="4"/>
      <c r="K46" s="1">
        <v>500.0</v>
      </c>
      <c r="N46" s="5">
        <v>43873.0</v>
      </c>
      <c r="Q46" s="1" t="s">
        <v>211</v>
      </c>
    </row>
    <row r="47">
      <c r="A47" s="1">
        <v>46.0</v>
      </c>
      <c r="B47" s="1" t="s">
        <v>213</v>
      </c>
      <c r="C47" s="1" t="s">
        <v>21</v>
      </c>
      <c r="E47" s="1">
        <v>10.0</v>
      </c>
      <c r="I47" s="4"/>
      <c r="K47" s="1">
        <v>250.0</v>
      </c>
      <c r="N47" s="5">
        <v>43880.0</v>
      </c>
      <c r="Q47" s="1" t="s">
        <v>214</v>
      </c>
    </row>
    <row r="48">
      <c r="A48" s="1">
        <v>47.0</v>
      </c>
      <c r="B48" s="1" t="s">
        <v>216</v>
      </c>
      <c r="C48" s="1" t="s">
        <v>21</v>
      </c>
      <c r="E48" s="1">
        <v>10.0</v>
      </c>
      <c r="I48" s="4"/>
      <c r="K48" s="1">
        <v>1200.0</v>
      </c>
      <c r="N48" s="5">
        <v>43981.0</v>
      </c>
      <c r="Q48" s="1" t="s">
        <v>218</v>
      </c>
    </row>
    <row r="49">
      <c r="A49" s="1">
        <v>48.0</v>
      </c>
      <c r="B49" s="1" t="s">
        <v>219</v>
      </c>
      <c r="C49" s="1" t="s">
        <v>21</v>
      </c>
      <c r="E49" s="1">
        <v>10.0</v>
      </c>
      <c r="I49" s="4"/>
      <c r="K49" s="1">
        <v>30.0</v>
      </c>
      <c r="N49" s="5">
        <v>44079.0</v>
      </c>
      <c r="Q49" s="1" t="s">
        <v>221</v>
      </c>
    </row>
    <row r="50">
      <c r="A50" s="1">
        <v>49.0</v>
      </c>
      <c r="B50" s="1" t="s">
        <v>222</v>
      </c>
      <c r="C50" s="1" t="s">
        <v>21</v>
      </c>
      <c r="E50" s="1">
        <v>10.0</v>
      </c>
      <c r="I50" s="4"/>
      <c r="K50" s="1">
        <v>40000.0</v>
      </c>
      <c r="N50" s="5">
        <v>43819.0</v>
      </c>
      <c r="Q50" s="1" t="s">
        <v>224</v>
      </c>
    </row>
    <row r="51">
      <c r="A51" s="1">
        <v>50.0</v>
      </c>
      <c r="B51" s="1" t="s">
        <v>225</v>
      </c>
      <c r="C51" s="1" t="s">
        <v>21</v>
      </c>
      <c r="E51" s="1">
        <v>10.0</v>
      </c>
      <c r="F51" s="1">
        <v>0.7</v>
      </c>
      <c r="I51" s="4"/>
      <c r="K51" s="1">
        <v>800.0</v>
      </c>
      <c r="N51" s="5">
        <v>43662.0</v>
      </c>
      <c r="Q51" s="1" t="s">
        <v>227</v>
      </c>
    </row>
    <row r="52">
      <c r="A52" s="1">
        <v>51.0</v>
      </c>
      <c r="B52" s="1" t="s">
        <v>229</v>
      </c>
      <c r="C52" s="1" t="s">
        <v>21</v>
      </c>
      <c r="E52" s="1">
        <v>10.0</v>
      </c>
      <c r="I52" s="4"/>
      <c r="K52" s="1">
        <v>700.0</v>
      </c>
      <c r="N52" s="5">
        <v>43895.0</v>
      </c>
      <c r="Q52" s="1" t="s">
        <v>231</v>
      </c>
    </row>
    <row r="53">
      <c r="A53" s="1">
        <v>52.0</v>
      </c>
      <c r="B53" s="1" t="s">
        <v>232</v>
      </c>
      <c r="C53" s="1" t="s">
        <v>21</v>
      </c>
      <c r="E53" s="1">
        <v>10.0</v>
      </c>
      <c r="K53" s="1">
        <v>300.0</v>
      </c>
      <c r="N53" s="5">
        <v>45479.0</v>
      </c>
      <c r="Q53" s="1" t="s">
        <v>234</v>
      </c>
    </row>
    <row r="54">
      <c r="A54" s="1">
        <v>53.0</v>
      </c>
      <c r="B54" s="1" t="s">
        <v>235</v>
      </c>
      <c r="C54" s="1" t="s">
        <v>21</v>
      </c>
      <c r="E54" s="1">
        <v>10.0</v>
      </c>
      <c r="K54" s="1">
        <v>200.0</v>
      </c>
      <c r="N54" s="5">
        <v>42952.0</v>
      </c>
      <c r="Q54" s="1" t="s">
        <v>237</v>
      </c>
    </row>
    <row r="55">
      <c r="A55" s="1">
        <v>54.0</v>
      </c>
      <c r="B55" s="1" t="s">
        <v>238</v>
      </c>
      <c r="C55" s="1" t="s">
        <v>21</v>
      </c>
      <c r="E55" s="1">
        <v>10.0</v>
      </c>
      <c r="I55" s="4"/>
      <c r="K55" s="1">
        <v>600.0</v>
      </c>
      <c r="N55" s="5">
        <v>44136.0</v>
      </c>
      <c r="Q55" s="1" t="s">
        <v>240</v>
      </c>
    </row>
    <row r="56">
      <c r="A56" s="1">
        <v>55.0</v>
      </c>
      <c r="B56" s="1" t="s">
        <v>241</v>
      </c>
      <c r="C56" s="1" t="s">
        <v>21</v>
      </c>
      <c r="E56" s="1">
        <v>10.0</v>
      </c>
      <c r="F56" s="1">
        <v>0.3</v>
      </c>
      <c r="I56" s="4"/>
      <c r="K56" s="1">
        <v>500.0</v>
      </c>
      <c r="N56" s="5">
        <v>43594.0</v>
      </c>
      <c r="Q56" s="1" t="s">
        <v>243</v>
      </c>
    </row>
    <row r="57">
      <c r="A57" s="1">
        <v>56.0</v>
      </c>
      <c r="B57" s="1" t="s">
        <v>244</v>
      </c>
      <c r="C57" s="1" t="s">
        <v>21</v>
      </c>
      <c r="E57" s="1">
        <v>10.0</v>
      </c>
      <c r="F57" s="1">
        <v>0.7</v>
      </c>
      <c r="I57" s="4"/>
      <c r="K57" s="1">
        <v>3400.0</v>
      </c>
      <c r="N57" s="5">
        <v>43840.0</v>
      </c>
      <c r="Q57" s="1" t="s">
        <v>246</v>
      </c>
    </row>
    <row r="58">
      <c r="A58" s="1">
        <v>57.0</v>
      </c>
      <c r="B58" s="1" t="s">
        <v>248</v>
      </c>
      <c r="C58" s="1" t="s">
        <v>21</v>
      </c>
      <c r="E58" s="1">
        <v>10.0</v>
      </c>
      <c r="K58" s="1">
        <v>1100.0</v>
      </c>
      <c r="N58" s="5">
        <v>43170.0</v>
      </c>
      <c r="O58" s="1" t="s">
        <v>27</v>
      </c>
      <c r="P58" s="1" t="s">
        <v>29</v>
      </c>
      <c r="Q58" s="1" t="s">
        <v>250</v>
      </c>
      <c r="S58" s="1" t="s">
        <v>46</v>
      </c>
    </row>
    <row r="59">
      <c r="A59" s="1">
        <v>58.0</v>
      </c>
      <c r="B59" s="1" t="s">
        <v>252</v>
      </c>
      <c r="C59" s="1" t="s">
        <v>21</v>
      </c>
      <c r="E59" s="1">
        <v>10.0</v>
      </c>
      <c r="F59" s="1">
        <v>0.7</v>
      </c>
      <c r="I59" s="4"/>
      <c r="K59" s="1">
        <v>600.0</v>
      </c>
      <c r="N59" s="5">
        <v>43874.0</v>
      </c>
      <c r="Q59" s="1" t="s">
        <v>253</v>
      </c>
    </row>
    <row r="60">
      <c r="A60" s="1">
        <v>59.0</v>
      </c>
      <c r="B60" s="1" t="s">
        <v>255</v>
      </c>
      <c r="C60" s="1" t="s">
        <v>21</v>
      </c>
      <c r="E60" s="1">
        <v>10.0</v>
      </c>
      <c r="I60" s="4"/>
      <c r="K60" s="1">
        <v>1100.0</v>
      </c>
      <c r="N60" s="5">
        <v>44021.0</v>
      </c>
      <c r="O60" s="1" t="s">
        <v>64</v>
      </c>
      <c r="P60" s="1" t="s">
        <v>29</v>
      </c>
      <c r="Q60" s="1" t="s">
        <v>257</v>
      </c>
      <c r="S60" s="1" t="s">
        <v>34</v>
      </c>
    </row>
    <row r="61">
      <c r="A61" s="1">
        <v>60.0</v>
      </c>
      <c r="B61" s="1" t="s">
        <v>258</v>
      </c>
      <c r="C61" s="1" t="s">
        <v>21</v>
      </c>
      <c r="E61" s="1">
        <v>10.0</v>
      </c>
      <c r="I61" s="4"/>
      <c r="K61" s="1">
        <v>1100.0</v>
      </c>
      <c r="N61" s="5">
        <v>44097.0</v>
      </c>
      <c r="Q61" s="1" t="s">
        <v>260</v>
      </c>
    </row>
    <row r="62">
      <c r="A62" s="1">
        <v>61.0</v>
      </c>
      <c r="B62" s="1" t="s">
        <v>262</v>
      </c>
      <c r="C62" s="1" t="s">
        <v>21</v>
      </c>
      <c r="E62" s="1">
        <v>10.0</v>
      </c>
      <c r="F62" s="1">
        <v>1.1</v>
      </c>
      <c r="I62" s="4"/>
      <c r="K62" s="1">
        <v>800.0</v>
      </c>
      <c r="N62" s="5">
        <v>43843.0</v>
      </c>
      <c r="Q62" s="1" t="s">
        <v>264</v>
      </c>
    </row>
    <row r="63">
      <c r="A63" s="1">
        <v>62.0</v>
      </c>
      <c r="B63" s="1" t="s">
        <v>265</v>
      </c>
      <c r="C63" s="1" t="s">
        <v>21</v>
      </c>
      <c r="E63" s="1">
        <v>10.0</v>
      </c>
      <c r="K63" s="1">
        <v>10.0</v>
      </c>
      <c r="N63" s="5">
        <v>45977.0</v>
      </c>
      <c r="Q63" s="1" t="s">
        <v>267</v>
      </c>
    </row>
    <row r="64">
      <c r="A64" s="1">
        <v>63.0</v>
      </c>
      <c r="B64" s="1" t="s">
        <v>269</v>
      </c>
      <c r="C64" s="1" t="s">
        <v>21</v>
      </c>
      <c r="E64" s="1">
        <v>10.0</v>
      </c>
      <c r="I64" s="4"/>
      <c r="K64" s="1">
        <v>450.0</v>
      </c>
      <c r="N64" s="5">
        <v>43915.0</v>
      </c>
      <c r="Q64" s="1" t="s">
        <v>271</v>
      </c>
    </row>
    <row r="65">
      <c r="A65" s="1">
        <v>64.0</v>
      </c>
      <c r="B65" s="1" t="s">
        <v>272</v>
      </c>
      <c r="C65" s="1" t="s">
        <v>21</v>
      </c>
      <c r="E65" s="1">
        <v>10.0</v>
      </c>
      <c r="F65" s="1">
        <v>0.02</v>
      </c>
      <c r="K65" s="1">
        <v>20.0</v>
      </c>
      <c r="N65" s="5">
        <v>44376.0</v>
      </c>
      <c r="Q65" s="1" t="s">
        <v>273</v>
      </c>
    </row>
    <row r="66">
      <c r="A66" s="1">
        <v>65.0</v>
      </c>
      <c r="B66" s="1" t="s">
        <v>275</v>
      </c>
      <c r="C66" s="1" t="s">
        <v>21</v>
      </c>
      <c r="E66" s="1">
        <v>10.0</v>
      </c>
      <c r="F66" s="1">
        <v>0.6</v>
      </c>
      <c r="I66" s="4"/>
      <c r="K66" s="1">
        <v>1700.0</v>
      </c>
      <c r="N66" s="5">
        <v>42929.0</v>
      </c>
      <c r="Q66" s="1" t="s">
        <v>277</v>
      </c>
    </row>
    <row r="67">
      <c r="A67" s="1">
        <v>66.0</v>
      </c>
      <c r="B67" s="1" t="s">
        <v>278</v>
      </c>
      <c r="C67" s="1" t="s">
        <v>21</v>
      </c>
      <c r="E67" s="1">
        <v>10.0</v>
      </c>
      <c r="I67" s="4"/>
      <c r="K67" s="1">
        <v>250.0</v>
      </c>
      <c r="N67" s="5">
        <v>43291.0</v>
      </c>
      <c r="Q67" s="1" t="s">
        <v>281</v>
      </c>
    </row>
    <row r="68">
      <c r="A68" s="1">
        <v>67.0</v>
      </c>
      <c r="B68" s="1" t="s">
        <v>282</v>
      </c>
      <c r="C68" s="1" t="s">
        <v>21</v>
      </c>
      <c r="E68" s="1">
        <v>10.0</v>
      </c>
      <c r="I68" s="4"/>
      <c r="K68" s="1">
        <v>500.0</v>
      </c>
      <c r="N68" s="5">
        <v>43873.0</v>
      </c>
      <c r="Q68" s="1" t="s">
        <v>284</v>
      </c>
    </row>
    <row r="69">
      <c r="A69" s="1">
        <v>68.0</v>
      </c>
      <c r="B69" s="1" t="s">
        <v>285</v>
      </c>
      <c r="C69" s="1" t="s">
        <v>21</v>
      </c>
      <c r="E69" s="1">
        <v>10.0</v>
      </c>
      <c r="F69" s="1">
        <v>0.7</v>
      </c>
      <c r="K69" s="1">
        <v>800.0</v>
      </c>
      <c r="N69" s="5">
        <v>43848.0</v>
      </c>
      <c r="Q69" s="1" t="s">
        <v>288</v>
      </c>
    </row>
    <row r="70">
      <c r="A70" s="1">
        <v>69.0</v>
      </c>
      <c r="B70" s="1" t="s">
        <v>289</v>
      </c>
      <c r="C70" s="1" t="s">
        <v>21</v>
      </c>
      <c r="E70" s="1">
        <v>10.0</v>
      </c>
      <c r="F70" s="1">
        <v>0.1</v>
      </c>
      <c r="I70" s="4"/>
      <c r="K70" s="1">
        <v>350.0</v>
      </c>
      <c r="N70" s="5">
        <v>43235.0</v>
      </c>
      <c r="O70" s="1" t="s">
        <v>292</v>
      </c>
      <c r="P70" s="1" t="s">
        <v>29</v>
      </c>
      <c r="Q70" s="1" t="s">
        <v>293</v>
      </c>
      <c r="S70" s="1" t="s">
        <v>34</v>
      </c>
    </row>
    <row r="71">
      <c r="A71" s="1">
        <v>70.0</v>
      </c>
      <c r="B71" s="1" t="s">
        <v>295</v>
      </c>
      <c r="C71" s="1" t="s">
        <v>21</v>
      </c>
      <c r="E71" s="1">
        <v>10.0</v>
      </c>
      <c r="I71" s="4"/>
      <c r="K71" s="1">
        <v>300.0</v>
      </c>
      <c r="N71" s="5">
        <v>44426.0</v>
      </c>
      <c r="Q71" s="1" t="s">
        <v>300</v>
      </c>
    </row>
    <row r="72">
      <c r="A72" s="1">
        <v>71.0</v>
      </c>
      <c r="B72" s="1" t="s">
        <v>302</v>
      </c>
      <c r="C72" s="1" t="s">
        <v>21</v>
      </c>
      <c r="E72" s="1">
        <v>10.0</v>
      </c>
      <c r="I72" s="4"/>
      <c r="K72" s="1">
        <v>150.0</v>
      </c>
      <c r="N72" s="5">
        <v>44595.0</v>
      </c>
      <c r="Q72" s="1" t="s">
        <v>304</v>
      </c>
    </row>
    <row r="73">
      <c r="A73" s="1">
        <v>72.0</v>
      </c>
      <c r="B73" s="1" t="s">
        <v>305</v>
      </c>
      <c r="C73" s="1" t="s">
        <v>21</v>
      </c>
      <c r="E73" s="1">
        <v>10.0</v>
      </c>
      <c r="K73" s="1">
        <v>10.0</v>
      </c>
      <c r="N73" s="5">
        <v>45984.0</v>
      </c>
      <c r="Q73" s="1" t="s">
        <v>307</v>
      </c>
    </row>
    <row r="74">
      <c r="A74" s="1">
        <v>73.0</v>
      </c>
      <c r="B74" s="1" t="s">
        <v>308</v>
      </c>
      <c r="C74" s="1" t="s">
        <v>21</v>
      </c>
      <c r="E74" s="1">
        <v>10.0</v>
      </c>
      <c r="F74" s="1">
        <v>1.2</v>
      </c>
      <c r="K74" s="1">
        <v>200.0</v>
      </c>
      <c r="N74" s="5">
        <v>44229.0</v>
      </c>
      <c r="Q74" s="1" t="s">
        <v>310</v>
      </c>
    </row>
    <row r="75">
      <c r="A75" s="1">
        <v>74.0</v>
      </c>
      <c r="B75" s="1" t="s">
        <v>312</v>
      </c>
      <c r="C75" s="1" t="s">
        <v>21</v>
      </c>
      <c r="E75" s="1">
        <v>10.0</v>
      </c>
      <c r="F75" s="1">
        <v>0.8</v>
      </c>
      <c r="I75" s="4"/>
      <c r="K75" s="1">
        <v>300.0</v>
      </c>
      <c r="N75" s="5">
        <v>43890.0</v>
      </c>
      <c r="Q75" s="1" t="s">
        <v>314</v>
      </c>
    </row>
    <row r="76">
      <c r="A76" s="1">
        <v>75.0</v>
      </c>
      <c r="B76" s="1" t="s">
        <v>315</v>
      </c>
      <c r="C76" s="1" t="s">
        <v>21</v>
      </c>
      <c r="E76" s="1">
        <v>10.0</v>
      </c>
      <c r="F76" s="1">
        <v>0.35</v>
      </c>
      <c r="K76" s="1">
        <v>1000.0</v>
      </c>
      <c r="N76" s="5">
        <v>43893.0</v>
      </c>
      <c r="O76" s="1" t="s">
        <v>292</v>
      </c>
      <c r="P76" s="1" t="s">
        <v>29</v>
      </c>
      <c r="Q76" s="1" t="s">
        <v>318</v>
      </c>
      <c r="S76" s="1" t="s">
        <v>319</v>
      </c>
    </row>
    <row r="77">
      <c r="A77" s="1">
        <v>76.0</v>
      </c>
      <c r="B77" s="1" t="s">
        <v>321</v>
      </c>
      <c r="C77" s="1" t="s">
        <v>21</v>
      </c>
      <c r="E77" s="1">
        <v>10.0</v>
      </c>
      <c r="K77" s="1">
        <v>20000.0</v>
      </c>
      <c r="N77" s="5">
        <v>44010.0</v>
      </c>
      <c r="Q77" s="1" t="s">
        <v>323</v>
      </c>
    </row>
    <row r="78">
      <c r="A78" s="1">
        <v>77.0</v>
      </c>
      <c r="B78" s="1" t="s">
        <v>324</v>
      </c>
      <c r="C78" s="1" t="s">
        <v>21</v>
      </c>
      <c r="E78" s="1">
        <v>10.0</v>
      </c>
      <c r="F78" s="1">
        <v>0.6</v>
      </c>
      <c r="I78" s="4"/>
      <c r="K78" s="1">
        <v>800.0</v>
      </c>
      <c r="N78" s="5">
        <v>43245.0</v>
      </c>
      <c r="Q78" s="1" t="s">
        <v>326</v>
      </c>
    </row>
    <row r="79">
      <c r="A79" s="1">
        <v>78.0</v>
      </c>
      <c r="B79" s="1" t="s">
        <v>327</v>
      </c>
      <c r="C79" s="1" t="s">
        <v>21</v>
      </c>
      <c r="E79" s="1">
        <v>10.0</v>
      </c>
      <c r="K79" s="1">
        <v>300.0</v>
      </c>
      <c r="N79" s="5">
        <v>43853.0</v>
      </c>
      <c r="Q79" s="1" t="s">
        <v>329</v>
      </c>
    </row>
    <row r="80">
      <c r="A80" s="1">
        <v>79.0</v>
      </c>
      <c r="B80" s="1" t="s">
        <v>330</v>
      </c>
      <c r="C80" s="1" t="s">
        <v>21</v>
      </c>
      <c r="E80" s="1">
        <v>10.0</v>
      </c>
      <c r="F80" s="1">
        <v>1.3</v>
      </c>
      <c r="K80" s="1">
        <v>800.0</v>
      </c>
      <c r="N80" s="5">
        <v>43842.0</v>
      </c>
      <c r="Q80" s="1" t="s">
        <v>332</v>
      </c>
    </row>
    <row r="81">
      <c r="A81" s="1">
        <v>80.0</v>
      </c>
      <c r="B81" s="1" t="s">
        <v>333</v>
      </c>
      <c r="C81" s="1" t="s">
        <v>21</v>
      </c>
      <c r="E81" s="1">
        <v>10.0</v>
      </c>
      <c r="F81" s="1">
        <v>1.2</v>
      </c>
      <c r="K81" s="1">
        <v>600.0</v>
      </c>
      <c r="N81" s="5">
        <v>44052.0</v>
      </c>
      <c r="O81" s="1" t="s">
        <v>64</v>
      </c>
      <c r="P81" s="1" t="s">
        <v>29</v>
      </c>
      <c r="Q81" s="1" t="s">
        <v>336</v>
      </c>
      <c r="S81" s="1" t="s">
        <v>34</v>
      </c>
    </row>
    <row r="82">
      <c r="A82" s="1">
        <v>81.0</v>
      </c>
      <c r="B82" s="1" t="s">
        <v>338</v>
      </c>
      <c r="C82" s="1" t="s">
        <v>21</v>
      </c>
      <c r="E82" s="1">
        <v>10.0</v>
      </c>
      <c r="K82" s="1">
        <v>350.0</v>
      </c>
      <c r="N82" s="5">
        <v>44149.0</v>
      </c>
      <c r="O82" s="1" t="s">
        <v>64</v>
      </c>
      <c r="P82" s="1" t="s">
        <v>29</v>
      </c>
      <c r="Q82" s="1" t="s">
        <v>340</v>
      </c>
      <c r="S82" s="1" t="s">
        <v>341</v>
      </c>
    </row>
    <row r="83">
      <c r="A83" s="1">
        <v>82.0</v>
      </c>
      <c r="B83" s="1" t="s">
        <v>343</v>
      </c>
      <c r="C83" s="1" t="s">
        <v>21</v>
      </c>
      <c r="E83" s="1">
        <v>10.0</v>
      </c>
      <c r="K83" s="1">
        <v>200.0</v>
      </c>
      <c r="N83" s="5">
        <v>43240.0</v>
      </c>
      <c r="Q83" s="1" t="s">
        <v>345</v>
      </c>
    </row>
    <row r="84">
      <c r="A84" s="1">
        <v>83.0</v>
      </c>
      <c r="B84" s="1" t="s">
        <v>346</v>
      </c>
      <c r="C84" s="1" t="s">
        <v>21</v>
      </c>
      <c r="D84" s="1">
        <v>10.0</v>
      </c>
      <c r="E84" s="1">
        <v>10.0</v>
      </c>
      <c r="F84" s="1">
        <v>0.6</v>
      </c>
      <c r="H84" s="1" t="s">
        <v>84</v>
      </c>
      <c r="I84" s="4">
        <v>46225.053402777776</v>
      </c>
      <c r="J84" s="1" t="s">
        <v>40</v>
      </c>
      <c r="K84" s="1">
        <v>900.0</v>
      </c>
      <c r="L84" s="1">
        <v>100.0</v>
      </c>
      <c r="M84" s="1">
        <v>100.0</v>
      </c>
      <c r="N84" s="5">
        <v>43574.0</v>
      </c>
      <c r="O84" s="1" t="s">
        <v>64</v>
      </c>
      <c r="P84" s="1" t="s">
        <v>29</v>
      </c>
      <c r="Q84" s="1" t="s">
        <v>349</v>
      </c>
      <c r="S84" s="1" t="s">
        <v>46</v>
      </c>
    </row>
    <row r="85">
      <c r="A85" s="1">
        <v>84.0</v>
      </c>
      <c r="B85" s="1" t="s">
        <v>351</v>
      </c>
      <c r="C85" s="1" t="s">
        <v>21</v>
      </c>
      <c r="E85" s="1">
        <v>10.0</v>
      </c>
      <c r="I85" s="4"/>
      <c r="K85" s="1">
        <v>200.0</v>
      </c>
      <c r="N85" s="5">
        <v>43935.0</v>
      </c>
      <c r="Q85" s="1" t="s">
        <v>353</v>
      </c>
    </row>
    <row r="86">
      <c r="A86" s="1">
        <v>85.0</v>
      </c>
      <c r="B86" s="1" t="s">
        <v>354</v>
      </c>
      <c r="C86" s="1" t="s">
        <v>21</v>
      </c>
      <c r="E86" s="1">
        <v>10.0</v>
      </c>
      <c r="K86" s="1">
        <v>350.0</v>
      </c>
      <c r="N86" s="5">
        <v>43207.0</v>
      </c>
      <c r="Q86" s="1" t="s">
        <v>359</v>
      </c>
    </row>
    <row r="87">
      <c r="A87" s="1">
        <v>86.0</v>
      </c>
      <c r="B87" s="1" t="s">
        <v>360</v>
      </c>
      <c r="C87" s="1" t="s">
        <v>21</v>
      </c>
      <c r="E87" s="1">
        <v>10.0</v>
      </c>
      <c r="K87" s="1">
        <v>400.0</v>
      </c>
      <c r="N87" s="5">
        <v>44151.0</v>
      </c>
      <c r="Q87" s="1" t="s">
        <v>362</v>
      </c>
    </row>
    <row r="88">
      <c r="A88" s="1">
        <v>87.0</v>
      </c>
      <c r="B88" s="1" t="s">
        <v>364</v>
      </c>
      <c r="C88" s="1" t="s">
        <v>21</v>
      </c>
      <c r="E88" s="1">
        <v>10.0</v>
      </c>
      <c r="K88" s="1">
        <v>60.0</v>
      </c>
      <c r="N88" s="5">
        <v>44118.0</v>
      </c>
      <c r="Q88" s="1" t="s">
        <v>366</v>
      </c>
    </row>
    <row r="89">
      <c r="A89" s="1">
        <v>88.0</v>
      </c>
      <c r="B89" s="1" t="s">
        <v>367</v>
      </c>
      <c r="C89" s="1" t="s">
        <v>21</v>
      </c>
      <c r="K89" s="1">
        <v>100.0</v>
      </c>
      <c r="N89" s="5">
        <v>45079.0</v>
      </c>
      <c r="Q89" s="1" t="s">
        <v>369</v>
      </c>
    </row>
    <row r="90">
      <c r="A90" s="1">
        <v>89.0</v>
      </c>
      <c r="B90" s="1" t="s">
        <v>370</v>
      </c>
      <c r="C90" s="1" t="s">
        <v>21</v>
      </c>
      <c r="I90" s="4"/>
      <c r="K90" s="1">
        <v>150.0</v>
      </c>
      <c r="N90" s="5">
        <v>45713.0</v>
      </c>
      <c r="Q90" s="1" t="s">
        <v>373</v>
      </c>
    </row>
    <row r="91">
      <c r="A91" s="1">
        <v>90.0</v>
      </c>
      <c r="B91" s="1" t="s">
        <v>375</v>
      </c>
      <c r="C91" s="1" t="s">
        <v>21</v>
      </c>
      <c r="K91" s="1">
        <v>20.0</v>
      </c>
      <c r="N91" s="5">
        <v>44936.0</v>
      </c>
      <c r="Q91" s="1" t="s">
        <v>377</v>
      </c>
    </row>
    <row r="92">
      <c r="A92" s="1">
        <v>91.0</v>
      </c>
      <c r="B92" s="1" t="s">
        <v>378</v>
      </c>
      <c r="C92" s="1" t="s">
        <v>21</v>
      </c>
      <c r="K92" s="1">
        <v>10.0</v>
      </c>
      <c r="N92" s="5">
        <v>45707.0</v>
      </c>
      <c r="Q92" s="1" t="s">
        <v>379</v>
      </c>
    </row>
    <row r="93">
      <c r="A93" s="1">
        <v>92.0</v>
      </c>
      <c r="B93" s="1" t="s">
        <v>381</v>
      </c>
      <c r="C93" s="1" t="s">
        <v>21</v>
      </c>
      <c r="K93" s="1">
        <v>30.0</v>
      </c>
      <c r="N93" s="5">
        <v>44534.0</v>
      </c>
      <c r="Q93" s="1" t="s">
        <v>382</v>
      </c>
    </row>
    <row r="94">
      <c r="A94" s="1">
        <v>93.0</v>
      </c>
      <c r="B94" s="1" t="s">
        <v>384</v>
      </c>
      <c r="C94" s="1" t="s">
        <v>21</v>
      </c>
      <c r="K94" s="1">
        <v>40.0</v>
      </c>
      <c r="N94" s="5">
        <v>45306.0</v>
      </c>
      <c r="Q94" s="1" t="s">
        <v>386</v>
      </c>
    </row>
    <row r="95">
      <c r="A95" s="1">
        <v>94.0</v>
      </c>
      <c r="B95" s="1" t="s">
        <v>387</v>
      </c>
      <c r="C95" s="1" t="s">
        <v>21</v>
      </c>
      <c r="I95" s="4"/>
      <c r="K95" s="1">
        <v>350.0</v>
      </c>
      <c r="N95" s="5">
        <v>43927.0</v>
      </c>
      <c r="Q95" s="1" t="s">
        <v>390</v>
      </c>
    </row>
    <row r="96">
      <c r="A96" s="1">
        <v>95.0</v>
      </c>
      <c r="B96" s="1" t="s">
        <v>391</v>
      </c>
      <c r="C96" s="1" t="s">
        <v>21</v>
      </c>
      <c r="I96" s="4"/>
      <c r="K96" s="1">
        <v>200.0</v>
      </c>
      <c r="N96" s="5">
        <v>45340.0</v>
      </c>
      <c r="Q96" s="1" t="s">
        <v>393</v>
      </c>
    </row>
    <row r="97">
      <c r="A97" s="1">
        <v>96.0</v>
      </c>
      <c r="B97" s="1" t="s">
        <v>394</v>
      </c>
      <c r="C97" s="1" t="s">
        <v>21</v>
      </c>
      <c r="K97" s="1">
        <v>500.0</v>
      </c>
      <c r="N97" s="5">
        <v>44352.0</v>
      </c>
      <c r="Q97" s="1" t="s">
        <v>396</v>
      </c>
    </row>
    <row r="98">
      <c r="A98" s="1">
        <v>97.0</v>
      </c>
      <c r="B98" s="1" t="s">
        <v>397</v>
      </c>
      <c r="C98" s="1" t="s">
        <v>21</v>
      </c>
      <c r="K98" s="1">
        <v>50.0</v>
      </c>
      <c r="N98" s="5">
        <v>44700.0</v>
      </c>
      <c r="Q98" s="1" t="s">
        <v>399</v>
      </c>
    </row>
    <row r="99">
      <c r="A99" s="1">
        <v>98.0</v>
      </c>
      <c r="B99" s="1" t="s">
        <v>401</v>
      </c>
      <c r="C99" s="1" t="s">
        <v>21</v>
      </c>
      <c r="N99" s="5">
        <v>44623.0</v>
      </c>
      <c r="Q99" s="1" t="s">
        <v>402</v>
      </c>
    </row>
    <row r="100">
      <c r="A100" s="1">
        <v>99.0</v>
      </c>
      <c r="B100" s="1" t="s">
        <v>404</v>
      </c>
      <c r="C100" s="1" t="s">
        <v>21</v>
      </c>
      <c r="I100" s="4"/>
      <c r="N100" s="5">
        <v>44586.0</v>
      </c>
      <c r="Q100" s="1" t="s">
        <v>402</v>
      </c>
    </row>
    <row r="101">
      <c r="A101" s="1">
        <v>100.0</v>
      </c>
      <c r="B101" s="1" t="s">
        <v>406</v>
      </c>
      <c r="C101" s="1" t="s">
        <v>21</v>
      </c>
      <c r="I101" s="4"/>
      <c r="K101" s="1">
        <v>150.0</v>
      </c>
      <c r="N101" s="5">
        <v>44992.0</v>
      </c>
      <c r="Q101" s="1" t="s">
        <v>408</v>
      </c>
    </row>
    <row r="102">
      <c r="A102" s="1">
        <v>101.0</v>
      </c>
      <c r="B102" s="1" t="s">
        <v>409</v>
      </c>
      <c r="C102" s="1" t="s">
        <v>21</v>
      </c>
      <c r="K102" s="1">
        <v>50.0</v>
      </c>
      <c r="N102" s="5">
        <v>45550.0</v>
      </c>
      <c r="Q102" s="1" t="s">
        <v>411</v>
      </c>
    </row>
    <row r="103">
      <c r="A103" s="1">
        <v>102.0</v>
      </c>
      <c r="B103" s="1" t="s">
        <v>413</v>
      </c>
      <c r="C103" s="1" t="s">
        <v>21</v>
      </c>
      <c r="N103" s="5">
        <v>43898.0</v>
      </c>
      <c r="Q103" s="1" t="s">
        <v>414</v>
      </c>
    </row>
    <row r="104">
      <c r="A104" s="1">
        <v>103.0</v>
      </c>
      <c r="B104" s="1" t="s">
        <v>416</v>
      </c>
      <c r="C104" s="1" t="s">
        <v>21</v>
      </c>
      <c r="K104" s="1">
        <v>200.0</v>
      </c>
      <c r="N104" s="5">
        <v>43870.0</v>
      </c>
      <c r="Q104" s="1" t="s">
        <v>417</v>
      </c>
    </row>
    <row r="105">
      <c r="A105" s="1">
        <v>104.0</v>
      </c>
      <c r="B105" s="1" t="s">
        <v>418</v>
      </c>
      <c r="C105" s="1" t="s">
        <v>21</v>
      </c>
      <c r="K105" s="1">
        <v>200.0</v>
      </c>
      <c r="N105" s="5">
        <v>45151.0</v>
      </c>
      <c r="Q105" s="1" t="s">
        <v>420</v>
      </c>
    </row>
    <row r="106">
      <c r="A106" s="1">
        <v>105.0</v>
      </c>
      <c r="B106" s="1" t="s">
        <v>422</v>
      </c>
      <c r="C106" s="1" t="s">
        <v>21</v>
      </c>
      <c r="K106" s="1">
        <v>20.0</v>
      </c>
      <c r="N106" s="5">
        <v>44034.0</v>
      </c>
      <c r="Q106" s="1" t="s">
        <v>424</v>
      </c>
    </row>
    <row r="107">
      <c r="A107" s="1">
        <v>106.0</v>
      </c>
      <c r="B107" s="1" t="s">
        <v>425</v>
      </c>
      <c r="C107" s="1" t="s">
        <v>21</v>
      </c>
      <c r="K107" s="1">
        <v>40.0</v>
      </c>
      <c r="N107" s="5">
        <v>44828.0</v>
      </c>
      <c r="Q107" s="1" t="s">
        <v>427</v>
      </c>
    </row>
    <row r="108">
      <c r="A108" s="1">
        <v>107.0</v>
      </c>
      <c r="B108" s="1" t="s">
        <v>428</v>
      </c>
      <c r="C108" s="1" t="s">
        <v>21</v>
      </c>
      <c r="N108" s="5">
        <v>44617.0</v>
      </c>
      <c r="Q108" s="1" t="s">
        <v>402</v>
      </c>
    </row>
    <row r="109">
      <c r="A109" s="1">
        <v>108.0</v>
      </c>
      <c r="B109" s="1" t="s">
        <v>430</v>
      </c>
      <c r="C109" s="1" t="s">
        <v>21</v>
      </c>
      <c r="K109" s="1">
        <v>40.0</v>
      </c>
      <c r="N109" s="5">
        <v>44468.0</v>
      </c>
      <c r="Q109" s="1" t="s">
        <v>432</v>
      </c>
    </row>
    <row r="110">
      <c r="A110" s="1">
        <v>109.0</v>
      </c>
      <c r="B110" s="1" t="s">
        <v>434</v>
      </c>
      <c r="C110" s="1" t="s">
        <v>21</v>
      </c>
      <c r="I110" s="4"/>
      <c r="K110" s="1">
        <v>10.0</v>
      </c>
      <c r="N110" s="5">
        <v>44507.0</v>
      </c>
      <c r="Q110" s="1" t="s">
        <v>402</v>
      </c>
    </row>
    <row r="111">
      <c r="A111" s="1">
        <v>110.0</v>
      </c>
      <c r="B111" s="1" t="s">
        <v>436</v>
      </c>
      <c r="C111" s="1" t="s">
        <v>21</v>
      </c>
      <c r="K111" s="1">
        <v>100.0</v>
      </c>
      <c r="N111" s="5">
        <v>43884.0</v>
      </c>
      <c r="Q111" s="1" t="s">
        <v>437</v>
      </c>
    </row>
    <row r="112">
      <c r="A112" s="1">
        <v>111.0</v>
      </c>
      <c r="B112" s="1" t="s">
        <v>439</v>
      </c>
      <c r="C112" s="1" t="s">
        <v>21</v>
      </c>
      <c r="N112" s="5">
        <v>44547.0</v>
      </c>
      <c r="Q112" s="1" t="s">
        <v>402</v>
      </c>
    </row>
    <row r="113">
      <c r="A113" s="1">
        <v>112.0</v>
      </c>
      <c r="B113" s="1" t="s">
        <v>441</v>
      </c>
      <c r="C113" s="1" t="s">
        <v>21</v>
      </c>
      <c r="K113" s="1">
        <v>20.0</v>
      </c>
      <c r="N113" s="5">
        <v>45430.0</v>
      </c>
      <c r="Q113" s="1" t="s">
        <v>443</v>
      </c>
    </row>
    <row r="114">
      <c r="A114" s="1">
        <v>113.0</v>
      </c>
      <c r="B114" s="1" t="s">
        <v>444</v>
      </c>
      <c r="C114" s="1" t="s">
        <v>21</v>
      </c>
      <c r="K114" s="1">
        <v>30.0</v>
      </c>
      <c r="N114" s="5">
        <v>44584.0</v>
      </c>
      <c r="Q114" s="1" t="s">
        <v>402</v>
      </c>
    </row>
    <row r="115">
      <c r="A115" s="1">
        <v>114.0</v>
      </c>
      <c r="B115" s="1" t="s">
        <v>447</v>
      </c>
      <c r="C115" s="1" t="s">
        <v>21</v>
      </c>
      <c r="K115" s="1">
        <v>40.0</v>
      </c>
      <c r="N115" s="5">
        <v>44441.0</v>
      </c>
      <c r="Q115" s="1" t="s">
        <v>448</v>
      </c>
    </row>
    <row r="116">
      <c r="A116" s="1">
        <v>115.0</v>
      </c>
      <c r="B116" s="1" t="s">
        <v>450</v>
      </c>
      <c r="C116" s="1" t="s">
        <v>21</v>
      </c>
      <c r="K116" s="1">
        <v>40.0</v>
      </c>
      <c r="N116" s="5">
        <v>44138.0</v>
      </c>
      <c r="Q116" s="1" t="s">
        <v>452</v>
      </c>
    </row>
    <row r="117">
      <c r="A117" s="1">
        <v>116.0</v>
      </c>
      <c r="B117" s="1" t="s">
        <v>453</v>
      </c>
      <c r="C117" s="1" t="s">
        <v>21</v>
      </c>
      <c r="K117" s="1">
        <v>20.0</v>
      </c>
      <c r="N117" s="5">
        <v>45319.0</v>
      </c>
      <c r="Q117" s="1" t="s">
        <v>455</v>
      </c>
    </row>
    <row r="118">
      <c r="A118" s="1">
        <v>117.0</v>
      </c>
      <c r="B118" s="1" t="s">
        <v>457</v>
      </c>
      <c r="C118" s="1" t="s">
        <v>21</v>
      </c>
      <c r="K118" s="1">
        <v>800.0</v>
      </c>
      <c r="N118" s="5">
        <v>43844.0</v>
      </c>
      <c r="Q118" s="1" t="s">
        <v>458</v>
      </c>
    </row>
    <row r="119">
      <c r="A119" s="1">
        <v>118.0</v>
      </c>
      <c r="B119" s="1" t="s">
        <v>459</v>
      </c>
      <c r="C119" s="1" t="s">
        <v>21</v>
      </c>
      <c r="N119" s="5">
        <v>44576.0</v>
      </c>
      <c r="Q119" s="1" t="s">
        <v>402</v>
      </c>
    </row>
    <row r="120">
      <c r="A120" s="1">
        <v>119.0</v>
      </c>
      <c r="B120" s="1" t="s">
        <v>462</v>
      </c>
      <c r="C120" s="1" t="s">
        <v>21</v>
      </c>
      <c r="N120" s="5">
        <v>46007.0</v>
      </c>
      <c r="Q120" s="1" t="s">
        <v>464</v>
      </c>
    </row>
    <row r="121">
      <c r="A121" s="1">
        <v>120.0</v>
      </c>
      <c r="B121" s="1" t="s">
        <v>466</v>
      </c>
      <c r="C121" s="1" t="s">
        <v>21</v>
      </c>
      <c r="K121" s="1">
        <v>300.0</v>
      </c>
      <c r="N121" s="5">
        <v>43932.0</v>
      </c>
      <c r="Q121" s="1" t="s">
        <v>468</v>
      </c>
    </row>
    <row r="122">
      <c r="A122" s="1">
        <v>121.0</v>
      </c>
      <c r="B122" s="1" t="s">
        <v>469</v>
      </c>
      <c r="C122" s="1" t="s">
        <v>21</v>
      </c>
      <c r="N122" s="5">
        <v>43944.0</v>
      </c>
      <c r="Q122" s="1" t="s">
        <v>402</v>
      </c>
    </row>
    <row r="123">
      <c r="A123" s="1">
        <v>122.0</v>
      </c>
      <c r="B123" s="1" t="s">
        <v>471</v>
      </c>
      <c r="C123" s="1" t="s">
        <v>21</v>
      </c>
      <c r="K123" s="1">
        <v>20.0</v>
      </c>
      <c r="N123" s="5">
        <v>44684.0</v>
      </c>
      <c r="Q123" s="1" t="s">
        <v>473</v>
      </c>
    </row>
    <row r="124">
      <c r="A124" s="1">
        <v>123.0</v>
      </c>
      <c r="B124" s="1" t="s">
        <v>474</v>
      </c>
      <c r="C124" s="1" t="s">
        <v>21</v>
      </c>
      <c r="K124" s="1">
        <v>30.0</v>
      </c>
      <c r="N124" s="5">
        <v>45651.0</v>
      </c>
      <c r="Q124" s="1" t="s">
        <v>476</v>
      </c>
    </row>
    <row r="125">
      <c r="A125" s="1">
        <v>124.0</v>
      </c>
      <c r="B125" s="1" t="s">
        <v>477</v>
      </c>
      <c r="C125" s="1" t="s">
        <v>21</v>
      </c>
      <c r="K125" s="1">
        <v>10.0</v>
      </c>
      <c r="N125" s="5">
        <v>45040.0</v>
      </c>
      <c r="Q125" s="1" t="s">
        <v>479</v>
      </c>
    </row>
    <row r="126">
      <c r="A126" s="1">
        <v>125.0</v>
      </c>
      <c r="B126" s="1" t="s">
        <v>480</v>
      </c>
      <c r="C126" s="1" t="s">
        <v>21</v>
      </c>
      <c r="I126" s="4"/>
      <c r="K126" s="1">
        <v>150.0</v>
      </c>
      <c r="N126" s="5">
        <v>44965.0</v>
      </c>
      <c r="Q126" s="1" t="s">
        <v>482</v>
      </c>
    </row>
    <row r="127">
      <c r="A127" s="1">
        <v>126.0</v>
      </c>
      <c r="B127" s="1" t="s">
        <v>484</v>
      </c>
      <c r="C127" s="1" t="s">
        <v>21</v>
      </c>
      <c r="K127" s="1">
        <v>20.0</v>
      </c>
      <c r="N127" s="5">
        <v>44859.0</v>
      </c>
      <c r="Q127" s="1" t="s">
        <v>485</v>
      </c>
    </row>
    <row r="128">
      <c r="A128" s="1">
        <v>127.0</v>
      </c>
      <c r="B128" s="1" t="s">
        <v>487</v>
      </c>
      <c r="C128" s="1" t="s">
        <v>21</v>
      </c>
      <c r="K128" s="1">
        <v>250.0</v>
      </c>
      <c r="N128" s="5">
        <v>43924.0</v>
      </c>
      <c r="Q128" s="1" t="s">
        <v>489</v>
      </c>
    </row>
    <row r="129">
      <c r="A129" s="1">
        <v>128.0</v>
      </c>
      <c r="B129" s="1" t="s">
        <v>490</v>
      </c>
      <c r="C129" s="1" t="s">
        <v>21</v>
      </c>
      <c r="K129" s="1">
        <v>70.0</v>
      </c>
      <c r="N129" s="5">
        <v>45220.0</v>
      </c>
      <c r="Q129" s="1" t="s">
        <v>492</v>
      </c>
    </row>
    <row r="130">
      <c r="A130" s="1">
        <v>129.0</v>
      </c>
      <c r="B130" s="1" t="s">
        <v>494</v>
      </c>
      <c r="C130" s="1" t="s">
        <v>21</v>
      </c>
      <c r="K130" s="1">
        <v>20.0</v>
      </c>
      <c r="N130" s="5">
        <v>45414.0</v>
      </c>
      <c r="Q130" s="1" t="s">
        <v>496</v>
      </c>
    </row>
    <row r="131">
      <c r="A131" s="1">
        <v>130.0</v>
      </c>
      <c r="B131" s="1" t="s">
        <v>497</v>
      </c>
      <c r="C131" s="1" t="s">
        <v>21</v>
      </c>
      <c r="N131" s="5">
        <v>44419.0</v>
      </c>
      <c r="Q131" s="1" t="s">
        <v>402</v>
      </c>
    </row>
    <row r="132">
      <c r="A132" s="1">
        <v>131.0</v>
      </c>
      <c r="B132" s="1" t="s">
        <v>499</v>
      </c>
      <c r="C132" s="1" t="s">
        <v>21</v>
      </c>
      <c r="N132" s="5">
        <v>44000.0</v>
      </c>
      <c r="Q132" s="1" t="s">
        <v>402</v>
      </c>
    </row>
    <row r="133">
      <c r="A133" s="1">
        <v>132.0</v>
      </c>
      <c r="B133" s="1" t="s">
        <v>501</v>
      </c>
      <c r="C133" s="1" t="s">
        <v>21</v>
      </c>
      <c r="K133" s="1">
        <v>700.0</v>
      </c>
      <c r="N133" s="5">
        <v>43842.0</v>
      </c>
      <c r="Q133" s="1" t="s">
        <v>503</v>
      </c>
    </row>
    <row r="134">
      <c r="A134" s="1">
        <v>133.0</v>
      </c>
      <c r="B134" s="1" t="s">
        <v>504</v>
      </c>
      <c r="C134" s="1" t="s">
        <v>21</v>
      </c>
      <c r="I134" s="4"/>
      <c r="K134" s="1">
        <v>40.0</v>
      </c>
      <c r="N134" s="5">
        <v>44305.0</v>
      </c>
      <c r="Q134" s="1" t="s">
        <v>506</v>
      </c>
    </row>
    <row r="135">
      <c r="A135" s="1">
        <v>134.0</v>
      </c>
      <c r="B135" s="1" t="s">
        <v>508</v>
      </c>
      <c r="C135" s="1" t="s">
        <v>21</v>
      </c>
      <c r="K135" s="1">
        <v>60.0</v>
      </c>
      <c r="N135" s="5">
        <v>45063.0</v>
      </c>
      <c r="Q135" s="1" t="s">
        <v>414</v>
      </c>
    </row>
    <row r="136">
      <c r="A136" s="1">
        <v>135.0</v>
      </c>
      <c r="B136" s="1" t="s">
        <v>510</v>
      </c>
      <c r="C136" s="1" t="s">
        <v>21</v>
      </c>
      <c r="N136" s="5">
        <v>44309.0</v>
      </c>
      <c r="Q136" s="1" t="s">
        <v>402</v>
      </c>
    </row>
    <row r="137">
      <c r="A137" s="1">
        <v>136.0</v>
      </c>
      <c r="B137" s="1" t="s">
        <v>512</v>
      </c>
      <c r="C137" s="1" t="s">
        <v>21</v>
      </c>
      <c r="N137" s="5">
        <v>44384.0</v>
      </c>
      <c r="Q137" s="1" t="s">
        <v>402</v>
      </c>
    </row>
    <row r="138">
      <c r="A138" s="1">
        <v>137.0</v>
      </c>
      <c r="B138" s="1" t="s">
        <v>515</v>
      </c>
      <c r="C138" s="1" t="s">
        <v>21</v>
      </c>
      <c r="K138" s="1">
        <v>20.0</v>
      </c>
      <c r="N138" s="5">
        <v>44693.0</v>
      </c>
      <c r="Q138" s="1" t="s">
        <v>516</v>
      </c>
    </row>
    <row r="139">
      <c r="A139" s="1">
        <v>138.0</v>
      </c>
      <c r="B139" s="1" t="s">
        <v>518</v>
      </c>
      <c r="C139" s="1" t="s">
        <v>21</v>
      </c>
      <c r="K139" s="1">
        <v>400.0</v>
      </c>
      <c r="N139" s="5">
        <v>43844.0</v>
      </c>
      <c r="Q139" s="1" t="s">
        <v>519</v>
      </c>
    </row>
    <row r="140">
      <c r="A140" s="1">
        <v>139.0</v>
      </c>
      <c r="B140" s="1" t="s">
        <v>521</v>
      </c>
      <c r="C140" s="1" t="s">
        <v>21</v>
      </c>
      <c r="K140" s="1">
        <v>100.0</v>
      </c>
      <c r="N140" s="5">
        <v>44112.0</v>
      </c>
      <c r="Q140" s="1" t="s">
        <v>522</v>
      </c>
    </row>
    <row r="141">
      <c r="A141" s="1">
        <v>140.0</v>
      </c>
      <c r="B141" s="1" t="s">
        <v>524</v>
      </c>
      <c r="C141" s="1" t="s">
        <v>21</v>
      </c>
      <c r="K141" s="1">
        <v>30.0</v>
      </c>
      <c r="N141" s="5">
        <v>44031.0</v>
      </c>
      <c r="Q141" s="1" t="s">
        <v>526</v>
      </c>
    </row>
    <row r="142">
      <c r="A142" s="1">
        <v>141.0</v>
      </c>
      <c r="B142" s="1" t="s">
        <v>527</v>
      </c>
      <c r="C142" s="1" t="s">
        <v>21</v>
      </c>
      <c r="K142" s="1">
        <v>60.0</v>
      </c>
      <c r="N142" s="5">
        <v>44614.0</v>
      </c>
      <c r="Q142" s="1" t="s">
        <v>529</v>
      </c>
    </row>
    <row r="143">
      <c r="A143" s="1">
        <v>142.0</v>
      </c>
      <c r="B143" s="1" t="s">
        <v>530</v>
      </c>
      <c r="C143" s="1" t="s">
        <v>21</v>
      </c>
      <c r="F143" s="1">
        <v>0.4</v>
      </c>
      <c r="I143" s="4"/>
      <c r="K143" s="1">
        <v>1200.0</v>
      </c>
      <c r="N143" s="5">
        <v>42445.0</v>
      </c>
      <c r="Q143" s="1" t="s">
        <v>533</v>
      </c>
    </row>
    <row r="144">
      <c r="A144" s="1">
        <v>143.0</v>
      </c>
      <c r="B144" s="1" t="s">
        <v>534</v>
      </c>
      <c r="C144" s="1" t="s">
        <v>21</v>
      </c>
      <c r="K144" s="1">
        <v>250.0</v>
      </c>
      <c r="N144" s="5">
        <v>44327.0</v>
      </c>
      <c r="Q144" s="1" t="s">
        <v>536</v>
      </c>
    </row>
    <row r="145">
      <c r="A145" s="1">
        <v>144.0</v>
      </c>
      <c r="B145" s="1" t="s">
        <v>537</v>
      </c>
      <c r="C145" s="1" t="s">
        <v>21</v>
      </c>
      <c r="I145" s="4"/>
      <c r="N145" s="5">
        <v>45661.0</v>
      </c>
      <c r="Q145" s="1" t="s">
        <v>539</v>
      </c>
    </row>
    <row r="146">
      <c r="A146" s="1">
        <v>145.0</v>
      </c>
      <c r="B146" s="1" t="s">
        <v>541</v>
      </c>
      <c r="C146" s="1" t="s">
        <v>21</v>
      </c>
      <c r="K146" s="1">
        <v>30.0</v>
      </c>
      <c r="N146" s="5">
        <v>45620.0</v>
      </c>
      <c r="Q146" s="1" t="s">
        <v>542</v>
      </c>
    </row>
    <row r="147">
      <c r="A147" s="1">
        <v>146.0</v>
      </c>
      <c r="B147" s="1" t="s">
        <v>544</v>
      </c>
      <c r="C147" s="1" t="s">
        <v>21</v>
      </c>
      <c r="K147" s="1">
        <v>30.0</v>
      </c>
      <c r="N147" s="5">
        <v>45831.0</v>
      </c>
      <c r="Q147" s="1" t="s">
        <v>545</v>
      </c>
    </row>
    <row r="148">
      <c r="A148" s="1">
        <v>147.0</v>
      </c>
      <c r="B148" s="1" t="s">
        <v>547</v>
      </c>
      <c r="C148" s="1" t="s">
        <v>21</v>
      </c>
      <c r="N148" s="5">
        <v>44571.0</v>
      </c>
      <c r="Q148" s="1" t="s">
        <v>402</v>
      </c>
    </row>
    <row r="149">
      <c r="A149" s="1">
        <v>148.0</v>
      </c>
      <c r="B149" s="1" t="s">
        <v>549</v>
      </c>
      <c r="C149" s="1" t="s">
        <v>21</v>
      </c>
      <c r="K149" s="1">
        <v>250.0</v>
      </c>
      <c r="N149" s="5">
        <v>43883.0</v>
      </c>
      <c r="Q149" s="1" t="s">
        <v>551</v>
      </c>
    </row>
    <row r="150">
      <c r="A150" s="1">
        <v>149.0</v>
      </c>
      <c r="B150" s="1" t="s">
        <v>552</v>
      </c>
      <c r="C150" s="1" t="s">
        <v>21</v>
      </c>
      <c r="I150" s="4"/>
      <c r="K150" s="1">
        <v>200.0</v>
      </c>
      <c r="N150" s="5">
        <v>43878.0</v>
      </c>
      <c r="Q150" s="1" t="s">
        <v>554</v>
      </c>
    </row>
    <row r="151">
      <c r="A151" s="1">
        <v>150.0</v>
      </c>
      <c r="B151" s="1" t="s">
        <v>556</v>
      </c>
      <c r="C151" s="1" t="s">
        <v>21</v>
      </c>
      <c r="N151" s="5">
        <v>43977.0</v>
      </c>
      <c r="Q151" s="1" t="s">
        <v>402</v>
      </c>
    </row>
    <row r="152">
      <c r="A152" s="1">
        <v>151.0</v>
      </c>
      <c r="B152" s="1" t="s">
        <v>558</v>
      </c>
      <c r="C152" s="1" t="s">
        <v>21</v>
      </c>
      <c r="K152" s="1">
        <v>40.0</v>
      </c>
      <c r="N152" s="5">
        <v>45445.0</v>
      </c>
      <c r="Q152" s="1" t="s">
        <v>561</v>
      </c>
    </row>
    <row r="153">
      <c r="A153" s="1">
        <v>152.0</v>
      </c>
      <c r="B153" s="1" t="s">
        <v>562</v>
      </c>
      <c r="C153" s="1" t="s">
        <v>21</v>
      </c>
      <c r="K153" s="1">
        <v>150.0</v>
      </c>
      <c r="N153" s="5">
        <v>44074.0</v>
      </c>
      <c r="Q153" s="1" t="s">
        <v>564</v>
      </c>
    </row>
    <row r="154">
      <c r="A154" s="1">
        <v>153.0</v>
      </c>
      <c r="B154" s="1" t="s">
        <v>565</v>
      </c>
      <c r="C154" s="1" t="s">
        <v>21</v>
      </c>
      <c r="K154" s="1">
        <v>60.0</v>
      </c>
      <c r="N154" s="5">
        <v>45535.0</v>
      </c>
      <c r="Q154" s="1" t="s">
        <v>567</v>
      </c>
    </row>
    <row r="155">
      <c r="A155" s="1">
        <v>154.0</v>
      </c>
      <c r="B155" s="1" t="s">
        <v>568</v>
      </c>
      <c r="C155" s="1" t="s">
        <v>21</v>
      </c>
      <c r="K155" s="1">
        <v>10.0</v>
      </c>
      <c r="N155" s="5">
        <v>44686.0</v>
      </c>
      <c r="Q155" s="1" t="s">
        <v>570</v>
      </c>
    </row>
    <row r="156">
      <c r="A156" s="1">
        <v>155.0</v>
      </c>
      <c r="B156" s="1" t="s">
        <v>572</v>
      </c>
      <c r="C156" s="1" t="s">
        <v>21</v>
      </c>
      <c r="K156" s="1">
        <v>30.0</v>
      </c>
      <c r="N156" s="5">
        <v>43998.0</v>
      </c>
      <c r="Q156" s="1" t="s">
        <v>574</v>
      </c>
    </row>
    <row r="157">
      <c r="A157" s="1">
        <v>156.0</v>
      </c>
      <c r="B157" s="1" t="s">
        <v>575</v>
      </c>
      <c r="C157" s="1" t="s">
        <v>21</v>
      </c>
      <c r="K157" s="1">
        <v>20.0</v>
      </c>
      <c r="N157" s="5">
        <v>44777.0</v>
      </c>
      <c r="Q157" s="1" t="s">
        <v>485</v>
      </c>
    </row>
    <row r="158">
      <c r="A158" s="1">
        <v>157.0</v>
      </c>
      <c r="B158" s="1" t="s">
        <v>577</v>
      </c>
      <c r="C158" s="1" t="s">
        <v>21</v>
      </c>
      <c r="N158" s="5">
        <v>44856.0</v>
      </c>
      <c r="Q158" s="1" t="s">
        <v>402</v>
      </c>
    </row>
    <row r="159">
      <c r="A159" s="1">
        <v>158.0</v>
      </c>
      <c r="B159" s="1" t="s">
        <v>580</v>
      </c>
      <c r="C159" s="1" t="s">
        <v>21</v>
      </c>
      <c r="K159" s="1">
        <v>150.0</v>
      </c>
      <c r="N159" s="5">
        <v>44606.0</v>
      </c>
      <c r="Q159" s="1" t="s">
        <v>582</v>
      </c>
    </row>
    <row r="160">
      <c r="A160" s="1">
        <v>159.0</v>
      </c>
      <c r="B160" s="1" t="s">
        <v>583</v>
      </c>
      <c r="C160" s="1" t="s">
        <v>21</v>
      </c>
      <c r="K160" s="1">
        <v>2500.0</v>
      </c>
      <c r="N160" s="5">
        <v>44736.0</v>
      </c>
      <c r="Q160" s="1" t="s">
        <v>585</v>
      </c>
    </row>
    <row r="161">
      <c r="A161" s="1">
        <v>160.0</v>
      </c>
      <c r="B161" s="1" t="s">
        <v>586</v>
      </c>
      <c r="C161" s="1" t="s">
        <v>21</v>
      </c>
      <c r="I161" s="4"/>
      <c r="K161" s="1">
        <v>150.0</v>
      </c>
      <c r="N161" s="5">
        <v>44196.0</v>
      </c>
      <c r="Q161" s="1" t="s">
        <v>588</v>
      </c>
    </row>
    <row r="162">
      <c r="A162" s="1">
        <v>161.0</v>
      </c>
      <c r="B162" s="1" t="s">
        <v>589</v>
      </c>
      <c r="C162" s="1" t="s">
        <v>21</v>
      </c>
      <c r="N162" s="5">
        <v>44662.0</v>
      </c>
      <c r="Q162" s="1" t="s">
        <v>402</v>
      </c>
    </row>
    <row r="163">
      <c r="A163" s="1">
        <v>162.0</v>
      </c>
      <c r="B163" s="1" t="s">
        <v>591</v>
      </c>
      <c r="C163" s="1" t="s">
        <v>21</v>
      </c>
      <c r="K163" s="1">
        <v>80.0</v>
      </c>
      <c r="N163" s="5">
        <v>44080.0</v>
      </c>
      <c r="Q163" s="1" t="s">
        <v>593</v>
      </c>
    </row>
    <row r="164">
      <c r="A164" s="1">
        <v>163.0</v>
      </c>
      <c r="B164" s="1" t="s">
        <v>595</v>
      </c>
      <c r="C164" s="1" t="s">
        <v>21</v>
      </c>
      <c r="K164" s="1">
        <v>10.0</v>
      </c>
      <c r="N164" s="5">
        <v>45617.0</v>
      </c>
      <c r="Q164" s="1" t="s">
        <v>597</v>
      </c>
    </row>
    <row r="165">
      <c r="A165" s="1">
        <v>164.0</v>
      </c>
      <c r="B165" s="1" t="s">
        <v>598</v>
      </c>
      <c r="C165" s="1" t="s">
        <v>21</v>
      </c>
      <c r="K165" s="1">
        <v>100.0</v>
      </c>
      <c r="N165" s="5">
        <v>44666.0</v>
      </c>
      <c r="Q165" s="1" t="s">
        <v>600</v>
      </c>
    </row>
    <row r="166">
      <c r="A166" s="1">
        <v>165.0</v>
      </c>
      <c r="B166" s="1" t="s">
        <v>602</v>
      </c>
      <c r="C166" s="1" t="s">
        <v>21</v>
      </c>
      <c r="K166" s="1">
        <v>200.0</v>
      </c>
      <c r="N166" s="5">
        <v>44611.0</v>
      </c>
      <c r="Q166" s="1" t="s">
        <v>603</v>
      </c>
    </row>
    <row r="167">
      <c r="A167" s="1">
        <v>166.0</v>
      </c>
      <c r="B167" s="1" t="s">
        <v>605</v>
      </c>
      <c r="C167" s="1" t="s">
        <v>21</v>
      </c>
      <c r="K167" s="1">
        <v>50.0</v>
      </c>
      <c r="N167" s="5">
        <v>43989.0</v>
      </c>
      <c r="Q167" s="1" t="s">
        <v>607</v>
      </c>
    </row>
    <row r="168">
      <c r="A168" s="1">
        <v>167.0</v>
      </c>
      <c r="B168" s="1" t="s">
        <v>608</v>
      </c>
      <c r="C168" s="1" t="s">
        <v>21</v>
      </c>
      <c r="K168" s="1">
        <v>30.0</v>
      </c>
      <c r="N168" s="5">
        <v>44800.0</v>
      </c>
      <c r="Q168" s="1" t="s">
        <v>610</v>
      </c>
    </row>
    <row r="169">
      <c r="A169" s="1">
        <v>168.0</v>
      </c>
      <c r="B169" s="1" t="s">
        <v>611</v>
      </c>
      <c r="C169" s="1" t="s">
        <v>21</v>
      </c>
      <c r="K169" s="1">
        <v>450.0</v>
      </c>
      <c r="N169" s="5">
        <v>44040.0</v>
      </c>
      <c r="Q169" s="1" t="s">
        <v>613</v>
      </c>
    </row>
    <row r="170">
      <c r="A170" s="1">
        <v>169.0</v>
      </c>
      <c r="B170" s="1" t="s">
        <v>615</v>
      </c>
      <c r="C170" s="1" t="s">
        <v>21</v>
      </c>
      <c r="K170" s="1">
        <v>10.0</v>
      </c>
      <c r="N170" s="5">
        <v>44862.0</v>
      </c>
      <c r="Q170" s="1" t="s">
        <v>616</v>
      </c>
    </row>
    <row r="171">
      <c r="A171" s="1">
        <v>170.0</v>
      </c>
      <c r="B171" s="1" t="s">
        <v>618</v>
      </c>
      <c r="C171" s="1" t="s">
        <v>21</v>
      </c>
      <c r="K171" s="1">
        <v>20.0</v>
      </c>
      <c r="N171" s="5">
        <v>44721.0</v>
      </c>
      <c r="Q171" s="1" t="s">
        <v>620</v>
      </c>
    </row>
    <row r="172">
      <c r="A172" s="1">
        <v>171.0</v>
      </c>
      <c r="B172" s="1" t="s">
        <v>621</v>
      </c>
      <c r="C172" s="1" t="s">
        <v>21</v>
      </c>
      <c r="K172" s="1">
        <v>40.0</v>
      </c>
      <c r="N172" s="5">
        <v>45681.0</v>
      </c>
      <c r="Q172" s="1" t="s">
        <v>623</v>
      </c>
    </row>
    <row r="173">
      <c r="A173" s="1">
        <v>172.0</v>
      </c>
      <c r="B173" s="1" t="s">
        <v>625</v>
      </c>
      <c r="C173" s="1" t="s">
        <v>21</v>
      </c>
      <c r="K173" s="1">
        <v>60.0</v>
      </c>
      <c r="N173" s="5">
        <v>45026.0</v>
      </c>
      <c r="Q173" s="1" t="s">
        <v>402</v>
      </c>
    </row>
    <row r="174">
      <c r="A174" s="1">
        <v>173.0</v>
      </c>
      <c r="B174" s="1" t="s">
        <v>627</v>
      </c>
      <c r="C174" s="1" t="s">
        <v>21</v>
      </c>
      <c r="K174" s="1">
        <v>20.0</v>
      </c>
      <c r="N174" s="5">
        <v>45151.0</v>
      </c>
      <c r="Q174" s="1" t="s">
        <v>629</v>
      </c>
    </row>
    <row r="175">
      <c r="A175" s="1">
        <v>174.0</v>
      </c>
      <c r="B175" s="1" t="s">
        <v>630</v>
      </c>
      <c r="C175" s="1" t="s">
        <v>21</v>
      </c>
      <c r="K175" s="1">
        <v>350.0</v>
      </c>
      <c r="N175" s="5">
        <v>44065.0</v>
      </c>
      <c r="Q175" s="1" t="s">
        <v>632</v>
      </c>
    </row>
    <row r="176">
      <c r="A176" s="1">
        <v>175.0</v>
      </c>
      <c r="B176" s="1" t="s">
        <v>633</v>
      </c>
      <c r="C176" s="1" t="s">
        <v>21</v>
      </c>
      <c r="K176" s="1">
        <v>150.0</v>
      </c>
      <c r="N176" s="5">
        <v>43913.0</v>
      </c>
      <c r="Q176" s="1" t="s">
        <v>635</v>
      </c>
    </row>
    <row r="177">
      <c r="A177" s="1">
        <v>176.0</v>
      </c>
      <c r="B177" s="1" t="s">
        <v>636</v>
      </c>
      <c r="C177" s="1" t="s">
        <v>21</v>
      </c>
      <c r="K177" s="1">
        <v>60.0</v>
      </c>
      <c r="N177" s="5">
        <v>44642.0</v>
      </c>
      <c r="Q177" s="1" t="s">
        <v>638</v>
      </c>
    </row>
    <row r="178">
      <c r="A178" s="1">
        <v>177.0</v>
      </c>
      <c r="B178" s="1" t="s">
        <v>640</v>
      </c>
      <c r="C178" s="1" t="s">
        <v>21</v>
      </c>
      <c r="K178" s="1">
        <v>20.0</v>
      </c>
      <c r="N178" s="5">
        <v>45517.0</v>
      </c>
      <c r="Q178" s="1" t="s">
        <v>642</v>
      </c>
    </row>
    <row r="179">
      <c r="A179" s="1">
        <v>178.0</v>
      </c>
      <c r="B179" s="1" t="s">
        <v>643</v>
      </c>
      <c r="C179" s="1" t="s">
        <v>21</v>
      </c>
      <c r="K179" s="1">
        <v>60.0</v>
      </c>
      <c r="N179" s="5">
        <v>45346.0</v>
      </c>
      <c r="Q179" s="1" t="s">
        <v>646</v>
      </c>
    </row>
    <row r="180">
      <c r="A180" s="1">
        <v>179.0</v>
      </c>
      <c r="B180" s="1" t="s">
        <v>647</v>
      </c>
      <c r="C180" s="1" t="s">
        <v>21</v>
      </c>
      <c r="I180" s="4"/>
      <c r="K180" s="1">
        <v>60.0</v>
      </c>
      <c r="N180" s="5">
        <v>44655.0</v>
      </c>
      <c r="Q180" s="1" t="s">
        <v>648</v>
      </c>
    </row>
    <row r="181">
      <c r="A181" s="1">
        <v>180.0</v>
      </c>
      <c r="B181" s="1" t="s">
        <v>649</v>
      </c>
      <c r="C181" s="1" t="s">
        <v>21</v>
      </c>
      <c r="N181" s="5">
        <v>45160.0</v>
      </c>
      <c r="Q181" s="1" t="s">
        <v>402</v>
      </c>
    </row>
    <row r="182">
      <c r="A182" s="1">
        <v>181.0</v>
      </c>
      <c r="B182" s="1" t="s">
        <v>650</v>
      </c>
      <c r="C182" s="1" t="s">
        <v>21</v>
      </c>
      <c r="N182" s="5">
        <v>44464.0</v>
      </c>
      <c r="Q182" s="1" t="s">
        <v>402</v>
      </c>
    </row>
    <row r="183">
      <c r="A183" s="1">
        <v>182.0</v>
      </c>
      <c r="B183" s="1" t="s">
        <v>651</v>
      </c>
      <c r="C183" s="1" t="s">
        <v>21</v>
      </c>
      <c r="N183" s="5">
        <v>45071.0</v>
      </c>
      <c r="Q183" s="1" t="s">
        <v>402</v>
      </c>
    </row>
    <row r="184">
      <c r="A184" s="1">
        <v>183.0</v>
      </c>
      <c r="B184" s="1" t="s">
        <v>653</v>
      </c>
      <c r="C184" s="1" t="s">
        <v>21</v>
      </c>
      <c r="K184" s="1">
        <v>70.0</v>
      </c>
      <c r="N184" s="5">
        <v>44553.0</v>
      </c>
      <c r="Q184" s="1" t="s">
        <v>654</v>
      </c>
    </row>
    <row r="185">
      <c r="A185" s="1">
        <v>184.0</v>
      </c>
      <c r="B185" s="1" t="s">
        <v>655</v>
      </c>
      <c r="C185" s="1" t="s">
        <v>21</v>
      </c>
      <c r="N185" s="5">
        <v>44430.0</v>
      </c>
      <c r="Q185" s="1" t="s">
        <v>402</v>
      </c>
    </row>
    <row r="186">
      <c r="A186" s="1">
        <v>185.0</v>
      </c>
      <c r="B186" s="1" t="s">
        <v>658</v>
      </c>
      <c r="C186" s="1" t="s">
        <v>21</v>
      </c>
      <c r="N186" s="5">
        <v>45033.0</v>
      </c>
      <c r="Q186" s="1" t="s">
        <v>402</v>
      </c>
    </row>
    <row r="187">
      <c r="A187" s="1">
        <v>186.0</v>
      </c>
      <c r="B187" s="1" t="s">
        <v>659</v>
      </c>
      <c r="C187" s="1" t="s">
        <v>21</v>
      </c>
      <c r="K187" s="1">
        <v>250.0</v>
      </c>
      <c r="N187" s="5">
        <v>45488.0</v>
      </c>
      <c r="Q187" s="1" t="s">
        <v>660</v>
      </c>
    </row>
    <row r="188">
      <c r="A188" s="1">
        <v>187.0</v>
      </c>
      <c r="B188" s="1" t="s">
        <v>661</v>
      </c>
      <c r="C188" s="1" t="s">
        <v>21</v>
      </c>
      <c r="K188" s="1">
        <v>60.0</v>
      </c>
      <c r="N188" s="5">
        <v>43860.0</v>
      </c>
      <c r="Q188" s="1" t="s">
        <v>662</v>
      </c>
    </row>
    <row r="189">
      <c r="A189" s="1">
        <v>188.0</v>
      </c>
      <c r="B189" s="1" t="s">
        <v>663</v>
      </c>
      <c r="C189" s="1" t="s">
        <v>21</v>
      </c>
      <c r="K189" s="1">
        <v>40.0</v>
      </c>
      <c r="N189" s="5">
        <v>44171.0</v>
      </c>
      <c r="Q189" s="1" t="s">
        <v>664</v>
      </c>
    </row>
    <row r="190">
      <c r="A190" s="1">
        <v>189.0</v>
      </c>
      <c r="B190" s="1" t="s">
        <v>665</v>
      </c>
      <c r="C190" s="1" t="s">
        <v>21</v>
      </c>
      <c r="K190" s="1">
        <v>40.0</v>
      </c>
      <c r="N190" s="5">
        <v>44418.0</v>
      </c>
      <c r="Q190" s="1" t="s">
        <v>666</v>
      </c>
    </row>
    <row r="191">
      <c r="A191" s="1">
        <v>190.0</v>
      </c>
      <c r="B191" s="1" t="s">
        <v>667</v>
      </c>
      <c r="C191" s="1" t="s">
        <v>21</v>
      </c>
      <c r="K191" s="1">
        <v>90.0</v>
      </c>
      <c r="N191" s="5">
        <v>44802.0</v>
      </c>
      <c r="Q191" s="1" t="s">
        <v>668</v>
      </c>
    </row>
    <row r="192">
      <c r="A192" s="1">
        <v>191.0</v>
      </c>
      <c r="B192" s="1" t="s">
        <v>669</v>
      </c>
      <c r="C192" s="1" t="s">
        <v>21</v>
      </c>
      <c r="K192" s="1">
        <v>50.0</v>
      </c>
      <c r="N192" s="5">
        <v>44368.0</v>
      </c>
      <c r="Q192" s="1" t="s">
        <v>670</v>
      </c>
    </row>
    <row r="193">
      <c r="A193" s="1">
        <v>192.0</v>
      </c>
      <c r="B193" s="1" t="s">
        <v>671</v>
      </c>
      <c r="C193" s="1" t="s">
        <v>21</v>
      </c>
      <c r="K193" s="1">
        <v>200.0</v>
      </c>
      <c r="N193" s="5">
        <v>43944.0</v>
      </c>
      <c r="Q193" s="1" t="s">
        <v>674</v>
      </c>
    </row>
    <row r="194">
      <c r="A194" s="1">
        <v>193.0</v>
      </c>
      <c r="B194" s="1" t="s">
        <v>675</v>
      </c>
      <c r="C194" s="1" t="s">
        <v>21</v>
      </c>
      <c r="K194" s="1">
        <v>30.0</v>
      </c>
      <c r="N194" s="5">
        <v>45734.0</v>
      </c>
      <c r="Q194" s="1" t="s">
        <v>677</v>
      </c>
    </row>
    <row r="195">
      <c r="A195" s="1">
        <v>194.0</v>
      </c>
      <c r="B195" s="1" t="s">
        <v>678</v>
      </c>
      <c r="C195" s="1" t="s">
        <v>21</v>
      </c>
      <c r="K195" s="1">
        <v>200.0</v>
      </c>
      <c r="N195" s="5">
        <v>44548.0</v>
      </c>
      <c r="Q195" s="1" t="s">
        <v>679</v>
      </c>
    </row>
    <row r="196">
      <c r="A196" s="1">
        <v>195.0</v>
      </c>
      <c r="B196" s="1" t="s">
        <v>680</v>
      </c>
      <c r="C196" s="1" t="s">
        <v>21</v>
      </c>
      <c r="K196" s="1">
        <v>900.0</v>
      </c>
      <c r="N196" s="5">
        <v>44425.0</v>
      </c>
      <c r="Q196" s="1" t="s">
        <v>681</v>
      </c>
    </row>
    <row r="197">
      <c r="A197" s="1">
        <v>196.0</v>
      </c>
      <c r="B197" s="1" t="s">
        <v>682</v>
      </c>
      <c r="C197" s="1" t="s">
        <v>21</v>
      </c>
      <c r="K197" s="1">
        <v>250.0</v>
      </c>
      <c r="N197" s="5">
        <v>43888.0</v>
      </c>
      <c r="Q197" s="1" t="s">
        <v>683</v>
      </c>
    </row>
    <row r="198">
      <c r="A198" s="1">
        <v>197.0</v>
      </c>
      <c r="B198" s="1" t="s">
        <v>685</v>
      </c>
      <c r="C198" s="1" t="s">
        <v>21</v>
      </c>
      <c r="K198" s="1">
        <v>250.0</v>
      </c>
      <c r="N198" s="5">
        <v>44134.0</v>
      </c>
      <c r="Q198" s="1" t="s">
        <v>687</v>
      </c>
    </row>
    <row r="199">
      <c r="A199" s="1">
        <v>198.0</v>
      </c>
      <c r="B199" s="1" t="s">
        <v>689</v>
      </c>
      <c r="C199" s="1" t="s">
        <v>21</v>
      </c>
      <c r="K199" s="1">
        <v>60.0</v>
      </c>
      <c r="N199" s="5">
        <v>44777.0</v>
      </c>
      <c r="Q199" s="1" t="s">
        <v>402</v>
      </c>
    </row>
    <row r="200">
      <c r="A200" s="1">
        <v>199.0</v>
      </c>
      <c r="B200" s="1" t="s">
        <v>690</v>
      </c>
      <c r="C200" s="1" t="s">
        <v>21</v>
      </c>
      <c r="K200" s="1">
        <v>100.0</v>
      </c>
      <c r="N200" s="5">
        <v>45387.0</v>
      </c>
      <c r="Q200" s="1" t="s">
        <v>692</v>
      </c>
    </row>
    <row r="201">
      <c r="A201" s="1">
        <v>200.0</v>
      </c>
      <c r="B201" s="1" t="s">
        <v>693</v>
      </c>
      <c r="C201" s="1" t="s">
        <v>21</v>
      </c>
      <c r="K201" s="1">
        <v>10.0</v>
      </c>
      <c r="N201" s="5">
        <v>45403.0</v>
      </c>
      <c r="Q201" s="1" t="s">
        <v>694</v>
      </c>
    </row>
    <row r="202">
      <c r="A202" s="1">
        <v>201.0</v>
      </c>
      <c r="B202" s="1" t="s">
        <v>696</v>
      </c>
      <c r="C202" s="1" t="s">
        <v>21</v>
      </c>
      <c r="I202" s="4"/>
      <c r="K202" s="1">
        <v>150.0</v>
      </c>
      <c r="N202" s="5">
        <v>44295.0</v>
      </c>
      <c r="Q202" s="1" t="s">
        <v>699</v>
      </c>
    </row>
    <row r="203">
      <c r="A203" s="1">
        <v>202.0</v>
      </c>
      <c r="B203" s="1" t="s">
        <v>700</v>
      </c>
      <c r="C203" s="1" t="s">
        <v>21</v>
      </c>
      <c r="K203" s="1">
        <v>70.0</v>
      </c>
      <c r="N203" s="5">
        <v>44935.0</v>
      </c>
      <c r="Q203" s="1" t="s">
        <v>701</v>
      </c>
    </row>
    <row r="204">
      <c r="A204" s="1">
        <v>203.0</v>
      </c>
      <c r="B204" s="1" t="s">
        <v>702</v>
      </c>
      <c r="C204" s="1" t="s">
        <v>21</v>
      </c>
      <c r="K204" s="1">
        <v>10.0</v>
      </c>
      <c r="N204" s="5">
        <v>45248.0</v>
      </c>
      <c r="Q204" s="1" t="s">
        <v>703</v>
      </c>
    </row>
    <row r="205">
      <c r="A205" s="1">
        <v>204.0</v>
      </c>
      <c r="B205" s="1" t="s">
        <v>704</v>
      </c>
      <c r="C205" s="1" t="s">
        <v>21</v>
      </c>
      <c r="N205" s="5">
        <v>44739.0</v>
      </c>
      <c r="Q205" s="1" t="s">
        <v>402</v>
      </c>
    </row>
    <row r="206">
      <c r="A206" s="1">
        <v>205.0</v>
      </c>
      <c r="B206" s="1" t="s">
        <v>707</v>
      </c>
      <c r="C206" s="1" t="s">
        <v>21</v>
      </c>
      <c r="K206" s="1">
        <v>10.0</v>
      </c>
      <c r="N206" s="5">
        <v>45688.0</v>
      </c>
      <c r="Q206" s="1" t="s">
        <v>709</v>
      </c>
    </row>
    <row r="207">
      <c r="A207" s="1">
        <v>206.0</v>
      </c>
      <c r="B207" s="1" t="s">
        <v>710</v>
      </c>
      <c r="C207" s="1" t="s">
        <v>21</v>
      </c>
      <c r="F207" s="1">
        <v>1.3</v>
      </c>
      <c r="K207" s="1">
        <v>400.0</v>
      </c>
      <c r="N207" s="5">
        <v>44056.0</v>
      </c>
      <c r="Q207" s="1" t="s">
        <v>712</v>
      </c>
    </row>
    <row r="208">
      <c r="A208" s="1">
        <v>207.0</v>
      </c>
      <c r="B208" s="1" t="s">
        <v>713</v>
      </c>
      <c r="C208" s="1" t="s">
        <v>21</v>
      </c>
      <c r="K208" s="1">
        <v>20.0</v>
      </c>
      <c r="N208" s="5">
        <v>44923.0</v>
      </c>
      <c r="Q208" s="1" t="s">
        <v>714</v>
      </c>
    </row>
    <row r="209">
      <c r="A209" s="1">
        <v>208.0</v>
      </c>
      <c r="B209" s="1" t="s">
        <v>715</v>
      </c>
      <c r="C209" s="1" t="s">
        <v>21</v>
      </c>
      <c r="K209" s="1">
        <v>40.0</v>
      </c>
      <c r="N209" s="5">
        <v>44754.0</v>
      </c>
      <c r="Q209" s="1" t="s">
        <v>718</v>
      </c>
    </row>
    <row r="210">
      <c r="A210" s="1">
        <v>209.0</v>
      </c>
      <c r="B210" s="1" t="s">
        <v>719</v>
      </c>
      <c r="C210" s="1" t="s">
        <v>21</v>
      </c>
      <c r="K210" s="1">
        <v>100.0</v>
      </c>
      <c r="N210" s="5">
        <v>44074.0</v>
      </c>
      <c r="Q210" s="1" t="s">
        <v>721</v>
      </c>
    </row>
    <row r="211">
      <c r="A211" s="1">
        <v>210.0</v>
      </c>
      <c r="B211" s="1" t="s">
        <v>722</v>
      </c>
      <c r="C211" s="1" t="s">
        <v>21</v>
      </c>
      <c r="K211" s="1">
        <v>350.0</v>
      </c>
      <c r="N211" s="5">
        <v>43917.0</v>
      </c>
      <c r="Q211" s="1" t="s">
        <v>723</v>
      </c>
    </row>
    <row r="212">
      <c r="A212" s="1">
        <v>211.0</v>
      </c>
      <c r="B212" s="1" t="s">
        <v>724</v>
      </c>
      <c r="C212" s="1" t="s">
        <v>21</v>
      </c>
      <c r="K212" s="1">
        <v>40.0</v>
      </c>
      <c r="N212" s="5">
        <v>43885.0</v>
      </c>
      <c r="Q212" s="1" t="s">
        <v>725</v>
      </c>
    </row>
    <row r="213">
      <c r="A213" s="1">
        <v>212.0</v>
      </c>
      <c r="B213" s="1" t="s">
        <v>726</v>
      </c>
      <c r="C213" s="1" t="s">
        <v>21</v>
      </c>
      <c r="K213" s="1">
        <v>30.0</v>
      </c>
      <c r="N213" s="5">
        <v>44824.0</v>
      </c>
      <c r="Q213" s="1" t="s">
        <v>729</v>
      </c>
    </row>
    <row r="214">
      <c r="A214" s="1">
        <v>213.0</v>
      </c>
      <c r="B214" s="1" t="s">
        <v>730</v>
      </c>
      <c r="C214" s="1" t="s">
        <v>21</v>
      </c>
      <c r="N214" s="5">
        <v>45157.0</v>
      </c>
      <c r="Q214" s="1" t="s">
        <v>402</v>
      </c>
    </row>
    <row r="215">
      <c r="A215" s="1">
        <v>214.0</v>
      </c>
      <c r="B215" s="1" t="s">
        <v>731</v>
      </c>
      <c r="C215" s="1" t="s">
        <v>21</v>
      </c>
      <c r="K215" s="1">
        <v>350.0</v>
      </c>
      <c r="N215" s="5">
        <v>45343.0</v>
      </c>
      <c r="Q215" s="1" t="s">
        <v>733</v>
      </c>
    </row>
    <row r="216">
      <c r="A216" s="1">
        <v>215.0</v>
      </c>
      <c r="B216" s="1" t="s">
        <v>734</v>
      </c>
      <c r="C216" s="1" t="s">
        <v>21</v>
      </c>
      <c r="N216" s="5">
        <v>46055.0</v>
      </c>
      <c r="Q216" s="1" t="s">
        <v>735</v>
      </c>
    </row>
    <row r="217">
      <c r="A217" s="1">
        <v>216.0</v>
      </c>
      <c r="B217" s="1" t="s">
        <v>736</v>
      </c>
      <c r="C217" s="1" t="s">
        <v>21</v>
      </c>
      <c r="N217" s="5">
        <v>44905.0</v>
      </c>
      <c r="Q217" s="1" t="s">
        <v>402</v>
      </c>
    </row>
    <row r="218">
      <c r="A218" s="1">
        <v>217.0</v>
      </c>
      <c r="B218" s="1" t="s">
        <v>738</v>
      </c>
      <c r="C218" s="1" t="s">
        <v>21</v>
      </c>
      <c r="K218" s="1">
        <v>60.0</v>
      </c>
      <c r="N218" s="5">
        <v>45449.0</v>
      </c>
      <c r="Q218" s="1" t="s">
        <v>739</v>
      </c>
    </row>
    <row r="219">
      <c r="A219" s="1">
        <v>218.0</v>
      </c>
      <c r="B219" s="1" t="s">
        <v>740</v>
      </c>
      <c r="C219" s="1" t="s">
        <v>21</v>
      </c>
      <c r="K219" s="1">
        <v>20.0</v>
      </c>
      <c r="N219" s="5">
        <v>45973.0</v>
      </c>
      <c r="Q219" s="1" t="s">
        <v>743</v>
      </c>
    </row>
    <row r="220">
      <c r="A220" s="1">
        <v>219.0</v>
      </c>
      <c r="B220" s="1" t="s">
        <v>744</v>
      </c>
      <c r="C220" s="1" t="s">
        <v>21</v>
      </c>
      <c r="K220" s="1">
        <v>60.0</v>
      </c>
      <c r="N220" s="5">
        <v>44350.0</v>
      </c>
      <c r="Q220" s="1" t="s">
        <v>746</v>
      </c>
    </row>
    <row r="221">
      <c r="A221" s="1">
        <v>220.0</v>
      </c>
      <c r="B221" s="1" t="s">
        <v>747</v>
      </c>
      <c r="C221" s="1" t="s">
        <v>21</v>
      </c>
      <c r="K221" s="1">
        <v>80.0</v>
      </c>
      <c r="N221" s="5">
        <v>44902.0</v>
      </c>
      <c r="Q221" s="1" t="s">
        <v>748</v>
      </c>
    </row>
    <row r="222">
      <c r="A222" s="1">
        <v>221.0</v>
      </c>
      <c r="B222" s="1" t="s">
        <v>749</v>
      </c>
      <c r="C222" s="1" t="s">
        <v>21</v>
      </c>
      <c r="K222" s="1">
        <v>20.0</v>
      </c>
      <c r="N222" s="5">
        <v>45372.0</v>
      </c>
      <c r="Q222" s="1" t="s">
        <v>750</v>
      </c>
    </row>
    <row r="223">
      <c r="A223" s="1">
        <v>222.0</v>
      </c>
      <c r="B223" s="1" t="s">
        <v>751</v>
      </c>
      <c r="C223" s="1" t="s">
        <v>21</v>
      </c>
      <c r="K223" s="1">
        <v>150.0</v>
      </c>
      <c r="N223" s="5">
        <v>43895.0</v>
      </c>
      <c r="Q223" s="1" t="s">
        <v>754</v>
      </c>
    </row>
    <row r="224">
      <c r="A224" s="1">
        <v>223.0</v>
      </c>
      <c r="B224" s="1" t="s">
        <v>756</v>
      </c>
      <c r="C224" s="1" t="s">
        <v>21</v>
      </c>
      <c r="K224" s="1">
        <v>10.0</v>
      </c>
      <c r="N224" s="5">
        <v>44594.0</v>
      </c>
      <c r="Q224" s="1" t="s">
        <v>757</v>
      </c>
    </row>
    <row r="225">
      <c r="A225" s="1">
        <v>224.0</v>
      </c>
      <c r="B225" s="1" t="s">
        <v>758</v>
      </c>
      <c r="C225" s="1" t="s">
        <v>21</v>
      </c>
      <c r="K225" s="1">
        <v>40.0</v>
      </c>
      <c r="N225" s="5">
        <v>44839.0</v>
      </c>
      <c r="Q225" s="1" t="s">
        <v>759</v>
      </c>
    </row>
    <row r="226">
      <c r="A226" s="1">
        <v>225.0</v>
      </c>
      <c r="B226" s="1" t="s">
        <v>760</v>
      </c>
      <c r="C226" s="1" t="s">
        <v>21</v>
      </c>
      <c r="K226" s="1">
        <v>150.0</v>
      </c>
      <c r="N226" s="5">
        <v>43947.0</v>
      </c>
      <c r="Q226" s="1" t="s">
        <v>761</v>
      </c>
    </row>
    <row r="227">
      <c r="A227" s="1">
        <v>226.0</v>
      </c>
      <c r="B227" s="1" t="s">
        <v>763</v>
      </c>
      <c r="C227" s="1" t="s">
        <v>21</v>
      </c>
      <c r="K227" s="1">
        <v>100.0</v>
      </c>
      <c r="N227" s="5">
        <v>45566.0</v>
      </c>
      <c r="Q227" s="1" t="s">
        <v>765</v>
      </c>
    </row>
    <row r="228">
      <c r="A228" s="1">
        <v>227.0</v>
      </c>
      <c r="B228" s="1" t="s">
        <v>767</v>
      </c>
      <c r="C228" s="1" t="s">
        <v>21</v>
      </c>
      <c r="K228" s="1">
        <v>500.0</v>
      </c>
      <c r="N228" s="5">
        <v>45244.0</v>
      </c>
      <c r="Q228" s="1" t="s">
        <v>768</v>
      </c>
    </row>
    <row r="229">
      <c r="A229" s="1">
        <v>228.0</v>
      </c>
      <c r="B229" s="1" t="s">
        <v>769</v>
      </c>
      <c r="C229" s="1" t="s">
        <v>21</v>
      </c>
      <c r="K229" s="1">
        <v>20.0</v>
      </c>
      <c r="N229" s="5">
        <v>45342.0</v>
      </c>
      <c r="Q229" s="1" t="s">
        <v>771</v>
      </c>
    </row>
    <row r="230">
      <c r="A230" s="1">
        <v>229.0</v>
      </c>
      <c r="B230" s="1" t="s">
        <v>772</v>
      </c>
      <c r="C230" s="1" t="s">
        <v>21</v>
      </c>
      <c r="K230" s="1">
        <v>150.0</v>
      </c>
      <c r="N230" s="5">
        <v>45167.0</v>
      </c>
      <c r="Q230" s="1" t="s">
        <v>773</v>
      </c>
    </row>
    <row r="231">
      <c r="A231" s="1">
        <v>230.0</v>
      </c>
      <c r="B231" s="1" t="s">
        <v>774</v>
      </c>
      <c r="C231" s="1" t="s">
        <v>21</v>
      </c>
      <c r="K231" s="1">
        <v>300.0</v>
      </c>
      <c r="N231" s="5">
        <v>43927.0</v>
      </c>
      <c r="Q231" s="1" t="s">
        <v>776</v>
      </c>
    </row>
    <row r="232">
      <c r="A232" s="1">
        <v>231.0</v>
      </c>
      <c r="B232" s="1" t="s">
        <v>778</v>
      </c>
      <c r="C232" s="1" t="s">
        <v>21</v>
      </c>
      <c r="K232" s="1">
        <v>40.0</v>
      </c>
      <c r="N232" s="5">
        <v>45110.0</v>
      </c>
      <c r="Q232" s="1" t="s">
        <v>402</v>
      </c>
    </row>
    <row r="233">
      <c r="A233" s="1">
        <v>232.0</v>
      </c>
      <c r="B233" s="1" t="s">
        <v>22</v>
      </c>
      <c r="C233" s="1" t="s">
        <v>21</v>
      </c>
      <c r="K233" s="1">
        <v>30.0</v>
      </c>
      <c r="N233" s="5">
        <v>44637.0</v>
      </c>
      <c r="Q233" s="1" t="s">
        <v>28</v>
      </c>
    </row>
    <row r="234">
      <c r="A234" s="1">
        <v>233.0</v>
      </c>
      <c r="B234" s="1" t="s">
        <v>782</v>
      </c>
      <c r="C234" s="1" t="s">
        <v>21</v>
      </c>
      <c r="K234" s="1">
        <v>150.0</v>
      </c>
      <c r="N234" s="5">
        <v>43908.0</v>
      </c>
      <c r="Q234" s="1" t="s">
        <v>783</v>
      </c>
    </row>
    <row r="235">
      <c r="A235" s="1">
        <v>234.0</v>
      </c>
      <c r="B235" s="1" t="s">
        <v>784</v>
      </c>
      <c r="C235" s="1" t="s">
        <v>21</v>
      </c>
      <c r="K235" s="1">
        <v>100.0</v>
      </c>
      <c r="N235" s="5">
        <v>44720.0</v>
      </c>
      <c r="Q235" s="1" t="s">
        <v>786</v>
      </c>
    </row>
    <row r="236">
      <c r="A236" s="1">
        <v>235.0</v>
      </c>
      <c r="B236" s="1" t="s">
        <v>70</v>
      </c>
      <c r="C236" s="1" t="s">
        <v>21</v>
      </c>
      <c r="D236" s="1">
        <v>0.0</v>
      </c>
      <c r="H236" s="1" t="s">
        <v>71</v>
      </c>
      <c r="I236" s="4">
        <v>46237.51719907407</v>
      </c>
      <c r="K236" s="1">
        <v>80.0</v>
      </c>
      <c r="N236" s="5">
        <v>43869.0</v>
      </c>
      <c r="Q236" s="1" t="s">
        <v>72</v>
      </c>
    </row>
    <row r="237">
      <c r="A237" s="1">
        <v>236.0</v>
      </c>
      <c r="B237" s="1" t="s">
        <v>788</v>
      </c>
      <c r="C237" s="1" t="s">
        <v>21</v>
      </c>
      <c r="N237" s="5">
        <v>44405.0</v>
      </c>
      <c r="Q237" s="1" t="s">
        <v>414</v>
      </c>
    </row>
    <row r="238">
      <c r="A238" s="1">
        <v>237.0</v>
      </c>
      <c r="B238" s="1" t="s">
        <v>789</v>
      </c>
      <c r="C238" s="1" t="s">
        <v>21</v>
      </c>
      <c r="N238" s="5">
        <v>45170.0</v>
      </c>
      <c r="Q238" s="1" t="s">
        <v>402</v>
      </c>
    </row>
    <row r="239">
      <c r="A239" s="1">
        <v>238.0</v>
      </c>
      <c r="B239" s="1" t="s">
        <v>791</v>
      </c>
      <c r="C239" s="1" t="s">
        <v>21</v>
      </c>
      <c r="K239" s="1">
        <v>30.0</v>
      </c>
      <c r="N239" s="5">
        <v>44456.0</v>
      </c>
      <c r="Q239" s="1" t="s">
        <v>793</v>
      </c>
    </row>
    <row r="240">
      <c r="A240" s="1">
        <v>239.0</v>
      </c>
      <c r="B240" s="1" t="s">
        <v>794</v>
      </c>
      <c r="C240" s="1" t="s">
        <v>21</v>
      </c>
      <c r="K240" s="1">
        <v>1100.0</v>
      </c>
      <c r="N240" s="5">
        <v>44344.0</v>
      </c>
      <c r="Q240" s="1" t="s">
        <v>795</v>
      </c>
    </row>
    <row r="241">
      <c r="A241" s="1">
        <v>240.0</v>
      </c>
      <c r="B241" s="1" t="s">
        <v>796</v>
      </c>
      <c r="C241" s="1" t="s">
        <v>21</v>
      </c>
      <c r="N241" s="5">
        <v>45608.0</v>
      </c>
      <c r="Q241" s="1" t="s">
        <v>797</v>
      </c>
    </row>
    <row r="242">
      <c r="A242" s="1">
        <v>241.0</v>
      </c>
      <c r="B242" s="1" t="s">
        <v>798</v>
      </c>
      <c r="C242" s="1" t="s">
        <v>21</v>
      </c>
      <c r="K242" s="1">
        <v>200.0</v>
      </c>
      <c r="N242" s="5">
        <v>45723.0</v>
      </c>
      <c r="Q242" s="1" t="s">
        <v>799</v>
      </c>
    </row>
    <row r="243">
      <c r="A243" s="1">
        <v>242.0</v>
      </c>
      <c r="B243" s="1" t="s">
        <v>800</v>
      </c>
      <c r="C243" s="1" t="s">
        <v>21</v>
      </c>
      <c r="K243" s="1">
        <v>70.0</v>
      </c>
      <c r="N243" s="5">
        <v>43841.0</v>
      </c>
      <c r="Q243" s="1" t="s">
        <v>801</v>
      </c>
    </row>
    <row r="244">
      <c r="A244" s="1">
        <v>243.0</v>
      </c>
      <c r="B244" s="1" t="s">
        <v>803</v>
      </c>
      <c r="C244" s="1" t="s">
        <v>21</v>
      </c>
      <c r="K244" s="1">
        <v>40.0</v>
      </c>
      <c r="N244" s="5">
        <v>45269.0</v>
      </c>
      <c r="Q244" s="1" t="s">
        <v>805</v>
      </c>
    </row>
    <row r="245">
      <c r="A245" s="1">
        <v>244.0</v>
      </c>
      <c r="B245" s="1" t="s">
        <v>806</v>
      </c>
      <c r="C245" s="1" t="s">
        <v>21</v>
      </c>
      <c r="N245" s="5">
        <v>45427.0</v>
      </c>
      <c r="Q245" s="1" t="s">
        <v>807</v>
      </c>
    </row>
    <row r="246">
      <c r="A246" s="1">
        <v>245.0</v>
      </c>
      <c r="B246" s="1" t="s">
        <v>808</v>
      </c>
      <c r="C246" s="1" t="s">
        <v>21</v>
      </c>
      <c r="K246" s="1">
        <v>300.0</v>
      </c>
      <c r="N246" s="5">
        <v>44600.0</v>
      </c>
      <c r="Q246" s="1" t="s">
        <v>809</v>
      </c>
    </row>
    <row r="247">
      <c r="A247" s="1">
        <v>246.0</v>
      </c>
      <c r="B247" s="1" t="s">
        <v>810</v>
      </c>
      <c r="C247" s="1" t="s">
        <v>21</v>
      </c>
      <c r="K247" s="1">
        <v>150.0</v>
      </c>
      <c r="N247" s="5">
        <v>44258.0</v>
      </c>
      <c r="Q247" s="1" t="s">
        <v>812</v>
      </c>
    </row>
    <row r="248">
      <c r="A248" s="1">
        <v>247.0</v>
      </c>
      <c r="B248" s="1" t="s">
        <v>814</v>
      </c>
      <c r="C248" s="1" t="s">
        <v>21</v>
      </c>
      <c r="N248" s="5">
        <v>44812.0</v>
      </c>
      <c r="Q248" s="1" t="s">
        <v>816</v>
      </c>
    </row>
    <row r="249">
      <c r="A249" s="1">
        <v>248.0</v>
      </c>
      <c r="B249" s="1" t="s">
        <v>817</v>
      </c>
      <c r="C249" s="1" t="s">
        <v>21</v>
      </c>
      <c r="I249" s="4"/>
      <c r="N249" s="5">
        <v>45313.0</v>
      </c>
      <c r="Q249" s="1" t="s">
        <v>818</v>
      </c>
    </row>
    <row r="250">
      <c r="A250" s="1">
        <v>249.0</v>
      </c>
      <c r="B250" s="1" t="s">
        <v>819</v>
      </c>
      <c r="C250" s="1" t="s">
        <v>21</v>
      </c>
      <c r="K250" s="1">
        <v>10.0</v>
      </c>
      <c r="N250" s="5">
        <v>44664.0</v>
      </c>
      <c r="Q250" s="1" t="s">
        <v>821</v>
      </c>
    </row>
    <row r="251">
      <c r="A251" s="1">
        <v>250.0</v>
      </c>
      <c r="B251" s="1" t="s">
        <v>822</v>
      </c>
      <c r="C251" s="1" t="s">
        <v>21</v>
      </c>
      <c r="K251" s="1">
        <v>50.0</v>
      </c>
      <c r="N251" s="5">
        <v>44345.0</v>
      </c>
      <c r="Q251" s="1" t="s">
        <v>402</v>
      </c>
    </row>
    <row r="252">
      <c r="A252" s="1">
        <v>251.0</v>
      </c>
      <c r="B252" s="1" t="s">
        <v>826</v>
      </c>
      <c r="C252" s="1" t="s">
        <v>21</v>
      </c>
      <c r="K252" s="1">
        <v>70.0</v>
      </c>
      <c r="N252" s="5">
        <v>44324.0</v>
      </c>
      <c r="Q252" s="1" t="s">
        <v>828</v>
      </c>
    </row>
    <row r="253">
      <c r="A253" s="1">
        <v>252.0</v>
      </c>
      <c r="B253" s="1" t="s">
        <v>829</v>
      </c>
      <c r="C253" s="1" t="s">
        <v>21</v>
      </c>
      <c r="K253" s="1">
        <v>20.0</v>
      </c>
      <c r="N253" s="5">
        <v>45493.0</v>
      </c>
      <c r="Q253" s="1" t="s">
        <v>830</v>
      </c>
    </row>
    <row r="254">
      <c r="A254" s="1">
        <v>253.0</v>
      </c>
      <c r="B254" s="1" t="s">
        <v>831</v>
      </c>
      <c r="C254" s="1" t="s">
        <v>21</v>
      </c>
      <c r="K254" s="1">
        <v>200.0</v>
      </c>
      <c r="N254" s="5">
        <v>43940.0</v>
      </c>
      <c r="Q254" s="1" t="s">
        <v>832</v>
      </c>
    </row>
    <row r="255">
      <c r="A255" s="1">
        <v>254.0</v>
      </c>
      <c r="B255" s="1" t="s">
        <v>833</v>
      </c>
      <c r="C255" s="1" t="s">
        <v>21</v>
      </c>
      <c r="N255" s="5">
        <v>44477.0</v>
      </c>
      <c r="Q255" s="1" t="s">
        <v>834</v>
      </c>
    </row>
    <row r="256">
      <c r="A256" s="1">
        <v>255.0</v>
      </c>
      <c r="B256" s="1" t="s">
        <v>836</v>
      </c>
      <c r="C256" s="1" t="s">
        <v>21</v>
      </c>
      <c r="N256" s="5">
        <v>44659.0</v>
      </c>
      <c r="Q256" s="1" t="s">
        <v>402</v>
      </c>
    </row>
    <row r="257">
      <c r="A257" s="1">
        <v>256.0</v>
      </c>
      <c r="B257" s="1" t="s">
        <v>839</v>
      </c>
      <c r="C257" s="1" t="s">
        <v>21</v>
      </c>
      <c r="K257" s="1">
        <v>100.0</v>
      </c>
      <c r="N257" s="5">
        <v>45028.0</v>
      </c>
      <c r="Q257" s="1" t="s">
        <v>840</v>
      </c>
    </row>
    <row r="258">
      <c r="A258" s="1">
        <v>257.0</v>
      </c>
      <c r="B258" s="1" t="s">
        <v>842</v>
      </c>
      <c r="C258" s="1" t="s">
        <v>21</v>
      </c>
      <c r="K258" s="1">
        <v>20.0</v>
      </c>
      <c r="N258" s="5">
        <v>45205.0</v>
      </c>
      <c r="Q258" s="1" t="s">
        <v>843</v>
      </c>
    </row>
    <row r="259">
      <c r="A259" s="1">
        <v>258.0</v>
      </c>
      <c r="B259" s="1" t="s">
        <v>844</v>
      </c>
      <c r="C259" s="1" t="s">
        <v>21</v>
      </c>
      <c r="K259" s="1">
        <v>300.0</v>
      </c>
      <c r="N259" s="5">
        <v>43844.0</v>
      </c>
      <c r="Q259" s="1" t="s">
        <v>845</v>
      </c>
    </row>
    <row r="260">
      <c r="A260" s="1">
        <v>259.0</v>
      </c>
      <c r="B260" s="1" t="s">
        <v>847</v>
      </c>
      <c r="C260" s="1" t="s">
        <v>21</v>
      </c>
      <c r="K260" s="1">
        <v>450.0</v>
      </c>
      <c r="N260" s="5">
        <v>43943.0</v>
      </c>
      <c r="Q260" s="1" t="s">
        <v>849</v>
      </c>
    </row>
    <row r="261">
      <c r="A261" s="1">
        <v>260.0</v>
      </c>
      <c r="B261" s="1" t="s">
        <v>851</v>
      </c>
      <c r="C261" s="1" t="s">
        <v>21</v>
      </c>
      <c r="I261" s="4"/>
      <c r="K261" s="1">
        <v>400.0</v>
      </c>
      <c r="N261" s="5">
        <v>44153.0</v>
      </c>
      <c r="Q261" s="1" t="s">
        <v>852</v>
      </c>
    </row>
    <row r="262">
      <c r="A262" s="1">
        <v>261.0</v>
      </c>
      <c r="B262" s="1" t="s">
        <v>854</v>
      </c>
      <c r="C262" s="1" t="s">
        <v>21</v>
      </c>
      <c r="K262" s="1">
        <v>30.0</v>
      </c>
      <c r="N262" s="5">
        <v>45756.0</v>
      </c>
      <c r="Q262" s="1" t="s">
        <v>856</v>
      </c>
    </row>
    <row r="263">
      <c r="A263" s="1">
        <v>262.0</v>
      </c>
      <c r="B263" s="1" t="s">
        <v>858</v>
      </c>
      <c r="C263" s="1" t="s">
        <v>21</v>
      </c>
      <c r="K263" s="1">
        <v>2200.0</v>
      </c>
      <c r="N263" s="5">
        <v>42494.0</v>
      </c>
      <c r="Q263" s="1" t="s">
        <v>860</v>
      </c>
    </row>
    <row r="264">
      <c r="A264" s="1">
        <v>263.0</v>
      </c>
      <c r="B264" s="1" t="s">
        <v>862</v>
      </c>
      <c r="C264" s="1" t="s">
        <v>21</v>
      </c>
      <c r="K264" s="1">
        <v>40.0</v>
      </c>
      <c r="N264" s="5">
        <v>44885.0</v>
      </c>
      <c r="Q264" s="1" t="s">
        <v>863</v>
      </c>
    </row>
    <row r="265">
      <c r="A265" s="1">
        <v>264.0</v>
      </c>
      <c r="B265" s="1" t="s">
        <v>864</v>
      </c>
      <c r="C265" s="1" t="s">
        <v>21</v>
      </c>
      <c r="N265" s="5">
        <v>44581.0</v>
      </c>
      <c r="Q265" s="1" t="s">
        <v>402</v>
      </c>
    </row>
    <row r="266">
      <c r="A266" s="1">
        <v>265.0</v>
      </c>
      <c r="B266" s="1" t="s">
        <v>865</v>
      </c>
      <c r="C266" s="1" t="s">
        <v>21</v>
      </c>
      <c r="K266" s="1">
        <v>40.0</v>
      </c>
      <c r="N266" s="5">
        <v>44796.0</v>
      </c>
      <c r="Q266" s="1" t="s">
        <v>866</v>
      </c>
    </row>
    <row r="267">
      <c r="A267" s="1">
        <v>266.0</v>
      </c>
      <c r="B267" s="1" t="s">
        <v>867</v>
      </c>
      <c r="C267" s="1" t="s">
        <v>21</v>
      </c>
      <c r="K267" s="1">
        <v>250.0</v>
      </c>
      <c r="N267" s="5">
        <v>43981.0</v>
      </c>
      <c r="Q267" s="1" t="s">
        <v>869</v>
      </c>
    </row>
    <row r="268">
      <c r="A268" s="1">
        <v>267.0</v>
      </c>
      <c r="B268" s="1" t="s">
        <v>870</v>
      </c>
      <c r="C268" s="1" t="s">
        <v>21</v>
      </c>
      <c r="K268" s="1">
        <v>40.0</v>
      </c>
      <c r="N268" s="5">
        <v>44290.0</v>
      </c>
      <c r="Q268" s="1" t="s">
        <v>871</v>
      </c>
    </row>
    <row r="269">
      <c r="A269" s="1">
        <v>268.0</v>
      </c>
      <c r="B269" s="1" t="s">
        <v>872</v>
      </c>
      <c r="C269" s="1" t="s">
        <v>21</v>
      </c>
      <c r="K269" s="1">
        <v>40.0</v>
      </c>
      <c r="N269" s="5">
        <v>44431.0</v>
      </c>
      <c r="Q269" s="1" t="s">
        <v>873</v>
      </c>
    </row>
    <row r="270">
      <c r="A270" s="1">
        <v>269.0</v>
      </c>
      <c r="B270" s="1" t="s">
        <v>874</v>
      </c>
      <c r="C270" s="1" t="s">
        <v>21</v>
      </c>
      <c r="K270" s="1">
        <v>200.0</v>
      </c>
      <c r="N270" s="5">
        <v>45534.0</v>
      </c>
      <c r="Q270" s="1" t="s">
        <v>875</v>
      </c>
    </row>
    <row r="271">
      <c r="A271" s="1">
        <v>270.0</v>
      </c>
      <c r="B271" s="1" t="s">
        <v>876</v>
      </c>
      <c r="C271" s="1" t="s">
        <v>21</v>
      </c>
      <c r="K271" s="1">
        <v>150.0</v>
      </c>
      <c r="N271" s="5">
        <v>43902.0</v>
      </c>
      <c r="Q271" s="1" t="s">
        <v>878</v>
      </c>
    </row>
    <row r="272">
      <c r="A272" s="1">
        <v>271.0</v>
      </c>
      <c r="B272" s="1" t="s">
        <v>879</v>
      </c>
      <c r="C272" s="1" t="s">
        <v>21</v>
      </c>
      <c r="K272" s="1">
        <v>100.0</v>
      </c>
      <c r="N272" s="5">
        <v>44674.0</v>
      </c>
      <c r="Q272" s="1" t="s">
        <v>880</v>
      </c>
    </row>
    <row r="273">
      <c r="A273" s="1">
        <v>272.0</v>
      </c>
      <c r="B273" s="1" t="s">
        <v>881</v>
      </c>
      <c r="C273" s="1" t="s">
        <v>21</v>
      </c>
      <c r="K273" s="1">
        <v>250.0</v>
      </c>
      <c r="N273" s="5">
        <v>43887.0</v>
      </c>
      <c r="Q273" s="1" t="s">
        <v>882</v>
      </c>
    </row>
    <row r="274">
      <c r="A274" s="1">
        <v>273.0</v>
      </c>
      <c r="B274" s="1" t="s">
        <v>883</v>
      </c>
      <c r="C274" s="1" t="s">
        <v>21</v>
      </c>
      <c r="K274" s="1">
        <v>40.0</v>
      </c>
      <c r="N274" s="5">
        <v>44368.0</v>
      </c>
      <c r="Q274" s="1" t="s">
        <v>885</v>
      </c>
    </row>
    <row r="275">
      <c r="A275" s="1">
        <v>274.0</v>
      </c>
      <c r="B275" s="1" t="s">
        <v>886</v>
      </c>
      <c r="C275" s="1" t="s">
        <v>21</v>
      </c>
      <c r="K275" s="1">
        <v>10.0</v>
      </c>
      <c r="N275" s="5">
        <v>45958.0</v>
      </c>
      <c r="Q275" s="1" t="s">
        <v>888</v>
      </c>
    </row>
    <row r="276">
      <c r="A276" s="1">
        <v>275.0</v>
      </c>
      <c r="B276" s="1" t="s">
        <v>889</v>
      </c>
      <c r="C276" s="1" t="s">
        <v>21</v>
      </c>
      <c r="N276" s="5">
        <v>45017.0</v>
      </c>
      <c r="Q276" s="1" t="s">
        <v>402</v>
      </c>
    </row>
    <row r="277">
      <c r="A277" s="1">
        <v>276.0</v>
      </c>
      <c r="B277" s="1" t="s">
        <v>890</v>
      </c>
      <c r="C277" s="1" t="s">
        <v>21</v>
      </c>
      <c r="N277" s="5">
        <v>44666.0</v>
      </c>
      <c r="Q277" s="1" t="s">
        <v>402</v>
      </c>
    </row>
    <row r="278">
      <c r="A278" s="1">
        <v>277.0</v>
      </c>
      <c r="B278" s="1" t="s">
        <v>891</v>
      </c>
      <c r="C278" s="1" t="s">
        <v>21</v>
      </c>
      <c r="K278" s="1">
        <v>30.0</v>
      </c>
      <c r="N278" s="5">
        <v>44709.0</v>
      </c>
      <c r="Q278" s="1" t="s">
        <v>600</v>
      </c>
    </row>
    <row r="279">
      <c r="A279" s="1">
        <v>278.0</v>
      </c>
      <c r="B279" s="1" t="s">
        <v>893</v>
      </c>
      <c r="C279" s="1" t="s">
        <v>21</v>
      </c>
      <c r="K279" s="1">
        <v>50.0</v>
      </c>
      <c r="N279" s="5">
        <v>44380.0</v>
      </c>
      <c r="Q279" s="1" t="s">
        <v>402</v>
      </c>
    </row>
    <row r="280">
      <c r="A280" s="1">
        <v>279.0</v>
      </c>
      <c r="B280" s="1" t="s">
        <v>894</v>
      </c>
      <c r="C280" s="1" t="s">
        <v>21</v>
      </c>
      <c r="N280" s="5">
        <v>43995.0</v>
      </c>
      <c r="Q280" s="1" t="s">
        <v>402</v>
      </c>
    </row>
    <row r="281">
      <c r="A281" s="1">
        <v>280.0</v>
      </c>
      <c r="B281" s="1" t="s">
        <v>895</v>
      </c>
      <c r="C281" s="1" t="s">
        <v>21</v>
      </c>
      <c r="K281" s="1">
        <v>20.0</v>
      </c>
      <c r="N281" s="5">
        <v>45836.0</v>
      </c>
      <c r="Q281" s="1" t="s">
        <v>896</v>
      </c>
    </row>
    <row r="282">
      <c r="A282" s="1">
        <v>281.0</v>
      </c>
      <c r="B282" s="1" t="s">
        <v>897</v>
      </c>
      <c r="C282" s="1" t="s">
        <v>21</v>
      </c>
      <c r="N282" s="5">
        <v>45313.0</v>
      </c>
      <c r="Q282" s="1" t="s">
        <v>646</v>
      </c>
    </row>
    <row r="283">
      <c r="A283" s="1">
        <v>282.0</v>
      </c>
      <c r="B283" s="1" t="s">
        <v>898</v>
      </c>
      <c r="C283" s="1" t="s">
        <v>21</v>
      </c>
      <c r="K283" s="1">
        <v>10.0</v>
      </c>
      <c r="N283" s="5">
        <v>45907.0</v>
      </c>
      <c r="Q283" s="1" t="s">
        <v>900</v>
      </c>
    </row>
    <row r="284">
      <c r="A284" s="1">
        <v>283.0</v>
      </c>
      <c r="B284" s="1" t="s">
        <v>901</v>
      </c>
      <c r="C284" s="1" t="s">
        <v>21</v>
      </c>
      <c r="K284" s="1">
        <v>90.0</v>
      </c>
      <c r="N284" s="5">
        <v>45580.0</v>
      </c>
      <c r="Q284" s="1" t="s">
        <v>902</v>
      </c>
    </row>
    <row r="285">
      <c r="A285" s="1">
        <v>284.0</v>
      </c>
      <c r="B285" s="1" t="s">
        <v>904</v>
      </c>
      <c r="C285" s="1" t="s">
        <v>21</v>
      </c>
      <c r="K285" s="1">
        <v>40.0</v>
      </c>
      <c r="N285" s="5">
        <v>45053.0</v>
      </c>
      <c r="Q285" s="1" t="s">
        <v>905</v>
      </c>
    </row>
    <row r="286">
      <c r="A286" s="1">
        <v>285.0</v>
      </c>
      <c r="B286" s="1" t="s">
        <v>906</v>
      </c>
      <c r="C286" s="1" t="s">
        <v>21</v>
      </c>
      <c r="K286" s="1">
        <v>50.0</v>
      </c>
      <c r="N286" s="5">
        <v>44060.0</v>
      </c>
      <c r="Q286" s="1" t="s">
        <v>909</v>
      </c>
    </row>
    <row r="287">
      <c r="A287" s="1">
        <v>286.0</v>
      </c>
      <c r="B287" s="1" t="s">
        <v>910</v>
      </c>
      <c r="C287" s="1" t="s">
        <v>21</v>
      </c>
      <c r="K287" s="1">
        <v>200.0</v>
      </c>
      <c r="N287" s="5">
        <v>44243.0</v>
      </c>
      <c r="Q287" s="1" t="s">
        <v>912</v>
      </c>
    </row>
    <row r="288">
      <c r="A288" s="1">
        <v>287.0</v>
      </c>
      <c r="B288" s="1" t="s">
        <v>913</v>
      </c>
      <c r="C288" s="1" t="s">
        <v>21</v>
      </c>
      <c r="K288" s="1">
        <v>150.0</v>
      </c>
      <c r="N288" s="5">
        <v>44583.0</v>
      </c>
      <c r="Q288" s="1" t="s">
        <v>914</v>
      </c>
    </row>
    <row r="289">
      <c r="A289" s="1">
        <v>288.0</v>
      </c>
      <c r="B289" s="1" t="s">
        <v>915</v>
      </c>
      <c r="C289" s="1" t="s">
        <v>21</v>
      </c>
      <c r="K289" s="1">
        <v>80.0</v>
      </c>
      <c r="N289" s="5">
        <v>43878.0</v>
      </c>
      <c r="Q289" s="1" t="s">
        <v>916</v>
      </c>
    </row>
    <row r="290">
      <c r="A290" s="1">
        <v>289.0</v>
      </c>
      <c r="B290" s="1" t="s">
        <v>917</v>
      </c>
      <c r="C290" s="1" t="s">
        <v>21</v>
      </c>
      <c r="N290" s="5">
        <v>44358.0</v>
      </c>
      <c r="Q290" s="1" t="s">
        <v>402</v>
      </c>
    </row>
    <row r="291">
      <c r="A291" s="1">
        <v>290.0</v>
      </c>
      <c r="B291" s="1" t="s">
        <v>919</v>
      </c>
      <c r="C291" s="1" t="s">
        <v>21</v>
      </c>
      <c r="K291" s="1">
        <v>20.0</v>
      </c>
      <c r="N291" s="5">
        <v>44903.0</v>
      </c>
      <c r="Q291" s="1" t="s">
        <v>920</v>
      </c>
    </row>
    <row r="292">
      <c r="A292" s="1">
        <v>291.0</v>
      </c>
      <c r="B292" s="1" t="s">
        <v>921</v>
      </c>
      <c r="C292" s="1" t="s">
        <v>21</v>
      </c>
      <c r="K292" s="1">
        <v>100.0</v>
      </c>
      <c r="N292" s="5">
        <v>44229.0</v>
      </c>
      <c r="Q292" s="1" t="s">
        <v>922</v>
      </c>
    </row>
    <row r="293">
      <c r="A293" s="1">
        <v>292.0</v>
      </c>
      <c r="B293" s="1" t="s">
        <v>923</v>
      </c>
      <c r="C293" s="1" t="s">
        <v>21</v>
      </c>
      <c r="K293" s="1">
        <v>30.0</v>
      </c>
      <c r="N293" s="5">
        <v>44951.0</v>
      </c>
      <c r="Q293" s="1" t="s">
        <v>402</v>
      </c>
    </row>
    <row r="294">
      <c r="A294" s="1">
        <v>293.0</v>
      </c>
      <c r="B294" s="1" t="s">
        <v>926</v>
      </c>
      <c r="C294" s="1" t="s">
        <v>21</v>
      </c>
      <c r="K294" s="1">
        <v>60.0</v>
      </c>
      <c r="N294" s="5">
        <v>44784.0</v>
      </c>
      <c r="Q294" s="1" t="s">
        <v>928</v>
      </c>
    </row>
    <row r="295">
      <c r="A295" s="1">
        <v>294.0</v>
      </c>
      <c r="B295" s="1" t="s">
        <v>929</v>
      </c>
      <c r="C295" s="1" t="s">
        <v>21</v>
      </c>
      <c r="N295" s="5">
        <v>44192.0</v>
      </c>
      <c r="Q295" s="1" t="s">
        <v>402</v>
      </c>
    </row>
    <row r="296">
      <c r="A296" s="1">
        <v>295.0</v>
      </c>
      <c r="B296" s="1" t="s">
        <v>930</v>
      </c>
      <c r="C296" s="1" t="s">
        <v>21</v>
      </c>
      <c r="K296" s="1">
        <v>100.0</v>
      </c>
      <c r="N296" s="5">
        <v>44579.0</v>
      </c>
      <c r="Q296" s="1" t="s">
        <v>931</v>
      </c>
    </row>
    <row r="297">
      <c r="A297" s="1">
        <v>296.0</v>
      </c>
      <c r="B297" s="1" t="s">
        <v>932</v>
      </c>
      <c r="C297" s="1" t="s">
        <v>21</v>
      </c>
      <c r="N297" s="5">
        <v>44592.0</v>
      </c>
      <c r="Q297" s="1" t="s">
        <v>402</v>
      </c>
    </row>
    <row r="298">
      <c r="A298" s="1">
        <v>297.0</v>
      </c>
      <c r="B298" s="1" t="s">
        <v>934</v>
      </c>
      <c r="C298" s="1" t="s">
        <v>21</v>
      </c>
      <c r="N298" s="5">
        <v>45032.0</v>
      </c>
      <c r="Q298" s="1" t="s">
        <v>402</v>
      </c>
    </row>
    <row r="299">
      <c r="A299" s="1">
        <v>298.0</v>
      </c>
      <c r="B299" s="1" t="s">
        <v>937</v>
      </c>
      <c r="C299" s="1" t="s">
        <v>21</v>
      </c>
      <c r="K299" s="1">
        <v>30.0</v>
      </c>
      <c r="N299" s="5">
        <v>43653.0</v>
      </c>
      <c r="Q299" s="1" t="s">
        <v>479</v>
      </c>
    </row>
    <row r="300">
      <c r="A300" s="1">
        <v>299.0</v>
      </c>
      <c r="B300" s="1" t="s">
        <v>940</v>
      </c>
      <c r="C300" s="1" t="s">
        <v>21</v>
      </c>
      <c r="N300" s="5">
        <v>44495.0</v>
      </c>
      <c r="Q300" s="1" t="s">
        <v>402</v>
      </c>
    </row>
    <row r="301">
      <c r="A301" s="1">
        <v>300.0</v>
      </c>
      <c r="B301" s="1" t="s">
        <v>941</v>
      </c>
      <c r="C301" s="1" t="s">
        <v>21</v>
      </c>
      <c r="K301" s="1">
        <v>80.0</v>
      </c>
      <c r="N301" s="5">
        <v>44854.0</v>
      </c>
      <c r="Q301" s="1" t="s">
        <v>943</v>
      </c>
    </row>
    <row r="302">
      <c r="A302" s="1">
        <v>301.0</v>
      </c>
      <c r="B302" s="1" t="s">
        <v>944</v>
      </c>
      <c r="C302" s="1" t="s">
        <v>21</v>
      </c>
      <c r="K302" s="1">
        <v>70.0</v>
      </c>
      <c r="N302" s="5">
        <v>44102.0</v>
      </c>
      <c r="Q302" s="1" t="s">
        <v>946</v>
      </c>
    </row>
    <row r="303">
      <c r="A303" s="1">
        <v>302.0</v>
      </c>
      <c r="B303" s="1" t="s">
        <v>947</v>
      </c>
      <c r="C303" s="1" t="s">
        <v>21</v>
      </c>
      <c r="K303" s="1">
        <v>40.0</v>
      </c>
      <c r="N303" s="5">
        <v>45205.0</v>
      </c>
      <c r="Q303" s="1" t="s">
        <v>948</v>
      </c>
    </row>
    <row r="304">
      <c r="A304" s="1">
        <v>303.0</v>
      </c>
      <c r="B304" s="1" t="s">
        <v>949</v>
      </c>
      <c r="C304" s="1" t="s">
        <v>21</v>
      </c>
      <c r="K304" s="1">
        <v>450.0</v>
      </c>
      <c r="N304" s="5">
        <v>43887.0</v>
      </c>
      <c r="Q304" s="1" t="s">
        <v>950</v>
      </c>
    </row>
    <row r="305">
      <c r="A305" s="1">
        <v>304.0</v>
      </c>
      <c r="B305" s="1" t="s">
        <v>951</v>
      </c>
      <c r="C305" s="1" t="s">
        <v>21</v>
      </c>
      <c r="K305" s="1">
        <v>50.0</v>
      </c>
      <c r="N305" s="5">
        <v>44813.0</v>
      </c>
      <c r="Q305" s="1" t="s">
        <v>954</v>
      </c>
    </row>
    <row r="306">
      <c r="A306" s="1">
        <v>305.0</v>
      </c>
      <c r="B306" s="1" t="s">
        <v>955</v>
      </c>
      <c r="C306" s="1" t="s">
        <v>21</v>
      </c>
      <c r="K306" s="1">
        <v>250.0</v>
      </c>
      <c r="N306" s="5">
        <v>44635.0</v>
      </c>
      <c r="Q306" s="1" t="s">
        <v>957</v>
      </c>
    </row>
    <row r="307">
      <c r="A307" s="1">
        <v>306.0</v>
      </c>
      <c r="B307" s="1" t="s">
        <v>958</v>
      </c>
      <c r="C307" s="1" t="s">
        <v>21</v>
      </c>
      <c r="K307" s="1">
        <v>200.0</v>
      </c>
      <c r="N307" s="5">
        <v>45293.0</v>
      </c>
      <c r="Q307" s="1" t="s">
        <v>959</v>
      </c>
    </row>
    <row r="308">
      <c r="A308" s="1">
        <v>307.0</v>
      </c>
      <c r="B308" s="1" t="s">
        <v>960</v>
      </c>
      <c r="C308" s="1" t="s">
        <v>21</v>
      </c>
      <c r="K308" s="1">
        <v>150.0</v>
      </c>
      <c r="N308" s="5">
        <v>44390.0</v>
      </c>
      <c r="Q308" s="1" t="s">
        <v>662</v>
      </c>
    </row>
    <row r="309">
      <c r="A309" s="1">
        <v>308.0</v>
      </c>
      <c r="B309" s="1" t="s">
        <v>961</v>
      </c>
      <c r="C309" s="1" t="s">
        <v>21</v>
      </c>
      <c r="K309" s="1">
        <v>350.0</v>
      </c>
      <c r="N309" s="5">
        <v>43846.0</v>
      </c>
      <c r="Q309" s="1" t="s">
        <v>964</v>
      </c>
    </row>
    <row r="310">
      <c r="A310" s="1">
        <v>309.0</v>
      </c>
      <c r="B310" s="1" t="s">
        <v>965</v>
      </c>
      <c r="C310" s="1" t="s">
        <v>21</v>
      </c>
      <c r="N310" s="5">
        <v>44725.0</v>
      </c>
      <c r="Q310" s="1" t="s">
        <v>402</v>
      </c>
    </row>
    <row r="311">
      <c r="A311" s="1">
        <v>310.0</v>
      </c>
      <c r="B311" s="1" t="s">
        <v>967</v>
      </c>
      <c r="C311" s="1" t="s">
        <v>21</v>
      </c>
      <c r="K311" s="1">
        <v>30.0</v>
      </c>
      <c r="N311" s="5">
        <v>45375.0</v>
      </c>
      <c r="Q311" s="1" t="s">
        <v>968</v>
      </c>
    </row>
    <row r="312">
      <c r="A312" s="1">
        <v>311.0</v>
      </c>
      <c r="B312" s="1" t="s">
        <v>969</v>
      </c>
      <c r="C312" s="1" t="s">
        <v>21</v>
      </c>
      <c r="K312" s="1">
        <v>30.0</v>
      </c>
      <c r="N312" s="5">
        <v>44229.0</v>
      </c>
      <c r="Q312" s="1" t="s">
        <v>971</v>
      </c>
    </row>
    <row r="313">
      <c r="A313" s="1">
        <v>312.0</v>
      </c>
      <c r="B313" s="1" t="s">
        <v>972</v>
      </c>
      <c r="C313" s="1" t="s">
        <v>21</v>
      </c>
      <c r="N313" s="5">
        <v>44985.0</v>
      </c>
      <c r="Q313" s="1" t="s">
        <v>402</v>
      </c>
    </row>
    <row r="314">
      <c r="A314" s="1">
        <v>313.0</v>
      </c>
      <c r="B314" s="1" t="s">
        <v>975</v>
      </c>
      <c r="C314" s="1" t="s">
        <v>21</v>
      </c>
      <c r="N314" s="5">
        <v>44413.0</v>
      </c>
      <c r="Q314" s="1" t="s">
        <v>402</v>
      </c>
    </row>
    <row r="315">
      <c r="A315" s="1">
        <v>314.0</v>
      </c>
      <c r="B315" s="1" t="s">
        <v>977</v>
      </c>
      <c r="C315" s="1" t="s">
        <v>21</v>
      </c>
      <c r="K315" s="1">
        <v>30.0</v>
      </c>
      <c r="N315" s="5">
        <v>45536.0</v>
      </c>
      <c r="Q315" s="1" t="s">
        <v>978</v>
      </c>
    </row>
    <row r="316">
      <c r="A316" s="1">
        <v>315.0</v>
      </c>
      <c r="B316" s="1" t="s">
        <v>979</v>
      </c>
      <c r="C316" s="1" t="s">
        <v>21</v>
      </c>
      <c r="N316" s="5">
        <v>44544.0</v>
      </c>
      <c r="Q316" s="1" t="s">
        <v>980</v>
      </c>
    </row>
    <row r="317">
      <c r="A317" s="1">
        <v>316.0</v>
      </c>
      <c r="B317" s="1" t="s">
        <v>981</v>
      </c>
      <c r="C317" s="1" t="s">
        <v>21</v>
      </c>
      <c r="K317" s="1">
        <v>400.0</v>
      </c>
      <c r="N317" s="5">
        <v>43904.0</v>
      </c>
      <c r="Q317" s="1" t="s">
        <v>982</v>
      </c>
    </row>
    <row r="318">
      <c r="A318" s="1">
        <v>317.0</v>
      </c>
      <c r="B318" s="1" t="s">
        <v>984</v>
      </c>
      <c r="C318" s="1" t="s">
        <v>21</v>
      </c>
      <c r="K318" s="1">
        <v>70.0</v>
      </c>
      <c r="N318" s="5">
        <v>43863.0</v>
      </c>
      <c r="Q318" s="1" t="s">
        <v>986</v>
      </c>
    </row>
    <row r="319">
      <c r="A319" s="1">
        <v>318.0</v>
      </c>
      <c r="B319" s="1" t="s">
        <v>987</v>
      </c>
      <c r="C319" s="1" t="s">
        <v>21</v>
      </c>
      <c r="K319" s="1">
        <v>250.0</v>
      </c>
      <c r="N319" s="5">
        <v>44210.0</v>
      </c>
      <c r="Q319" s="1" t="s">
        <v>988</v>
      </c>
    </row>
    <row r="320">
      <c r="A320" s="1">
        <v>319.0</v>
      </c>
      <c r="B320" s="1" t="s">
        <v>989</v>
      </c>
      <c r="C320" s="1" t="s">
        <v>21</v>
      </c>
      <c r="K320" s="1">
        <v>2200.0</v>
      </c>
      <c r="N320" s="5">
        <v>44117.0</v>
      </c>
      <c r="Q320" s="1" t="s">
        <v>990</v>
      </c>
    </row>
    <row r="321">
      <c r="A321" s="1">
        <v>320.0</v>
      </c>
      <c r="B321" s="1" t="s">
        <v>991</v>
      </c>
      <c r="C321" s="1" t="s">
        <v>21</v>
      </c>
      <c r="K321" s="1">
        <v>250.0</v>
      </c>
      <c r="N321" s="5">
        <v>45041.0</v>
      </c>
      <c r="Q321" s="1" t="s">
        <v>993</v>
      </c>
    </row>
    <row r="322">
      <c r="A322" s="1">
        <v>321.0</v>
      </c>
      <c r="B322" s="1" t="s">
        <v>995</v>
      </c>
      <c r="C322" s="1" t="s">
        <v>21</v>
      </c>
      <c r="K322" s="1">
        <v>20.0</v>
      </c>
      <c r="N322" s="5">
        <v>45676.0</v>
      </c>
      <c r="Q322" s="1" t="s">
        <v>996</v>
      </c>
    </row>
    <row r="323">
      <c r="A323" s="1">
        <v>322.0</v>
      </c>
      <c r="B323" s="1" t="s">
        <v>997</v>
      </c>
      <c r="C323" s="1" t="s">
        <v>21</v>
      </c>
      <c r="K323" s="1">
        <v>10.0</v>
      </c>
      <c r="N323" s="5">
        <v>44975.0</v>
      </c>
      <c r="Q323" s="1" t="s">
        <v>646</v>
      </c>
    </row>
    <row r="324">
      <c r="A324" s="1">
        <v>323.0</v>
      </c>
      <c r="B324" s="1" t="s">
        <v>998</v>
      </c>
      <c r="C324" s="1" t="s">
        <v>21</v>
      </c>
      <c r="K324" s="1">
        <v>2000.0</v>
      </c>
      <c r="N324" s="5">
        <v>44055.0</v>
      </c>
      <c r="Q324" s="1" t="s">
        <v>999</v>
      </c>
    </row>
    <row r="325">
      <c r="A325" s="1">
        <v>324.0</v>
      </c>
      <c r="B325" s="1" t="s">
        <v>1001</v>
      </c>
      <c r="C325" s="1" t="s">
        <v>21</v>
      </c>
      <c r="K325" s="1">
        <v>200.0</v>
      </c>
      <c r="N325" s="5">
        <v>44047.0</v>
      </c>
      <c r="Q325" s="1" t="s">
        <v>1003</v>
      </c>
    </row>
    <row r="326">
      <c r="A326" s="1">
        <v>325.0</v>
      </c>
      <c r="B326" s="1" t="s">
        <v>1005</v>
      </c>
      <c r="C326" s="1" t="s">
        <v>21</v>
      </c>
      <c r="K326" s="1">
        <v>80.0</v>
      </c>
      <c r="N326" s="5">
        <v>45528.0</v>
      </c>
      <c r="Q326" s="1" t="s">
        <v>1006</v>
      </c>
    </row>
    <row r="327">
      <c r="A327" s="1">
        <v>326.0</v>
      </c>
      <c r="B327" s="1" t="s">
        <v>1008</v>
      </c>
      <c r="C327" s="1" t="s">
        <v>21</v>
      </c>
      <c r="K327" s="1">
        <v>70.0</v>
      </c>
      <c r="N327" s="5">
        <v>44318.0</v>
      </c>
      <c r="Q327" s="1" t="s">
        <v>1009</v>
      </c>
    </row>
    <row r="328">
      <c r="A328" s="1">
        <v>327.0</v>
      </c>
      <c r="B328" s="1" t="s">
        <v>1010</v>
      </c>
      <c r="C328" s="1" t="s">
        <v>21</v>
      </c>
      <c r="N328" s="5">
        <v>44574.0</v>
      </c>
      <c r="Q328" s="1" t="s">
        <v>402</v>
      </c>
    </row>
    <row r="329">
      <c r="A329" s="1">
        <v>328.0</v>
      </c>
      <c r="B329" s="1" t="s">
        <v>1013</v>
      </c>
      <c r="C329" s="1" t="s">
        <v>21</v>
      </c>
      <c r="K329" s="1">
        <v>30.0</v>
      </c>
      <c r="N329" s="5">
        <v>44297.0</v>
      </c>
      <c r="Q329" s="1" t="s">
        <v>1014</v>
      </c>
    </row>
    <row r="330">
      <c r="A330" s="1">
        <v>329.0</v>
      </c>
      <c r="B330" s="1" t="s">
        <v>1015</v>
      </c>
      <c r="C330" s="1" t="s">
        <v>21</v>
      </c>
      <c r="K330" s="1">
        <v>40.0</v>
      </c>
      <c r="N330" s="5">
        <v>44689.0</v>
      </c>
      <c r="Q330" s="1" t="s">
        <v>1017</v>
      </c>
    </row>
    <row r="331">
      <c r="A331" s="1">
        <v>330.0</v>
      </c>
      <c r="B331" s="1" t="s">
        <v>1018</v>
      </c>
      <c r="C331" s="1" t="s">
        <v>21</v>
      </c>
      <c r="K331" s="1">
        <v>60.0</v>
      </c>
      <c r="N331" s="5">
        <v>45318.0</v>
      </c>
      <c r="Q331" s="1" t="s">
        <v>757</v>
      </c>
    </row>
    <row r="332">
      <c r="A332" s="1">
        <v>331.0</v>
      </c>
      <c r="B332" s="1" t="s">
        <v>1019</v>
      </c>
      <c r="C332" s="1" t="s">
        <v>21</v>
      </c>
      <c r="N332" s="5">
        <v>44042.0</v>
      </c>
      <c r="Q332" s="1" t="s">
        <v>1021</v>
      </c>
    </row>
    <row r="333">
      <c r="A333" s="1">
        <v>332.0</v>
      </c>
      <c r="B333" s="1" t="s">
        <v>1023</v>
      </c>
      <c r="C333" s="1" t="s">
        <v>21</v>
      </c>
      <c r="N333" s="5">
        <v>43843.0</v>
      </c>
      <c r="Q333" s="1" t="s">
        <v>402</v>
      </c>
    </row>
    <row r="334">
      <c r="A334" s="1">
        <v>333.0</v>
      </c>
      <c r="B334" s="1" t="s">
        <v>1024</v>
      </c>
      <c r="C334" s="1" t="s">
        <v>21</v>
      </c>
      <c r="K334" s="1">
        <v>100.0</v>
      </c>
      <c r="N334" s="5">
        <v>43886.0</v>
      </c>
      <c r="Q334" s="1" t="s">
        <v>1026</v>
      </c>
    </row>
    <row r="335">
      <c r="A335" s="1">
        <v>334.0</v>
      </c>
      <c r="B335" s="1" t="s">
        <v>1028</v>
      </c>
      <c r="C335" s="1" t="s">
        <v>21</v>
      </c>
      <c r="K335" s="1">
        <v>40.0</v>
      </c>
      <c r="N335" s="5">
        <v>44777.0</v>
      </c>
      <c r="Q335" s="1" t="s">
        <v>1030</v>
      </c>
    </row>
    <row r="336">
      <c r="A336" s="1">
        <v>335.0</v>
      </c>
      <c r="B336" s="1" t="s">
        <v>33</v>
      </c>
      <c r="C336" s="1" t="s">
        <v>21</v>
      </c>
      <c r="K336" s="1">
        <v>200.0</v>
      </c>
      <c r="N336" s="5">
        <v>46057.0</v>
      </c>
      <c r="Q336" s="1" t="s">
        <v>38</v>
      </c>
    </row>
    <row r="337">
      <c r="A337" s="1">
        <v>336.0</v>
      </c>
      <c r="B337" s="1" t="s">
        <v>1035</v>
      </c>
      <c r="C337" s="1" t="s">
        <v>21</v>
      </c>
      <c r="N337" s="5">
        <v>44016.0</v>
      </c>
      <c r="Q337" s="1" t="s">
        <v>402</v>
      </c>
    </row>
    <row r="338">
      <c r="A338" s="1">
        <v>337.0</v>
      </c>
      <c r="B338" s="1" t="s">
        <v>1036</v>
      </c>
      <c r="C338" s="1" t="s">
        <v>21</v>
      </c>
      <c r="K338" s="1">
        <v>40.0</v>
      </c>
      <c r="N338" s="5">
        <v>46064.0</v>
      </c>
      <c r="Q338" s="1" t="s">
        <v>1037</v>
      </c>
    </row>
    <row r="339">
      <c r="A339" s="1">
        <v>338.0</v>
      </c>
      <c r="B339" s="1" t="s">
        <v>1038</v>
      </c>
      <c r="C339" s="1" t="s">
        <v>21</v>
      </c>
      <c r="N339" s="5">
        <v>43860.0</v>
      </c>
      <c r="Q339" s="1" t="s">
        <v>402</v>
      </c>
    </row>
    <row r="340">
      <c r="A340" s="1">
        <v>339.0</v>
      </c>
      <c r="B340" s="1" t="s">
        <v>1039</v>
      </c>
      <c r="C340" s="1" t="s">
        <v>21</v>
      </c>
      <c r="K340" s="1">
        <v>100.0</v>
      </c>
      <c r="N340" s="5">
        <v>45180.0</v>
      </c>
      <c r="Q340" s="1" t="s">
        <v>1041</v>
      </c>
    </row>
    <row r="341">
      <c r="A341" s="1">
        <v>340.0</v>
      </c>
      <c r="B341" s="1" t="s">
        <v>1043</v>
      </c>
      <c r="C341" s="1" t="s">
        <v>21</v>
      </c>
      <c r="K341" s="1">
        <v>40.0</v>
      </c>
      <c r="N341" s="5">
        <v>44015.0</v>
      </c>
      <c r="Q341" s="1" t="s">
        <v>414</v>
      </c>
    </row>
    <row r="342">
      <c r="A342" s="1">
        <v>341.0</v>
      </c>
      <c r="B342" s="1" t="s">
        <v>1044</v>
      </c>
      <c r="C342" s="1" t="s">
        <v>21</v>
      </c>
      <c r="K342" s="1">
        <v>20.0</v>
      </c>
      <c r="N342" s="5">
        <v>44302.0</v>
      </c>
      <c r="Q342" s="1" t="s">
        <v>1045</v>
      </c>
    </row>
    <row r="343">
      <c r="A343" s="1">
        <v>342.0</v>
      </c>
      <c r="B343" s="1" t="s">
        <v>1046</v>
      </c>
      <c r="C343" s="1" t="s">
        <v>21</v>
      </c>
      <c r="K343" s="1">
        <v>20.0</v>
      </c>
      <c r="N343" s="5">
        <v>45404.0</v>
      </c>
      <c r="Q343" s="1" t="s">
        <v>1048</v>
      </c>
    </row>
    <row r="344">
      <c r="A344" s="1">
        <v>343.0</v>
      </c>
      <c r="B344" s="1" t="s">
        <v>1049</v>
      </c>
      <c r="C344" s="1" t="s">
        <v>21</v>
      </c>
      <c r="K344" s="1">
        <v>30.0</v>
      </c>
      <c r="N344" s="5">
        <v>44140.0</v>
      </c>
      <c r="Q344" s="1" t="s">
        <v>1050</v>
      </c>
    </row>
    <row r="345">
      <c r="A345" s="1">
        <v>344.0</v>
      </c>
      <c r="B345" s="1" t="s">
        <v>1051</v>
      </c>
      <c r="C345" s="1" t="s">
        <v>21</v>
      </c>
      <c r="K345" s="1">
        <v>350.0</v>
      </c>
      <c r="N345" s="5">
        <v>43957.0</v>
      </c>
      <c r="Q345" s="1" t="s">
        <v>1053</v>
      </c>
    </row>
    <row r="346">
      <c r="A346" s="1">
        <v>345.0</v>
      </c>
      <c r="B346" s="1" t="s">
        <v>1054</v>
      </c>
      <c r="C346" s="1" t="s">
        <v>21</v>
      </c>
      <c r="N346" s="5">
        <v>44140.0</v>
      </c>
      <c r="Q346" s="1" t="s">
        <v>402</v>
      </c>
    </row>
    <row r="347">
      <c r="A347" s="1">
        <v>346.0</v>
      </c>
      <c r="B347" s="1" t="s">
        <v>1057</v>
      </c>
      <c r="C347" s="1" t="s">
        <v>21</v>
      </c>
      <c r="K347" s="1">
        <v>300.0</v>
      </c>
      <c r="N347" s="5">
        <v>43848.0</v>
      </c>
      <c r="Q347" s="1" t="s">
        <v>1058</v>
      </c>
    </row>
    <row r="348">
      <c r="A348" s="1">
        <v>347.0</v>
      </c>
      <c r="B348" s="1" t="s">
        <v>1060</v>
      </c>
      <c r="C348" s="1" t="s">
        <v>21</v>
      </c>
      <c r="K348" s="1">
        <v>20.0</v>
      </c>
      <c r="N348" s="5">
        <v>44357.0</v>
      </c>
      <c r="Q348" s="1" t="s">
        <v>402</v>
      </c>
    </row>
    <row r="349">
      <c r="A349" s="1">
        <v>348.0</v>
      </c>
      <c r="B349" s="1" t="s">
        <v>1063</v>
      </c>
      <c r="C349" s="1" t="s">
        <v>21</v>
      </c>
      <c r="K349" s="1">
        <v>40.0</v>
      </c>
      <c r="N349" s="5">
        <v>44578.0</v>
      </c>
      <c r="Q349" s="1" t="s">
        <v>402</v>
      </c>
    </row>
    <row r="350">
      <c r="A350" s="1">
        <v>349.0</v>
      </c>
      <c r="B350" s="1" t="s">
        <v>1064</v>
      </c>
      <c r="C350" s="1" t="s">
        <v>21</v>
      </c>
      <c r="K350" s="1">
        <v>70.0</v>
      </c>
      <c r="N350" s="5">
        <v>45047.0</v>
      </c>
      <c r="Q350" s="1" t="s">
        <v>1065</v>
      </c>
    </row>
    <row r="351">
      <c r="A351" s="1">
        <v>350.0</v>
      </c>
      <c r="B351" s="1" t="s">
        <v>1066</v>
      </c>
      <c r="C351" s="1" t="s">
        <v>21</v>
      </c>
      <c r="K351" s="1">
        <v>90.0</v>
      </c>
      <c r="N351" s="5">
        <v>44456.0</v>
      </c>
      <c r="Q351" s="1" t="s">
        <v>1069</v>
      </c>
    </row>
    <row r="352">
      <c r="A352" s="1">
        <v>351.0</v>
      </c>
      <c r="B352" s="1" t="s">
        <v>1070</v>
      </c>
      <c r="C352" s="1" t="s">
        <v>21</v>
      </c>
      <c r="K352" s="1">
        <v>80.0</v>
      </c>
      <c r="N352" s="5">
        <v>45174.0</v>
      </c>
      <c r="Q352" s="1" t="s">
        <v>1072</v>
      </c>
    </row>
    <row r="353">
      <c r="A353" s="1">
        <v>352.0</v>
      </c>
      <c r="B353" s="1" t="s">
        <v>1073</v>
      </c>
      <c r="C353" s="1" t="s">
        <v>21</v>
      </c>
      <c r="K353" s="1">
        <v>30.0</v>
      </c>
      <c r="N353" s="5">
        <v>44033.0</v>
      </c>
      <c r="Q353" s="1" t="s">
        <v>1075</v>
      </c>
    </row>
    <row r="354">
      <c r="A354" s="1">
        <v>353.0</v>
      </c>
      <c r="B354" s="1" t="s">
        <v>1077</v>
      </c>
      <c r="C354" s="1" t="s">
        <v>21</v>
      </c>
      <c r="K354" s="1">
        <v>50.0</v>
      </c>
      <c r="N354" s="5">
        <v>43840.0</v>
      </c>
      <c r="Q354" s="1" t="s">
        <v>1079</v>
      </c>
    </row>
    <row r="355">
      <c r="A355" s="1">
        <v>354.0</v>
      </c>
      <c r="B355" s="1" t="s">
        <v>1080</v>
      </c>
      <c r="C355" s="1" t="s">
        <v>21</v>
      </c>
      <c r="K355" s="1">
        <v>70.0</v>
      </c>
      <c r="N355" s="5">
        <v>45689.0</v>
      </c>
      <c r="Q355" s="1" t="s">
        <v>1085</v>
      </c>
    </row>
    <row r="356">
      <c r="A356" s="1">
        <v>355.0</v>
      </c>
      <c r="B356" s="1" t="s">
        <v>1086</v>
      </c>
      <c r="C356" s="1" t="s">
        <v>21</v>
      </c>
      <c r="K356" s="1">
        <v>10.0</v>
      </c>
      <c r="N356" s="5">
        <v>44916.0</v>
      </c>
      <c r="Q356" s="1" t="s">
        <v>1087</v>
      </c>
    </row>
    <row r="357">
      <c r="A357" s="1">
        <v>356.0</v>
      </c>
      <c r="B357" s="1" t="s">
        <v>1088</v>
      </c>
      <c r="C357" s="1" t="s">
        <v>21</v>
      </c>
      <c r="K357" s="1">
        <v>40.0</v>
      </c>
      <c r="N357" s="5">
        <v>44830.0</v>
      </c>
      <c r="Q357" s="1" t="s">
        <v>1090</v>
      </c>
    </row>
    <row r="358">
      <c r="A358" s="1">
        <v>357.0</v>
      </c>
      <c r="B358" s="1" t="s">
        <v>1092</v>
      </c>
      <c r="C358" s="1" t="s">
        <v>21</v>
      </c>
      <c r="K358" s="1">
        <v>50.0</v>
      </c>
      <c r="N358" s="5">
        <v>45457.0</v>
      </c>
      <c r="Q358" s="1" t="s">
        <v>1093</v>
      </c>
    </row>
    <row r="359">
      <c r="A359" s="1">
        <v>358.0</v>
      </c>
      <c r="B359" s="1" t="s">
        <v>1094</v>
      </c>
      <c r="C359" s="1" t="s">
        <v>21</v>
      </c>
      <c r="K359" s="1">
        <v>40.0</v>
      </c>
      <c r="N359" s="5">
        <v>45183.0</v>
      </c>
      <c r="Q359" s="1" t="s">
        <v>1096</v>
      </c>
    </row>
    <row r="360">
      <c r="A360" s="1">
        <v>359.0</v>
      </c>
      <c r="B360" s="1" t="s">
        <v>1097</v>
      </c>
      <c r="C360" s="1" t="s">
        <v>21</v>
      </c>
      <c r="N360" s="5">
        <v>44631.0</v>
      </c>
      <c r="Q360" s="1" t="s">
        <v>402</v>
      </c>
    </row>
    <row r="361">
      <c r="A361" s="1">
        <v>360.0</v>
      </c>
      <c r="B361" s="1" t="s">
        <v>1100</v>
      </c>
      <c r="C361" s="1" t="s">
        <v>21</v>
      </c>
      <c r="K361" s="1">
        <v>150.0</v>
      </c>
      <c r="N361" s="5">
        <v>45412.0</v>
      </c>
      <c r="Q361" s="1" t="s">
        <v>1102</v>
      </c>
    </row>
    <row r="362">
      <c r="A362" s="1">
        <v>361.0</v>
      </c>
      <c r="B362" s="1" t="s">
        <v>1103</v>
      </c>
      <c r="C362" s="1" t="s">
        <v>21</v>
      </c>
      <c r="K362" s="1">
        <v>300.0</v>
      </c>
      <c r="N362" s="5">
        <v>43906.0</v>
      </c>
      <c r="Q362" s="1" t="s">
        <v>1104</v>
      </c>
    </row>
    <row r="363">
      <c r="A363" s="1">
        <v>362.0</v>
      </c>
      <c r="B363" s="1" t="s">
        <v>1105</v>
      </c>
      <c r="C363" s="1" t="s">
        <v>21</v>
      </c>
      <c r="N363" s="5">
        <v>45339.0</v>
      </c>
      <c r="Q363" s="1" t="s">
        <v>402</v>
      </c>
    </row>
    <row r="364">
      <c r="A364" s="1">
        <v>363.0</v>
      </c>
      <c r="B364" s="1" t="s">
        <v>1106</v>
      </c>
      <c r="C364" s="1" t="s">
        <v>21</v>
      </c>
      <c r="K364" s="1">
        <v>20.0</v>
      </c>
      <c r="N364" s="5">
        <v>45704.0</v>
      </c>
      <c r="Q364" s="1" t="s">
        <v>1108</v>
      </c>
    </row>
    <row r="365">
      <c r="A365" s="1">
        <v>364.0</v>
      </c>
      <c r="B365" s="1" t="s">
        <v>1109</v>
      </c>
      <c r="C365" s="1" t="s">
        <v>21</v>
      </c>
      <c r="K365" s="1">
        <v>30.0</v>
      </c>
      <c r="N365" s="5">
        <v>45652.0</v>
      </c>
      <c r="Q365" s="1" t="s">
        <v>1111</v>
      </c>
    </row>
    <row r="366">
      <c r="A366" s="1">
        <v>365.0</v>
      </c>
      <c r="B366" s="1" t="s">
        <v>1112</v>
      </c>
      <c r="C366" s="1" t="s">
        <v>21</v>
      </c>
      <c r="K366" s="1">
        <v>350.0</v>
      </c>
      <c r="N366" s="5">
        <v>43964.0</v>
      </c>
      <c r="Q366" s="1" t="s">
        <v>1114</v>
      </c>
    </row>
    <row r="367">
      <c r="A367" s="1">
        <v>366.0</v>
      </c>
      <c r="B367" s="1" t="s">
        <v>1115</v>
      </c>
      <c r="C367" s="1" t="s">
        <v>21</v>
      </c>
      <c r="K367" s="1">
        <v>30.0</v>
      </c>
      <c r="N367" s="5">
        <v>44360.0</v>
      </c>
      <c r="Q367" s="1" t="s">
        <v>1021</v>
      </c>
    </row>
    <row r="368">
      <c r="A368" s="1">
        <v>367.0</v>
      </c>
      <c r="B368" s="1" t="s">
        <v>1117</v>
      </c>
      <c r="C368" s="1" t="s">
        <v>21</v>
      </c>
      <c r="K368" s="1">
        <v>90.0</v>
      </c>
      <c r="N368" s="5">
        <v>44359.0</v>
      </c>
      <c r="Q368" s="1" t="s">
        <v>1119</v>
      </c>
    </row>
    <row r="369">
      <c r="A369" s="1">
        <v>368.0</v>
      </c>
      <c r="B369" s="1" t="s">
        <v>1120</v>
      </c>
      <c r="C369" s="1" t="s">
        <v>21</v>
      </c>
      <c r="N369" s="5">
        <v>44052.0</v>
      </c>
      <c r="Q369" s="1" t="s">
        <v>402</v>
      </c>
    </row>
    <row r="370">
      <c r="A370" s="1">
        <v>369.0</v>
      </c>
      <c r="B370" s="1" t="s">
        <v>1121</v>
      </c>
      <c r="C370" s="1" t="s">
        <v>21</v>
      </c>
      <c r="N370" s="5">
        <v>45361.0</v>
      </c>
      <c r="Q370" s="1" t="s">
        <v>1122</v>
      </c>
    </row>
    <row r="371">
      <c r="A371" s="1">
        <v>370.0</v>
      </c>
      <c r="B371" s="1" t="s">
        <v>1123</v>
      </c>
      <c r="C371" s="1" t="s">
        <v>21</v>
      </c>
      <c r="K371" s="1">
        <v>200.0</v>
      </c>
      <c r="N371" s="5">
        <v>45257.0</v>
      </c>
      <c r="Q371" s="1" t="s">
        <v>1124</v>
      </c>
    </row>
    <row r="372">
      <c r="A372" s="1">
        <v>371.0</v>
      </c>
      <c r="B372" s="1" t="s">
        <v>1126</v>
      </c>
      <c r="C372" s="1" t="s">
        <v>21</v>
      </c>
      <c r="N372" s="5">
        <v>43992.0</v>
      </c>
      <c r="Q372" s="1" t="s">
        <v>1128</v>
      </c>
    </row>
    <row r="373">
      <c r="A373" s="1">
        <v>372.0</v>
      </c>
      <c r="B373" s="1" t="s">
        <v>1130</v>
      </c>
      <c r="C373" s="1" t="s">
        <v>21</v>
      </c>
      <c r="K373" s="1">
        <v>100.0</v>
      </c>
      <c r="N373" s="5">
        <v>44305.0</v>
      </c>
      <c r="Q373" s="1" t="s">
        <v>797</v>
      </c>
    </row>
    <row r="374">
      <c r="A374" s="1">
        <v>373.0</v>
      </c>
      <c r="B374" s="1" t="s">
        <v>1131</v>
      </c>
      <c r="C374" s="1" t="s">
        <v>21</v>
      </c>
      <c r="K374" s="1">
        <v>150.0</v>
      </c>
      <c r="N374" s="5">
        <v>43959.0</v>
      </c>
      <c r="Q374" s="1" t="s">
        <v>1132</v>
      </c>
    </row>
    <row r="375">
      <c r="A375" s="1">
        <v>374.0</v>
      </c>
      <c r="B375" s="1" t="s">
        <v>1133</v>
      </c>
      <c r="C375" s="1" t="s">
        <v>21</v>
      </c>
      <c r="K375" s="1">
        <v>200.0</v>
      </c>
      <c r="N375" s="5">
        <v>44858.0</v>
      </c>
      <c r="Q375" s="1" t="s">
        <v>1135</v>
      </c>
    </row>
    <row r="376">
      <c r="A376" s="1">
        <v>375.0</v>
      </c>
      <c r="B376" s="1" t="s">
        <v>1136</v>
      </c>
      <c r="C376" s="1" t="s">
        <v>21</v>
      </c>
      <c r="K376" s="1">
        <v>30.0</v>
      </c>
      <c r="N376" s="5">
        <v>45127.0</v>
      </c>
      <c r="Q376" s="1" t="s">
        <v>1138</v>
      </c>
    </row>
    <row r="377">
      <c r="A377" s="1">
        <v>376.0</v>
      </c>
      <c r="B377" s="1" t="s">
        <v>1139</v>
      </c>
      <c r="C377" s="1" t="s">
        <v>21</v>
      </c>
      <c r="K377" s="1">
        <v>150.0</v>
      </c>
      <c r="N377" s="5">
        <v>44558.0</v>
      </c>
      <c r="Q377" s="1" t="s">
        <v>1140</v>
      </c>
    </row>
    <row r="378">
      <c r="A378" s="1">
        <v>377.0</v>
      </c>
      <c r="B378" s="1" t="s">
        <v>1141</v>
      </c>
      <c r="C378" s="1" t="s">
        <v>21</v>
      </c>
      <c r="N378" s="5">
        <v>44486.0</v>
      </c>
      <c r="Q378" s="1" t="s">
        <v>402</v>
      </c>
    </row>
    <row r="379">
      <c r="A379" s="1">
        <v>378.0</v>
      </c>
      <c r="B379" s="1" t="s">
        <v>1143</v>
      </c>
      <c r="C379" s="1" t="s">
        <v>21</v>
      </c>
      <c r="K379" s="1">
        <v>50.0</v>
      </c>
      <c r="N379" s="5">
        <v>44253.0</v>
      </c>
      <c r="Q379" s="1" t="s">
        <v>1146</v>
      </c>
    </row>
    <row r="380">
      <c r="A380" s="1">
        <v>379.0</v>
      </c>
      <c r="B380" s="1" t="s">
        <v>1147</v>
      </c>
      <c r="C380" s="1" t="s">
        <v>21</v>
      </c>
      <c r="N380" s="5">
        <v>43856.0</v>
      </c>
      <c r="Q380" s="1" t="s">
        <v>402</v>
      </c>
    </row>
    <row r="381">
      <c r="A381" s="1">
        <v>380.0</v>
      </c>
      <c r="B381" s="1" t="s">
        <v>1149</v>
      </c>
      <c r="C381" s="1" t="s">
        <v>21</v>
      </c>
      <c r="K381" s="1">
        <v>20.0</v>
      </c>
      <c r="N381" s="5">
        <v>44917.0</v>
      </c>
      <c r="Q381" s="1" t="s">
        <v>402</v>
      </c>
    </row>
    <row r="382">
      <c r="A382" s="1">
        <v>381.0</v>
      </c>
      <c r="B382" s="1" t="s">
        <v>1150</v>
      </c>
      <c r="C382" s="1" t="s">
        <v>21</v>
      </c>
      <c r="K382" s="1">
        <v>20.0</v>
      </c>
      <c r="N382" s="5">
        <v>44346.0</v>
      </c>
      <c r="Q382" s="1" t="s">
        <v>1151</v>
      </c>
    </row>
    <row r="383">
      <c r="A383" s="1">
        <v>382.0</v>
      </c>
      <c r="B383" s="1" t="s">
        <v>1153</v>
      </c>
      <c r="C383" s="1" t="s">
        <v>21</v>
      </c>
      <c r="K383" s="1">
        <v>40.0</v>
      </c>
      <c r="N383" s="5">
        <v>44702.0</v>
      </c>
      <c r="Q383" s="1" t="s">
        <v>1155</v>
      </c>
    </row>
    <row r="384">
      <c r="A384" s="1">
        <v>383.0</v>
      </c>
      <c r="B384" s="1" t="s">
        <v>1156</v>
      </c>
      <c r="C384" s="1" t="s">
        <v>21</v>
      </c>
      <c r="N384" s="5">
        <v>44283.0</v>
      </c>
      <c r="Q384" s="1" t="s">
        <v>402</v>
      </c>
    </row>
    <row r="385">
      <c r="A385" s="1">
        <v>384.0</v>
      </c>
      <c r="B385" s="1" t="s">
        <v>1157</v>
      </c>
      <c r="C385" s="1" t="s">
        <v>21</v>
      </c>
      <c r="K385" s="1">
        <v>10.0</v>
      </c>
      <c r="N385" s="5">
        <v>45736.0</v>
      </c>
      <c r="Q385" s="1" t="s">
        <v>1158</v>
      </c>
    </row>
    <row r="386">
      <c r="A386" s="1">
        <v>385.0</v>
      </c>
      <c r="B386" s="1" t="s">
        <v>1159</v>
      </c>
      <c r="C386" s="1" t="s">
        <v>21</v>
      </c>
      <c r="K386" s="1">
        <v>30.0</v>
      </c>
      <c r="N386" s="5">
        <v>43867.0</v>
      </c>
      <c r="Q386" s="1" t="s">
        <v>402</v>
      </c>
    </row>
    <row r="387">
      <c r="A387" s="1">
        <v>386.0</v>
      </c>
      <c r="B387" s="1" t="s">
        <v>1160</v>
      </c>
      <c r="C387" s="1" t="s">
        <v>21</v>
      </c>
      <c r="K387" s="1">
        <v>700.0</v>
      </c>
      <c r="N387" s="5">
        <v>43859.0</v>
      </c>
      <c r="Q387" s="1" t="s">
        <v>1162</v>
      </c>
    </row>
    <row r="388">
      <c r="A388" s="1">
        <v>387.0</v>
      </c>
      <c r="B388" s="1" t="s">
        <v>1163</v>
      </c>
      <c r="C388" s="1" t="s">
        <v>21</v>
      </c>
      <c r="K388" s="1">
        <v>40.0</v>
      </c>
      <c r="N388" s="5">
        <v>44860.0</v>
      </c>
      <c r="Q388" s="1" t="s">
        <v>402</v>
      </c>
    </row>
    <row r="389">
      <c r="A389" s="1">
        <v>388.0</v>
      </c>
      <c r="B389" s="1" t="s">
        <v>1165</v>
      </c>
      <c r="C389" s="1" t="s">
        <v>21</v>
      </c>
      <c r="K389" s="1">
        <v>20.0</v>
      </c>
      <c r="N389" s="5">
        <v>45953.0</v>
      </c>
      <c r="Q389" s="1" t="s">
        <v>1166</v>
      </c>
    </row>
    <row r="390">
      <c r="A390" s="1">
        <v>389.0</v>
      </c>
      <c r="B390" s="1" t="s">
        <v>1167</v>
      </c>
      <c r="C390" s="1" t="s">
        <v>21</v>
      </c>
      <c r="K390" s="1">
        <v>80.0</v>
      </c>
      <c r="N390" s="5">
        <v>44197.0</v>
      </c>
      <c r="Q390" s="1" t="s">
        <v>1168</v>
      </c>
    </row>
    <row r="391">
      <c r="A391" s="1">
        <v>390.0</v>
      </c>
      <c r="B391" s="1" t="s">
        <v>1169</v>
      </c>
      <c r="C391" s="1" t="s">
        <v>21</v>
      </c>
      <c r="K391" s="1">
        <v>500.0</v>
      </c>
      <c r="N391" s="5">
        <v>44195.0</v>
      </c>
      <c r="Q391" s="1" t="s">
        <v>1171</v>
      </c>
    </row>
    <row r="392">
      <c r="A392" s="1">
        <v>391.0</v>
      </c>
      <c r="B392" s="1" t="s">
        <v>1172</v>
      </c>
      <c r="C392" s="1" t="s">
        <v>21</v>
      </c>
      <c r="K392" s="1">
        <v>800.0</v>
      </c>
      <c r="N392" s="5">
        <v>44023.0</v>
      </c>
      <c r="Q392" s="1" t="s">
        <v>1173</v>
      </c>
    </row>
    <row r="393">
      <c r="A393" s="1">
        <v>392.0</v>
      </c>
      <c r="B393" s="1" t="s">
        <v>1174</v>
      </c>
      <c r="C393" s="1" t="s">
        <v>21</v>
      </c>
      <c r="K393" s="1">
        <v>300.0</v>
      </c>
      <c r="N393" s="5">
        <v>44041.0</v>
      </c>
      <c r="Q393" s="1" t="s">
        <v>1175</v>
      </c>
    </row>
    <row r="394">
      <c r="A394" s="1">
        <v>393.0</v>
      </c>
      <c r="B394" s="1" t="s">
        <v>1176</v>
      </c>
      <c r="C394" s="1" t="s">
        <v>21</v>
      </c>
      <c r="K394" s="1">
        <v>50.0</v>
      </c>
      <c r="N394" s="5">
        <v>43849.0</v>
      </c>
      <c r="Q394" s="1" t="s">
        <v>1177</v>
      </c>
    </row>
    <row r="395">
      <c r="A395" s="1">
        <v>394.0</v>
      </c>
      <c r="B395" s="1" t="s">
        <v>1178</v>
      </c>
      <c r="C395" s="1" t="s">
        <v>21</v>
      </c>
      <c r="K395" s="1">
        <v>20.0</v>
      </c>
      <c r="N395" s="5">
        <v>45710.0</v>
      </c>
      <c r="Q395" s="1" t="s">
        <v>1179</v>
      </c>
    </row>
    <row r="396">
      <c r="A396" s="1">
        <v>395.0</v>
      </c>
      <c r="B396" s="1" t="s">
        <v>1180</v>
      </c>
      <c r="C396" s="1" t="s">
        <v>21</v>
      </c>
      <c r="K396" s="1">
        <v>100.0</v>
      </c>
      <c r="N396" s="5">
        <v>45711.0</v>
      </c>
      <c r="Q396" s="1" t="s">
        <v>1182</v>
      </c>
    </row>
    <row r="397">
      <c r="A397" s="1">
        <v>396.0</v>
      </c>
      <c r="B397" s="1" t="s">
        <v>1183</v>
      </c>
      <c r="C397" s="1" t="s">
        <v>21</v>
      </c>
      <c r="N397" s="5">
        <v>46147.0</v>
      </c>
      <c r="Q397" s="1" t="s">
        <v>1184</v>
      </c>
    </row>
    <row r="398">
      <c r="A398" s="1">
        <v>397.0</v>
      </c>
      <c r="B398" s="1" t="s">
        <v>1185</v>
      </c>
      <c r="C398" s="1" t="s">
        <v>21</v>
      </c>
      <c r="K398" s="1">
        <v>100.0</v>
      </c>
      <c r="N398" s="5">
        <v>43952.0</v>
      </c>
      <c r="Q398" s="1" t="s">
        <v>1187</v>
      </c>
    </row>
    <row r="399">
      <c r="A399" s="1">
        <v>398.0</v>
      </c>
      <c r="B399" s="1" t="s">
        <v>1189</v>
      </c>
      <c r="C399" s="1" t="s">
        <v>21</v>
      </c>
      <c r="N399" s="5">
        <v>45271.0</v>
      </c>
      <c r="Q399" s="1" t="s">
        <v>402</v>
      </c>
    </row>
    <row r="400">
      <c r="A400" s="1">
        <v>399.0</v>
      </c>
      <c r="B400" s="1" t="s">
        <v>1190</v>
      </c>
      <c r="C400" s="1" t="s">
        <v>21</v>
      </c>
      <c r="K400" s="1">
        <v>500.0</v>
      </c>
      <c r="N400" s="5">
        <v>43841.0</v>
      </c>
      <c r="Q400" s="1" t="s">
        <v>1191</v>
      </c>
    </row>
    <row r="401">
      <c r="A401" s="1">
        <v>400.0</v>
      </c>
      <c r="B401" s="1" t="s">
        <v>1192</v>
      </c>
      <c r="C401" s="1" t="s">
        <v>21</v>
      </c>
      <c r="N401" s="5">
        <v>44386.0</v>
      </c>
      <c r="Q401" s="1" t="s">
        <v>980</v>
      </c>
    </row>
    <row r="402">
      <c r="A402" s="1">
        <v>401.0</v>
      </c>
      <c r="B402" s="1" t="s">
        <v>1194</v>
      </c>
      <c r="C402" s="1" t="s">
        <v>21</v>
      </c>
      <c r="N402" s="5">
        <v>45154.0</v>
      </c>
      <c r="Q402" s="1" t="s">
        <v>402</v>
      </c>
    </row>
    <row r="403">
      <c r="A403" s="1">
        <v>402.0</v>
      </c>
      <c r="B403" s="1" t="s">
        <v>1196</v>
      </c>
      <c r="C403" s="1" t="s">
        <v>21</v>
      </c>
      <c r="N403" s="5">
        <v>44721.0</v>
      </c>
      <c r="Q403" s="1" t="s">
        <v>402</v>
      </c>
    </row>
    <row r="404">
      <c r="A404" s="1">
        <v>403.0</v>
      </c>
      <c r="B404" s="1" t="s">
        <v>1197</v>
      </c>
      <c r="C404" s="1" t="s">
        <v>21</v>
      </c>
      <c r="K404" s="1">
        <v>150.0</v>
      </c>
      <c r="N404" s="5">
        <v>44371.0</v>
      </c>
      <c r="Q404" s="1" t="s">
        <v>1198</v>
      </c>
    </row>
    <row r="405">
      <c r="A405" s="1">
        <v>404.0</v>
      </c>
      <c r="B405" s="1" t="s">
        <v>1200</v>
      </c>
      <c r="C405" s="1" t="s">
        <v>21</v>
      </c>
      <c r="K405" s="1">
        <v>400.0</v>
      </c>
      <c r="N405" s="5">
        <v>44177.0</v>
      </c>
      <c r="Q405" s="1" t="s">
        <v>1202</v>
      </c>
    </row>
    <row r="406">
      <c r="A406" s="1">
        <v>405.0</v>
      </c>
      <c r="B406" s="1" t="s">
        <v>1203</v>
      </c>
      <c r="C406" s="1" t="s">
        <v>21</v>
      </c>
      <c r="N406" s="5">
        <v>45559.0</v>
      </c>
      <c r="Q406" s="1" t="s">
        <v>1204</v>
      </c>
    </row>
    <row r="407">
      <c r="A407" s="1">
        <v>406.0</v>
      </c>
      <c r="B407" s="1" t="s">
        <v>1205</v>
      </c>
      <c r="C407" s="1" t="s">
        <v>21</v>
      </c>
      <c r="K407" s="1">
        <v>250.0</v>
      </c>
      <c r="N407" s="5">
        <v>43869.0</v>
      </c>
      <c r="Q407" s="1" t="s">
        <v>1206</v>
      </c>
    </row>
    <row r="408">
      <c r="A408" s="1">
        <v>407.0</v>
      </c>
      <c r="B408" s="1" t="s">
        <v>1207</v>
      </c>
      <c r="C408" s="1" t="s">
        <v>21</v>
      </c>
      <c r="K408" s="1">
        <v>40.0</v>
      </c>
      <c r="N408" s="5">
        <v>45685.0</v>
      </c>
      <c r="Q408" s="1" t="s">
        <v>928</v>
      </c>
    </row>
    <row r="409">
      <c r="A409" s="1">
        <v>408.0</v>
      </c>
      <c r="B409" s="1" t="s">
        <v>1210</v>
      </c>
      <c r="C409" s="1" t="s">
        <v>21</v>
      </c>
      <c r="K409" s="1">
        <v>150.0</v>
      </c>
      <c r="N409" s="5">
        <v>44115.0</v>
      </c>
      <c r="Q409" s="1" t="s">
        <v>1212</v>
      </c>
    </row>
    <row r="410">
      <c r="A410" s="1">
        <v>409.0</v>
      </c>
      <c r="B410" s="1" t="s">
        <v>1213</v>
      </c>
      <c r="C410" s="1" t="s">
        <v>21</v>
      </c>
      <c r="K410" s="1">
        <v>20.0</v>
      </c>
      <c r="N410" s="5">
        <v>44194.0</v>
      </c>
      <c r="Q410" s="1" t="s">
        <v>1214</v>
      </c>
    </row>
    <row r="411">
      <c r="A411" s="1">
        <v>410.0</v>
      </c>
      <c r="B411" s="1" t="s">
        <v>1215</v>
      </c>
      <c r="C411" s="1" t="s">
        <v>21</v>
      </c>
      <c r="N411" s="5">
        <v>43936.0</v>
      </c>
      <c r="Q411" s="1" t="s">
        <v>600</v>
      </c>
    </row>
    <row r="412">
      <c r="A412" s="1">
        <v>411.0</v>
      </c>
      <c r="B412" s="1" t="s">
        <v>1216</v>
      </c>
      <c r="C412" s="1" t="s">
        <v>21</v>
      </c>
      <c r="N412" s="5">
        <v>44101.0</v>
      </c>
      <c r="Q412" s="1" t="s">
        <v>402</v>
      </c>
    </row>
    <row r="413">
      <c r="A413" s="1">
        <v>412.0</v>
      </c>
      <c r="B413" s="1" t="s">
        <v>1217</v>
      </c>
      <c r="C413" s="1" t="s">
        <v>21</v>
      </c>
      <c r="K413" s="1">
        <v>1200.0</v>
      </c>
      <c r="N413" s="5">
        <v>43988.0</v>
      </c>
      <c r="Q413" s="1" t="s">
        <v>1219</v>
      </c>
    </row>
    <row r="414">
      <c r="A414" s="1">
        <v>413.0</v>
      </c>
      <c r="B414" s="1" t="s">
        <v>1220</v>
      </c>
      <c r="C414" s="1" t="s">
        <v>21</v>
      </c>
      <c r="K414" s="1">
        <v>200.0</v>
      </c>
      <c r="N414" s="5">
        <v>43848.0</v>
      </c>
      <c r="Q414" s="1" t="s">
        <v>1221</v>
      </c>
    </row>
    <row r="415">
      <c r="A415" s="1">
        <v>414.0</v>
      </c>
      <c r="B415" s="1" t="s">
        <v>1222</v>
      </c>
      <c r="C415" s="1" t="s">
        <v>21</v>
      </c>
      <c r="K415" s="1">
        <v>40.0</v>
      </c>
      <c r="N415" s="5">
        <v>44739.0</v>
      </c>
      <c r="Q415" s="1" t="s">
        <v>1224</v>
      </c>
    </row>
    <row r="416">
      <c r="A416" s="1">
        <v>415.0</v>
      </c>
      <c r="B416" s="1" t="s">
        <v>1225</v>
      </c>
      <c r="C416" s="1" t="s">
        <v>21</v>
      </c>
      <c r="K416" s="1">
        <v>30.0</v>
      </c>
      <c r="N416" s="5">
        <v>45686.0</v>
      </c>
      <c r="Q416" s="1" t="s">
        <v>1227</v>
      </c>
    </row>
    <row r="417">
      <c r="A417" s="1">
        <v>416.0</v>
      </c>
      <c r="B417" s="1" t="s">
        <v>1228</v>
      </c>
      <c r="C417" s="1" t="s">
        <v>21</v>
      </c>
      <c r="N417" s="5">
        <v>46003.0</v>
      </c>
      <c r="Q417" s="1" t="s">
        <v>1230</v>
      </c>
    </row>
    <row r="418">
      <c r="A418" s="1">
        <v>417.0</v>
      </c>
      <c r="B418" s="1" t="s">
        <v>1231</v>
      </c>
      <c r="C418" s="1" t="s">
        <v>21</v>
      </c>
      <c r="K418" s="1">
        <v>60.0</v>
      </c>
      <c r="N418" s="5">
        <v>44966.0</v>
      </c>
      <c r="Q418" s="1" t="s">
        <v>1232</v>
      </c>
    </row>
    <row r="419">
      <c r="A419" s="1">
        <v>418.0</v>
      </c>
      <c r="B419" s="1" t="s">
        <v>1233</v>
      </c>
      <c r="C419" s="1" t="s">
        <v>21</v>
      </c>
      <c r="K419" s="1">
        <v>40.0</v>
      </c>
      <c r="N419" s="5">
        <v>45097.0</v>
      </c>
      <c r="Q419" s="1" t="s">
        <v>1235</v>
      </c>
    </row>
    <row r="420">
      <c r="A420" s="1">
        <v>419.0</v>
      </c>
      <c r="B420" s="1" t="s">
        <v>1236</v>
      </c>
      <c r="C420" s="1" t="s">
        <v>21</v>
      </c>
      <c r="K420" s="1">
        <v>50.0</v>
      </c>
      <c r="N420" s="5">
        <v>43849.0</v>
      </c>
      <c r="Q420" s="1" t="s">
        <v>1237</v>
      </c>
    </row>
    <row r="421">
      <c r="A421" s="1">
        <v>420.0</v>
      </c>
      <c r="B421" s="1" t="s">
        <v>1238</v>
      </c>
      <c r="C421" s="1" t="s">
        <v>21</v>
      </c>
      <c r="K421" s="1">
        <v>30.0</v>
      </c>
      <c r="N421" s="5">
        <v>44446.0</v>
      </c>
      <c r="Q421" s="1" t="s">
        <v>1045</v>
      </c>
    </row>
    <row r="422">
      <c r="A422" s="1">
        <v>421.0</v>
      </c>
      <c r="B422" s="1" t="s">
        <v>1239</v>
      </c>
      <c r="C422" s="1" t="s">
        <v>21</v>
      </c>
      <c r="K422" s="1">
        <v>20.0</v>
      </c>
      <c r="N422" s="5">
        <v>44676.0</v>
      </c>
      <c r="Q422" s="1" t="s">
        <v>1240</v>
      </c>
    </row>
    <row r="423">
      <c r="A423" s="1">
        <v>422.0</v>
      </c>
      <c r="B423" s="1" t="s">
        <v>1242</v>
      </c>
      <c r="C423" s="1" t="s">
        <v>21</v>
      </c>
      <c r="K423" s="1">
        <v>40.0</v>
      </c>
      <c r="N423" s="5">
        <v>44186.0</v>
      </c>
      <c r="Q423" s="1" t="s">
        <v>1244</v>
      </c>
    </row>
    <row r="424">
      <c r="A424" s="1">
        <v>423.0</v>
      </c>
      <c r="B424" s="1" t="s">
        <v>1245</v>
      </c>
      <c r="C424" s="1" t="s">
        <v>21</v>
      </c>
      <c r="N424" s="5">
        <v>44687.0</v>
      </c>
      <c r="Q424" s="1" t="s">
        <v>402</v>
      </c>
    </row>
    <row r="425">
      <c r="A425" s="1">
        <v>424.0</v>
      </c>
      <c r="B425" s="1" t="s">
        <v>1246</v>
      </c>
      <c r="C425" s="1" t="s">
        <v>21</v>
      </c>
      <c r="K425" s="1">
        <v>10.0</v>
      </c>
      <c r="N425" s="5">
        <v>45326.0</v>
      </c>
      <c r="Q425" s="1" t="s">
        <v>1247</v>
      </c>
    </row>
    <row r="426">
      <c r="A426" s="1">
        <v>425.0</v>
      </c>
      <c r="B426" s="1" t="s">
        <v>1248</v>
      </c>
      <c r="C426" s="1" t="s">
        <v>21</v>
      </c>
      <c r="K426" s="1">
        <v>150.0</v>
      </c>
      <c r="N426" s="5">
        <v>45019.0</v>
      </c>
      <c r="Q426" s="1" t="s">
        <v>1249</v>
      </c>
    </row>
    <row r="427">
      <c r="A427" s="1">
        <v>426.0</v>
      </c>
      <c r="B427" s="1" t="s">
        <v>1251</v>
      </c>
      <c r="C427" s="1" t="s">
        <v>21</v>
      </c>
      <c r="N427" s="5">
        <v>45690.0</v>
      </c>
      <c r="Q427" s="1" t="s">
        <v>1253</v>
      </c>
    </row>
    <row r="428">
      <c r="A428" s="1">
        <v>427.0</v>
      </c>
      <c r="B428" s="1" t="s">
        <v>1255</v>
      </c>
      <c r="C428" s="1" t="s">
        <v>21</v>
      </c>
      <c r="N428" s="5">
        <v>43922.0</v>
      </c>
      <c r="Q428" s="1" t="s">
        <v>402</v>
      </c>
    </row>
    <row r="429">
      <c r="A429" s="1">
        <v>428.0</v>
      </c>
      <c r="B429" s="1" t="s">
        <v>1256</v>
      </c>
      <c r="C429" s="1" t="s">
        <v>21</v>
      </c>
      <c r="K429" s="1">
        <v>20.0</v>
      </c>
      <c r="N429" s="5">
        <v>42454.0</v>
      </c>
      <c r="Q429" s="1" t="s">
        <v>1257</v>
      </c>
    </row>
    <row r="430">
      <c r="A430" s="1">
        <v>429.0</v>
      </c>
      <c r="B430" s="1" t="s">
        <v>41</v>
      </c>
      <c r="C430" s="1" t="s">
        <v>21</v>
      </c>
      <c r="K430" s="1">
        <v>40.0</v>
      </c>
      <c r="N430" s="5">
        <v>44904.0</v>
      </c>
      <c r="Q430" s="1" t="s">
        <v>45</v>
      </c>
    </row>
    <row r="431">
      <c r="A431" s="1">
        <v>430.0</v>
      </c>
      <c r="B431" s="1" t="s">
        <v>1259</v>
      </c>
      <c r="C431" s="1" t="s">
        <v>21</v>
      </c>
      <c r="K431" s="1">
        <v>150.0</v>
      </c>
      <c r="N431" s="5">
        <v>44834.0</v>
      </c>
      <c r="Q431" s="1" t="s">
        <v>1261</v>
      </c>
    </row>
    <row r="432">
      <c r="A432" s="1">
        <v>431.0</v>
      </c>
      <c r="B432" s="1" t="s">
        <v>1262</v>
      </c>
      <c r="C432" s="1" t="s">
        <v>21</v>
      </c>
      <c r="K432" s="1">
        <v>400.0</v>
      </c>
      <c r="N432" s="5">
        <v>44302.0</v>
      </c>
      <c r="Q432" s="1" t="s">
        <v>1263</v>
      </c>
    </row>
    <row r="433">
      <c r="A433" s="1">
        <v>432.0</v>
      </c>
      <c r="B433" s="1" t="s">
        <v>1264</v>
      </c>
      <c r="C433" s="1" t="s">
        <v>21</v>
      </c>
      <c r="K433" s="1">
        <v>100.0</v>
      </c>
      <c r="N433" s="5">
        <v>44579.0</v>
      </c>
      <c r="Q433" s="1" t="s">
        <v>1265</v>
      </c>
    </row>
    <row r="434">
      <c r="A434" s="1">
        <v>433.0</v>
      </c>
      <c r="B434" s="1" t="s">
        <v>1266</v>
      </c>
      <c r="C434" s="1" t="s">
        <v>21</v>
      </c>
      <c r="K434" s="1">
        <v>40.0</v>
      </c>
      <c r="N434" s="5">
        <v>44492.0</v>
      </c>
      <c r="Q434" s="1" t="s">
        <v>402</v>
      </c>
    </row>
    <row r="435">
      <c r="A435" s="1">
        <v>434.0</v>
      </c>
      <c r="B435" s="1" t="s">
        <v>1269</v>
      </c>
      <c r="C435" s="1" t="s">
        <v>21</v>
      </c>
      <c r="K435" s="1">
        <v>20.0</v>
      </c>
      <c r="N435" s="5">
        <v>45557.0</v>
      </c>
      <c r="Q435" s="1" t="s">
        <v>1270</v>
      </c>
    </row>
    <row r="436">
      <c r="A436" s="1">
        <v>435.0</v>
      </c>
      <c r="B436" s="1" t="s">
        <v>1272</v>
      </c>
      <c r="C436" s="1" t="s">
        <v>21</v>
      </c>
      <c r="K436" s="1">
        <v>80.0</v>
      </c>
      <c r="N436" s="5">
        <v>43875.0</v>
      </c>
      <c r="Q436" s="1" t="s">
        <v>1273</v>
      </c>
    </row>
    <row r="437">
      <c r="A437" s="1">
        <v>436.0</v>
      </c>
      <c r="B437" s="1" t="s">
        <v>1274</v>
      </c>
      <c r="C437" s="1" t="s">
        <v>21</v>
      </c>
      <c r="K437" s="1">
        <v>20.0</v>
      </c>
      <c r="N437" s="5">
        <v>45078.0</v>
      </c>
      <c r="Q437" s="1" t="s">
        <v>1275</v>
      </c>
    </row>
    <row r="438">
      <c r="A438" s="1">
        <v>437.0</v>
      </c>
      <c r="B438" s="1" t="s">
        <v>1277</v>
      </c>
      <c r="C438" s="1" t="s">
        <v>21</v>
      </c>
      <c r="N438" s="5">
        <v>45393.0</v>
      </c>
      <c r="Q438" s="1" t="s">
        <v>1279</v>
      </c>
    </row>
    <row r="439">
      <c r="A439" s="1">
        <v>438.0</v>
      </c>
      <c r="B439" s="1" t="s">
        <v>1280</v>
      </c>
      <c r="C439" s="1" t="s">
        <v>21</v>
      </c>
      <c r="K439" s="1">
        <v>90.0</v>
      </c>
      <c r="N439" s="5">
        <v>44245.0</v>
      </c>
      <c r="Q439" s="1" t="s">
        <v>1283</v>
      </c>
    </row>
    <row r="440">
      <c r="A440" s="1">
        <v>439.0</v>
      </c>
      <c r="B440" s="1" t="s">
        <v>1284</v>
      </c>
      <c r="C440" s="1" t="s">
        <v>21</v>
      </c>
      <c r="K440" s="1">
        <v>20.0</v>
      </c>
      <c r="N440" s="5">
        <v>44081.0</v>
      </c>
      <c r="Q440" s="1" t="s">
        <v>1285</v>
      </c>
    </row>
    <row r="441">
      <c r="A441" s="1">
        <v>440.0</v>
      </c>
      <c r="B441" s="1" t="s">
        <v>1286</v>
      </c>
      <c r="C441" s="1" t="s">
        <v>21</v>
      </c>
      <c r="K441" s="1">
        <v>20.0</v>
      </c>
      <c r="N441" s="5">
        <v>45327.0</v>
      </c>
      <c r="Q441" s="1" t="s">
        <v>1288</v>
      </c>
    </row>
    <row r="442">
      <c r="A442" s="1">
        <v>441.0</v>
      </c>
      <c r="B442" s="1" t="s">
        <v>1290</v>
      </c>
      <c r="C442" s="1" t="s">
        <v>21</v>
      </c>
      <c r="K442" s="1">
        <v>20.0</v>
      </c>
      <c r="N442" s="5">
        <v>44840.0</v>
      </c>
      <c r="Q442" s="1" t="s">
        <v>1291</v>
      </c>
    </row>
    <row r="443">
      <c r="A443" s="1">
        <v>442.0</v>
      </c>
      <c r="B443" s="1" t="s">
        <v>1293</v>
      </c>
      <c r="C443" s="1" t="s">
        <v>21</v>
      </c>
      <c r="K443" s="1">
        <v>150.0</v>
      </c>
      <c r="N443" s="5">
        <v>45695.0</v>
      </c>
      <c r="Q443" s="1" t="s">
        <v>1294</v>
      </c>
    </row>
    <row r="444">
      <c r="A444" s="1">
        <v>443.0</v>
      </c>
      <c r="B444" s="1" t="s">
        <v>1295</v>
      </c>
      <c r="C444" s="1" t="s">
        <v>21</v>
      </c>
      <c r="N444" s="5">
        <v>44613.0</v>
      </c>
      <c r="Q444" s="1" t="s">
        <v>646</v>
      </c>
    </row>
    <row r="445">
      <c r="A445" s="1">
        <v>444.0</v>
      </c>
      <c r="B445" s="1" t="s">
        <v>1297</v>
      </c>
      <c r="C445" s="1" t="s">
        <v>21</v>
      </c>
      <c r="K445" s="1">
        <v>250.0</v>
      </c>
      <c r="N445" s="5">
        <v>43843.0</v>
      </c>
      <c r="Q445" s="1" t="s">
        <v>1299</v>
      </c>
    </row>
    <row r="446">
      <c r="A446" s="1">
        <v>445.0</v>
      </c>
      <c r="B446" s="1" t="s">
        <v>1300</v>
      </c>
      <c r="C446" s="1" t="s">
        <v>21</v>
      </c>
      <c r="K446" s="1">
        <v>10.0</v>
      </c>
      <c r="N446" s="5">
        <v>45025.0</v>
      </c>
      <c r="Q446" s="1" t="s">
        <v>1301</v>
      </c>
    </row>
    <row r="447">
      <c r="A447" s="1">
        <v>446.0</v>
      </c>
      <c r="B447" s="1" t="s">
        <v>1302</v>
      </c>
      <c r="C447" s="1" t="s">
        <v>21</v>
      </c>
      <c r="K447" s="1">
        <v>10.0</v>
      </c>
      <c r="N447" s="5">
        <v>45731.0</v>
      </c>
      <c r="Q447" s="1" t="s">
        <v>1303</v>
      </c>
    </row>
    <row r="448">
      <c r="A448" s="1">
        <v>447.0</v>
      </c>
      <c r="B448" s="1" t="s">
        <v>1304</v>
      </c>
      <c r="C448" s="1" t="s">
        <v>21</v>
      </c>
      <c r="K448" s="1">
        <v>300.0</v>
      </c>
      <c r="N448" s="5">
        <v>43843.0</v>
      </c>
      <c r="Q448" s="1" t="s">
        <v>1306</v>
      </c>
    </row>
    <row r="449">
      <c r="A449" s="1">
        <v>448.0</v>
      </c>
      <c r="B449" s="1" t="s">
        <v>1307</v>
      </c>
      <c r="C449" s="1" t="s">
        <v>21</v>
      </c>
      <c r="K449" s="1">
        <v>40.0</v>
      </c>
      <c r="N449" s="5">
        <v>44627.0</v>
      </c>
      <c r="Q449" s="1" t="s">
        <v>1309</v>
      </c>
    </row>
    <row r="450">
      <c r="A450" s="1">
        <v>449.0</v>
      </c>
      <c r="B450" s="1" t="s">
        <v>1310</v>
      </c>
      <c r="C450" s="1" t="s">
        <v>21</v>
      </c>
      <c r="K450" s="1">
        <v>10.0</v>
      </c>
      <c r="N450" s="5">
        <v>45103.0</v>
      </c>
      <c r="Q450" s="1" t="s">
        <v>1311</v>
      </c>
    </row>
    <row r="451">
      <c r="A451" s="1">
        <v>450.0</v>
      </c>
      <c r="B451" s="1" t="s">
        <v>1312</v>
      </c>
      <c r="C451" s="1" t="s">
        <v>21</v>
      </c>
      <c r="K451" s="1">
        <v>40.0</v>
      </c>
      <c r="N451" s="5">
        <v>45366.0</v>
      </c>
      <c r="Q451" s="1" t="s">
        <v>1313</v>
      </c>
    </row>
    <row r="452">
      <c r="A452" s="1">
        <v>451.0</v>
      </c>
      <c r="B452" s="1" t="s">
        <v>1315</v>
      </c>
      <c r="C452" s="1" t="s">
        <v>21</v>
      </c>
      <c r="K452" s="1">
        <v>90.0</v>
      </c>
      <c r="N452" s="5">
        <v>44440.0</v>
      </c>
      <c r="Q452" s="1" t="s">
        <v>1317</v>
      </c>
    </row>
    <row r="453">
      <c r="A453" s="1">
        <v>452.0</v>
      </c>
      <c r="B453" s="1" t="s">
        <v>1318</v>
      </c>
      <c r="C453" s="1" t="s">
        <v>21</v>
      </c>
      <c r="K453" s="1">
        <v>10.0</v>
      </c>
      <c r="N453" s="5">
        <v>43997.0</v>
      </c>
      <c r="Q453" s="1" t="s">
        <v>1319</v>
      </c>
    </row>
    <row r="454">
      <c r="A454" s="1">
        <v>453.0</v>
      </c>
      <c r="B454" s="1" t="s">
        <v>1320</v>
      </c>
      <c r="C454" s="1" t="s">
        <v>21</v>
      </c>
      <c r="N454" s="5">
        <v>44521.0</v>
      </c>
      <c r="Q454" s="1" t="s">
        <v>402</v>
      </c>
    </row>
    <row r="455">
      <c r="A455" s="1">
        <v>454.0</v>
      </c>
      <c r="B455" s="1" t="s">
        <v>1321</v>
      </c>
      <c r="C455" s="1" t="s">
        <v>21</v>
      </c>
      <c r="K455" s="1">
        <v>60.0</v>
      </c>
      <c r="N455" s="5">
        <v>45324.0</v>
      </c>
      <c r="Q455" s="1" t="s">
        <v>1323</v>
      </c>
    </row>
    <row r="456">
      <c r="A456" s="1">
        <v>455.0</v>
      </c>
      <c r="B456" s="1" t="s">
        <v>1324</v>
      </c>
      <c r="C456" s="1" t="s">
        <v>21</v>
      </c>
      <c r="K456" s="1">
        <v>250.0</v>
      </c>
      <c r="N456" s="5">
        <v>45323.0</v>
      </c>
      <c r="Q456" s="1" t="s">
        <v>1325</v>
      </c>
    </row>
    <row r="457">
      <c r="A457" s="1">
        <v>456.0</v>
      </c>
      <c r="B457" s="1" t="s">
        <v>1326</v>
      </c>
      <c r="C457" s="1" t="s">
        <v>21</v>
      </c>
      <c r="N457" s="5">
        <v>44322.0</v>
      </c>
      <c r="Q457" s="1" t="s">
        <v>402</v>
      </c>
    </row>
    <row r="458">
      <c r="A458" s="1">
        <v>457.0</v>
      </c>
      <c r="B458" s="1" t="s">
        <v>1327</v>
      </c>
      <c r="C458" s="1" t="s">
        <v>21</v>
      </c>
      <c r="K458" s="1">
        <v>300.0</v>
      </c>
      <c r="N458" s="5">
        <v>43869.0</v>
      </c>
      <c r="Q458" s="1" t="s">
        <v>1328</v>
      </c>
    </row>
    <row r="459">
      <c r="A459" s="1">
        <v>458.0</v>
      </c>
      <c r="B459" s="1" t="s">
        <v>1329</v>
      </c>
      <c r="C459" s="1" t="s">
        <v>21</v>
      </c>
      <c r="K459" s="1">
        <v>80.0</v>
      </c>
      <c r="N459" s="5">
        <v>44323.0</v>
      </c>
      <c r="Q459" s="1" t="s">
        <v>1331</v>
      </c>
    </row>
    <row r="460">
      <c r="A460" s="1">
        <v>459.0</v>
      </c>
      <c r="B460" s="1" t="s">
        <v>1333</v>
      </c>
      <c r="C460" s="1" t="s">
        <v>21</v>
      </c>
      <c r="K460" s="1">
        <v>100.0</v>
      </c>
      <c r="N460" s="5">
        <v>44851.0</v>
      </c>
      <c r="Q460" s="1" t="s">
        <v>1334</v>
      </c>
    </row>
    <row r="461">
      <c r="A461" s="1">
        <v>460.0</v>
      </c>
      <c r="B461" s="1" t="s">
        <v>1335</v>
      </c>
      <c r="C461" s="1" t="s">
        <v>21</v>
      </c>
      <c r="K461" s="1">
        <v>200.0</v>
      </c>
      <c r="N461" s="5">
        <v>43852.0</v>
      </c>
      <c r="Q461" s="1" t="s">
        <v>1336</v>
      </c>
    </row>
    <row r="462">
      <c r="A462" s="1">
        <v>461.0</v>
      </c>
      <c r="B462" s="1" t="s">
        <v>1337</v>
      </c>
      <c r="C462" s="1" t="s">
        <v>21</v>
      </c>
      <c r="K462" s="1">
        <v>60.0</v>
      </c>
      <c r="N462" s="5">
        <v>45228.0</v>
      </c>
      <c r="Q462" s="1" t="s">
        <v>1340</v>
      </c>
    </row>
    <row r="463">
      <c r="A463" s="1">
        <v>462.0</v>
      </c>
      <c r="B463" s="1" t="s">
        <v>1341</v>
      </c>
      <c r="C463" s="1" t="s">
        <v>21</v>
      </c>
      <c r="K463" s="1">
        <v>70.0</v>
      </c>
      <c r="N463" s="5">
        <v>44886.0</v>
      </c>
      <c r="Q463" s="1" t="s">
        <v>1342</v>
      </c>
    </row>
    <row r="464">
      <c r="A464" s="1">
        <v>463.0</v>
      </c>
      <c r="B464" s="1" t="s">
        <v>1343</v>
      </c>
      <c r="C464" s="1" t="s">
        <v>21</v>
      </c>
      <c r="F464" s="1">
        <v>0.4</v>
      </c>
      <c r="K464" s="1">
        <v>10.0</v>
      </c>
      <c r="N464" s="5">
        <v>44720.0</v>
      </c>
      <c r="Q464" s="1" t="s">
        <v>1346</v>
      </c>
    </row>
    <row r="465">
      <c r="A465" s="1">
        <v>464.0</v>
      </c>
      <c r="B465" s="1" t="s">
        <v>1347</v>
      </c>
      <c r="C465" s="1" t="s">
        <v>21</v>
      </c>
      <c r="K465" s="1">
        <v>30.0</v>
      </c>
      <c r="N465" s="5">
        <v>45693.0</v>
      </c>
      <c r="Q465" s="1" t="s">
        <v>1349</v>
      </c>
    </row>
    <row r="466">
      <c r="A466" s="1">
        <v>465.0</v>
      </c>
      <c r="B466" s="1" t="s">
        <v>1351</v>
      </c>
      <c r="C466" s="1" t="s">
        <v>21</v>
      </c>
      <c r="K466" s="1">
        <v>100.0</v>
      </c>
      <c r="N466" s="5">
        <v>44124.0</v>
      </c>
      <c r="Q466" s="1" t="s">
        <v>1353</v>
      </c>
    </row>
    <row r="467">
      <c r="A467" s="1">
        <v>466.0</v>
      </c>
      <c r="B467" s="1" t="s">
        <v>1355</v>
      </c>
      <c r="C467" s="1" t="s">
        <v>21</v>
      </c>
      <c r="K467" s="1">
        <v>300.0</v>
      </c>
      <c r="N467" s="5">
        <v>44046.0</v>
      </c>
      <c r="Q467" s="1" t="s">
        <v>1357</v>
      </c>
    </row>
    <row r="468">
      <c r="A468" s="1">
        <v>467.0</v>
      </c>
      <c r="B468" s="1" t="s">
        <v>1359</v>
      </c>
      <c r="C468" s="1" t="s">
        <v>21</v>
      </c>
      <c r="K468" s="1">
        <v>350.0</v>
      </c>
      <c r="N468" s="5">
        <v>43850.0</v>
      </c>
      <c r="Q468" s="1" t="s">
        <v>1361</v>
      </c>
    </row>
    <row r="469">
      <c r="A469" s="1">
        <v>468.0</v>
      </c>
      <c r="B469" s="1" t="s">
        <v>1362</v>
      </c>
      <c r="C469" s="1" t="s">
        <v>21</v>
      </c>
      <c r="K469" s="1">
        <v>200.0</v>
      </c>
      <c r="N469" s="5">
        <v>45569.0</v>
      </c>
      <c r="Q469" s="1" t="s">
        <v>1363</v>
      </c>
    </row>
    <row r="470">
      <c r="A470" s="1">
        <v>469.0</v>
      </c>
      <c r="B470" s="1" t="s">
        <v>1365</v>
      </c>
      <c r="C470" s="1" t="s">
        <v>21</v>
      </c>
      <c r="K470" s="1">
        <v>60.0</v>
      </c>
      <c r="N470" s="5">
        <v>44250.0</v>
      </c>
      <c r="Q470" s="1" t="s">
        <v>1366</v>
      </c>
    </row>
    <row r="471">
      <c r="A471" s="1">
        <v>470.0</v>
      </c>
      <c r="B471" s="1" t="s">
        <v>1367</v>
      </c>
      <c r="C471" s="1" t="s">
        <v>21</v>
      </c>
      <c r="N471" s="5">
        <v>44837.0</v>
      </c>
      <c r="Q471" s="1" t="s">
        <v>1369</v>
      </c>
    </row>
    <row r="472">
      <c r="A472" s="1">
        <v>471.0</v>
      </c>
      <c r="B472" s="1" t="s">
        <v>1370</v>
      </c>
      <c r="C472" s="1" t="s">
        <v>21</v>
      </c>
      <c r="K472" s="1">
        <v>20.0</v>
      </c>
      <c r="N472" s="5">
        <v>44729.0</v>
      </c>
      <c r="Q472" s="1" t="s">
        <v>759</v>
      </c>
    </row>
    <row r="473">
      <c r="A473" s="1">
        <v>472.0</v>
      </c>
      <c r="B473" s="1" t="s">
        <v>1371</v>
      </c>
      <c r="C473" s="1" t="s">
        <v>21</v>
      </c>
      <c r="K473" s="1">
        <v>50.0</v>
      </c>
      <c r="N473" s="5">
        <v>45608.0</v>
      </c>
      <c r="Q473" s="1" t="s">
        <v>1372</v>
      </c>
    </row>
    <row r="474">
      <c r="A474" s="1">
        <v>473.0</v>
      </c>
      <c r="B474" s="1" t="s">
        <v>1373</v>
      </c>
      <c r="C474" s="1" t="s">
        <v>21</v>
      </c>
      <c r="K474" s="1">
        <v>20.0</v>
      </c>
      <c r="N474" s="5">
        <v>44861.0</v>
      </c>
      <c r="Q474" s="1" t="s">
        <v>1374</v>
      </c>
    </row>
    <row r="475">
      <c r="A475" s="1">
        <v>474.0</v>
      </c>
      <c r="B475" s="1" t="s">
        <v>1375</v>
      </c>
      <c r="C475" s="1" t="s">
        <v>21</v>
      </c>
      <c r="K475" s="1">
        <v>90.0</v>
      </c>
      <c r="N475" s="5">
        <v>44141.0</v>
      </c>
      <c r="Q475" s="1" t="s">
        <v>1377</v>
      </c>
    </row>
    <row r="476">
      <c r="A476" s="1">
        <v>475.0</v>
      </c>
      <c r="B476" s="1" t="s">
        <v>1378</v>
      </c>
      <c r="C476" s="1" t="s">
        <v>21</v>
      </c>
      <c r="K476" s="1">
        <v>30.0</v>
      </c>
      <c r="N476" s="5">
        <v>45704.0</v>
      </c>
      <c r="Q476" s="1" t="s">
        <v>1379</v>
      </c>
    </row>
    <row r="477">
      <c r="A477" s="1">
        <v>476.0</v>
      </c>
      <c r="B477" s="1" t="s">
        <v>1381</v>
      </c>
      <c r="C477" s="1" t="s">
        <v>21</v>
      </c>
      <c r="K477" s="1">
        <v>80.0</v>
      </c>
      <c r="N477" s="5">
        <v>43893.0</v>
      </c>
      <c r="Q477" s="1" t="s">
        <v>1382</v>
      </c>
    </row>
    <row r="478">
      <c r="A478" s="1">
        <v>477.0</v>
      </c>
      <c r="B478" s="1" t="s">
        <v>1384</v>
      </c>
      <c r="C478" s="1" t="s">
        <v>21</v>
      </c>
      <c r="K478" s="1">
        <v>70.0</v>
      </c>
      <c r="N478" s="5">
        <v>45494.0</v>
      </c>
      <c r="Q478" s="1" t="s">
        <v>1387</v>
      </c>
    </row>
    <row r="479">
      <c r="A479" s="1">
        <v>478.0</v>
      </c>
      <c r="B479" s="1" t="s">
        <v>1388</v>
      </c>
      <c r="C479" s="1" t="s">
        <v>21</v>
      </c>
      <c r="N479" s="5">
        <v>43852.0</v>
      </c>
      <c r="Q479" s="1" t="s">
        <v>402</v>
      </c>
    </row>
    <row r="480">
      <c r="A480" s="1">
        <v>479.0</v>
      </c>
      <c r="B480" s="1" t="s">
        <v>1389</v>
      </c>
      <c r="C480" s="1" t="s">
        <v>21</v>
      </c>
      <c r="K480" s="1">
        <v>150.0</v>
      </c>
      <c r="N480" s="5">
        <v>44595.0</v>
      </c>
      <c r="Q480" s="1" t="s">
        <v>1392</v>
      </c>
    </row>
    <row r="481">
      <c r="A481" s="1">
        <v>480.0</v>
      </c>
      <c r="B481" s="1" t="s">
        <v>1394</v>
      </c>
      <c r="C481" s="1" t="s">
        <v>21</v>
      </c>
      <c r="K481" s="1">
        <v>200.0</v>
      </c>
      <c r="N481" s="5">
        <v>45087.0</v>
      </c>
      <c r="Q481" s="1" t="s">
        <v>1395</v>
      </c>
    </row>
    <row r="482">
      <c r="A482" s="1">
        <v>481.0</v>
      </c>
      <c r="B482" s="1" t="s">
        <v>1396</v>
      </c>
      <c r="C482" s="1" t="s">
        <v>21</v>
      </c>
      <c r="K482" s="1">
        <v>10.0</v>
      </c>
      <c r="N482" s="5">
        <v>44563.0</v>
      </c>
      <c r="Q482" s="1" t="s">
        <v>1397</v>
      </c>
    </row>
    <row r="483">
      <c r="A483" s="1">
        <v>482.0</v>
      </c>
      <c r="B483" s="1" t="s">
        <v>1398</v>
      </c>
      <c r="C483" s="1" t="s">
        <v>21</v>
      </c>
      <c r="K483" s="1">
        <v>250.0</v>
      </c>
      <c r="N483" s="5">
        <v>43934.0</v>
      </c>
      <c r="Q483" s="1" t="s">
        <v>1399</v>
      </c>
    </row>
    <row r="484">
      <c r="A484" s="1">
        <v>483.0</v>
      </c>
      <c r="B484" s="1" t="s">
        <v>1401</v>
      </c>
      <c r="C484" s="1" t="s">
        <v>21</v>
      </c>
      <c r="K484" s="1">
        <v>200.0</v>
      </c>
      <c r="N484" s="5">
        <v>43896.0</v>
      </c>
      <c r="Q484" s="1" t="s">
        <v>1402</v>
      </c>
    </row>
    <row r="485">
      <c r="A485" s="1">
        <v>484.0</v>
      </c>
      <c r="B485" s="1" t="s">
        <v>1403</v>
      </c>
      <c r="C485" s="1" t="s">
        <v>21</v>
      </c>
      <c r="K485" s="1">
        <v>30.0</v>
      </c>
      <c r="N485" s="5">
        <v>45834.0</v>
      </c>
      <c r="Q485" s="1" t="s">
        <v>1404</v>
      </c>
    </row>
    <row r="486">
      <c r="A486" s="1">
        <v>485.0</v>
      </c>
      <c r="B486" s="1" t="s">
        <v>1405</v>
      </c>
      <c r="C486" s="1" t="s">
        <v>21</v>
      </c>
      <c r="K486" s="1">
        <v>30.0</v>
      </c>
      <c r="N486" s="5">
        <v>43925.0</v>
      </c>
      <c r="Q486" s="1" t="s">
        <v>1407</v>
      </c>
    </row>
    <row r="487">
      <c r="A487" s="1">
        <v>486.0</v>
      </c>
      <c r="B487" s="1" t="s">
        <v>1408</v>
      </c>
      <c r="C487" s="1" t="s">
        <v>21</v>
      </c>
      <c r="N487" s="5">
        <v>44437.0</v>
      </c>
      <c r="Q487" s="1" t="s">
        <v>1410</v>
      </c>
    </row>
    <row r="488">
      <c r="A488" s="1">
        <v>487.0</v>
      </c>
      <c r="B488" s="1" t="s">
        <v>1411</v>
      </c>
      <c r="C488" s="1" t="s">
        <v>21</v>
      </c>
      <c r="K488" s="1">
        <v>60.0</v>
      </c>
      <c r="N488" s="5">
        <v>45450.0</v>
      </c>
      <c r="Q488" s="1" t="s">
        <v>1412</v>
      </c>
    </row>
    <row r="489">
      <c r="A489" s="1">
        <v>488.0</v>
      </c>
      <c r="B489" s="1" t="s">
        <v>1413</v>
      </c>
      <c r="C489" s="1" t="s">
        <v>21</v>
      </c>
      <c r="N489" s="5">
        <v>44313.0</v>
      </c>
      <c r="Q489" s="1" t="s">
        <v>402</v>
      </c>
    </row>
    <row r="490">
      <c r="A490" s="1">
        <v>489.0</v>
      </c>
      <c r="B490" s="1" t="s">
        <v>1414</v>
      </c>
      <c r="C490" s="1" t="s">
        <v>21</v>
      </c>
      <c r="N490" s="5">
        <v>44930.0</v>
      </c>
      <c r="Q490" s="1" t="s">
        <v>759</v>
      </c>
    </row>
    <row r="491">
      <c r="A491" s="1">
        <v>490.0</v>
      </c>
      <c r="B491" s="1" t="s">
        <v>1417</v>
      </c>
      <c r="C491" s="1" t="s">
        <v>21</v>
      </c>
      <c r="K491" s="1">
        <v>40.0</v>
      </c>
      <c r="N491" s="5">
        <v>44503.0</v>
      </c>
      <c r="Q491" s="1" t="s">
        <v>988</v>
      </c>
    </row>
    <row r="492">
      <c r="A492" s="1">
        <v>491.0</v>
      </c>
      <c r="B492" s="1" t="s">
        <v>1419</v>
      </c>
      <c r="C492" s="1" t="s">
        <v>21</v>
      </c>
      <c r="N492" s="5">
        <v>46098.0</v>
      </c>
      <c r="Q492" s="1" t="s">
        <v>1420</v>
      </c>
    </row>
    <row r="493">
      <c r="A493" s="1">
        <v>492.0</v>
      </c>
      <c r="B493" s="1" t="s">
        <v>1421</v>
      </c>
      <c r="C493" s="1" t="s">
        <v>21</v>
      </c>
      <c r="K493" s="1">
        <v>100.0</v>
      </c>
      <c r="N493" s="5">
        <v>43929.0</v>
      </c>
      <c r="Q493" s="1" t="s">
        <v>1422</v>
      </c>
    </row>
    <row r="494">
      <c r="A494" s="1">
        <v>493.0</v>
      </c>
      <c r="B494" s="1" t="s">
        <v>1424</v>
      </c>
      <c r="C494" s="1" t="s">
        <v>21</v>
      </c>
      <c r="K494" s="1">
        <v>300.0</v>
      </c>
      <c r="N494" s="5">
        <v>43928.0</v>
      </c>
      <c r="Q494" s="1" t="s">
        <v>1426</v>
      </c>
    </row>
    <row r="495">
      <c r="A495" s="1">
        <v>494.0</v>
      </c>
      <c r="B495" s="1" t="s">
        <v>1427</v>
      </c>
      <c r="C495" s="1" t="s">
        <v>21</v>
      </c>
      <c r="K495" s="1">
        <v>90.0</v>
      </c>
      <c r="N495" s="5">
        <v>44916.0</v>
      </c>
      <c r="Q495" s="1" t="s">
        <v>1428</v>
      </c>
    </row>
    <row r="496">
      <c r="A496" s="1">
        <v>495.0</v>
      </c>
      <c r="B496" s="1" t="s">
        <v>1429</v>
      </c>
      <c r="C496" s="1" t="s">
        <v>21</v>
      </c>
      <c r="N496" s="5">
        <v>44543.0</v>
      </c>
      <c r="Q496" s="1" t="s">
        <v>402</v>
      </c>
    </row>
    <row r="497">
      <c r="A497" s="1">
        <v>496.0</v>
      </c>
      <c r="B497" s="1" t="s">
        <v>1430</v>
      </c>
      <c r="C497" s="1" t="s">
        <v>21</v>
      </c>
      <c r="K497" s="1">
        <v>60.0</v>
      </c>
      <c r="N497" s="5">
        <v>44061.0</v>
      </c>
      <c r="Q497" s="1" t="s">
        <v>1432</v>
      </c>
    </row>
    <row r="498">
      <c r="A498" s="1">
        <v>497.0</v>
      </c>
      <c r="B498" s="1" t="s">
        <v>1434</v>
      </c>
      <c r="C498" s="1" t="s">
        <v>21</v>
      </c>
      <c r="N498" s="5">
        <v>45642.0</v>
      </c>
      <c r="Q498" s="1" t="s">
        <v>1331</v>
      </c>
    </row>
    <row r="499">
      <c r="A499" s="1">
        <v>498.0</v>
      </c>
      <c r="B499" s="1" t="s">
        <v>1435</v>
      </c>
      <c r="C499" s="1" t="s">
        <v>21</v>
      </c>
      <c r="N499" s="5">
        <v>44634.0</v>
      </c>
      <c r="Q499" s="1" t="s">
        <v>402</v>
      </c>
    </row>
    <row r="500">
      <c r="A500" s="1">
        <v>499.0</v>
      </c>
      <c r="B500" s="1" t="s">
        <v>1437</v>
      </c>
      <c r="C500" s="1" t="s">
        <v>21</v>
      </c>
      <c r="K500" s="1">
        <v>40.0</v>
      </c>
      <c r="N500" s="5">
        <v>43896.0</v>
      </c>
      <c r="Q500" s="1" t="s">
        <v>1438</v>
      </c>
    </row>
    <row r="501">
      <c r="A501" s="1">
        <v>500.0</v>
      </c>
      <c r="B501" s="1" t="s">
        <v>1440</v>
      </c>
      <c r="C501" s="1" t="s">
        <v>21</v>
      </c>
      <c r="K501" s="1">
        <v>70.0</v>
      </c>
      <c r="N501" s="5">
        <v>44311.0</v>
      </c>
      <c r="Q501" s="1" t="s">
        <v>1443</v>
      </c>
    </row>
    <row r="502">
      <c r="A502" s="1">
        <v>501.0</v>
      </c>
      <c r="B502" s="1" t="s">
        <v>1444</v>
      </c>
      <c r="C502" s="1" t="s">
        <v>21</v>
      </c>
      <c r="K502" s="1">
        <v>20.0</v>
      </c>
      <c r="N502" s="5">
        <v>45006.0</v>
      </c>
      <c r="Q502" s="1" t="s">
        <v>1445</v>
      </c>
    </row>
    <row r="503">
      <c r="A503" s="1">
        <v>502.0</v>
      </c>
      <c r="B503" s="1" t="s">
        <v>1446</v>
      </c>
      <c r="C503" s="1" t="s">
        <v>21</v>
      </c>
      <c r="K503" s="1">
        <v>100.0</v>
      </c>
      <c r="N503" s="5">
        <v>44704.0</v>
      </c>
      <c r="Q503" s="1" t="s">
        <v>402</v>
      </c>
    </row>
    <row r="504">
      <c r="A504" s="1">
        <v>503.0</v>
      </c>
      <c r="B504" s="1" t="s">
        <v>48</v>
      </c>
      <c r="C504" s="1" t="s">
        <v>21</v>
      </c>
      <c r="K504" s="1">
        <v>20.0</v>
      </c>
      <c r="N504" s="5">
        <v>43879.0</v>
      </c>
      <c r="Q504" s="1" t="s">
        <v>51</v>
      </c>
    </row>
    <row r="505">
      <c r="A505" s="1">
        <v>504.0</v>
      </c>
      <c r="B505" s="1" t="s">
        <v>1448</v>
      </c>
      <c r="C505" s="1" t="s">
        <v>21</v>
      </c>
      <c r="K505" s="1">
        <v>100.0</v>
      </c>
      <c r="N505" s="5">
        <v>44586.0</v>
      </c>
      <c r="Q505" s="1" t="s">
        <v>1450</v>
      </c>
    </row>
    <row r="506">
      <c r="A506" s="1">
        <v>505.0</v>
      </c>
      <c r="B506" s="1" t="s">
        <v>1451</v>
      </c>
      <c r="C506" s="1" t="s">
        <v>21</v>
      </c>
      <c r="K506" s="1">
        <v>20.0</v>
      </c>
      <c r="N506" s="5">
        <v>44931.0</v>
      </c>
      <c r="Q506" s="1" t="s">
        <v>402</v>
      </c>
    </row>
    <row r="507">
      <c r="A507" s="1">
        <v>506.0</v>
      </c>
      <c r="B507" s="1" t="s">
        <v>1453</v>
      </c>
      <c r="C507" s="1" t="s">
        <v>21</v>
      </c>
      <c r="K507" s="1">
        <v>50.0</v>
      </c>
      <c r="N507" s="5">
        <v>44823.0</v>
      </c>
      <c r="Q507" s="1" t="s">
        <v>1454</v>
      </c>
    </row>
    <row r="508">
      <c r="A508" s="1">
        <v>507.0</v>
      </c>
      <c r="B508" s="1" t="s">
        <v>1456</v>
      </c>
      <c r="C508" s="1" t="s">
        <v>21</v>
      </c>
      <c r="K508" s="1">
        <v>150.0</v>
      </c>
      <c r="N508" s="5">
        <v>44627.0</v>
      </c>
      <c r="Q508" s="1" t="s">
        <v>1458</v>
      </c>
    </row>
    <row r="509">
      <c r="A509" s="1">
        <v>508.0</v>
      </c>
      <c r="B509" s="1" t="s">
        <v>1459</v>
      </c>
      <c r="C509" s="1" t="s">
        <v>21</v>
      </c>
      <c r="K509" s="1">
        <v>150.0</v>
      </c>
      <c r="N509" s="5">
        <v>45785.0</v>
      </c>
      <c r="Q509" s="1" t="s">
        <v>1460</v>
      </c>
    </row>
    <row r="510">
      <c r="A510" s="1">
        <v>509.0</v>
      </c>
      <c r="B510" s="1" t="s">
        <v>1461</v>
      </c>
      <c r="C510" s="1" t="s">
        <v>21</v>
      </c>
      <c r="K510" s="1">
        <v>200.0</v>
      </c>
      <c r="N510" s="5">
        <v>45662.0</v>
      </c>
      <c r="Q510" s="1" t="s">
        <v>1462</v>
      </c>
    </row>
    <row r="511">
      <c r="A511" s="1">
        <v>510.0</v>
      </c>
      <c r="B511" s="1" t="s">
        <v>1464</v>
      </c>
      <c r="C511" s="1" t="s">
        <v>21</v>
      </c>
      <c r="K511" s="1">
        <v>20.0</v>
      </c>
      <c r="N511" s="5">
        <v>44845.0</v>
      </c>
      <c r="Q511" s="1" t="s">
        <v>1465</v>
      </c>
    </row>
    <row r="512">
      <c r="A512" s="1">
        <v>511.0</v>
      </c>
      <c r="B512" s="1" t="s">
        <v>1467</v>
      </c>
      <c r="C512" s="1" t="s">
        <v>21</v>
      </c>
      <c r="K512" s="1">
        <v>60.0</v>
      </c>
      <c r="N512" s="5">
        <v>44038.0</v>
      </c>
      <c r="Q512" s="1" t="s">
        <v>1468</v>
      </c>
    </row>
    <row r="513">
      <c r="A513" s="1">
        <v>512.0</v>
      </c>
      <c r="B513" s="1" t="s">
        <v>1469</v>
      </c>
      <c r="C513" s="1" t="s">
        <v>21</v>
      </c>
      <c r="K513" s="1">
        <v>100.0</v>
      </c>
      <c r="N513" s="5">
        <v>45735.0</v>
      </c>
      <c r="Q513" s="1" t="s">
        <v>1470</v>
      </c>
    </row>
    <row r="514">
      <c r="A514" s="1">
        <v>513.0</v>
      </c>
      <c r="B514" s="1" t="s">
        <v>1471</v>
      </c>
      <c r="C514" s="1" t="s">
        <v>21</v>
      </c>
      <c r="K514" s="1">
        <v>60.0</v>
      </c>
      <c r="N514" s="5">
        <v>44503.0</v>
      </c>
      <c r="Q514" s="1" t="s">
        <v>1472</v>
      </c>
    </row>
    <row r="515">
      <c r="A515" s="1">
        <v>514.0</v>
      </c>
      <c r="B515" s="1" t="s">
        <v>1474</v>
      </c>
      <c r="C515" s="1" t="s">
        <v>21</v>
      </c>
      <c r="K515" s="1">
        <v>30.0</v>
      </c>
      <c r="N515" s="5">
        <v>44226.0</v>
      </c>
      <c r="Q515" s="1" t="s">
        <v>1476</v>
      </c>
    </row>
    <row r="516">
      <c r="A516" s="1">
        <v>515.0</v>
      </c>
      <c r="B516" s="1" t="s">
        <v>1477</v>
      </c>
      <c r="C516" s="1" t="s">
        <v>21</v>
      </c>
      <c r="K516" s="1">
        <v>50.0</v>
      </c>
      <c r="N516" s="5">
        <v>45014.0</v>
      </c>
      <c r="Q516" s="1" t="s">
        <v>1479</v>
      </c>
    </row>
    <row r="517">
      <c r="A517" s="1">
        <v>516.0</v>
      </c>
      <c r="B517" s="1" t="s">
        <v>1480</v>
      </c>
      <c r="C517" s="1" t="s">
        <v>21</v>
      </c>
      <c r="K517" s="1">
        <v>70.0</v>
      </c>
      <c r="N517" s="5">
        <v>44121.0</v>
      </c>
      <c r="Q517" s="1" t="s">
        <v>1481</v>
      </c>
    </row>
    <row r="518">
      <c r="A518" s="1">
        <v>517.0</v>
      </c>
      <c r="B518" s="1" t="s">
        <v>1483</v>
      </c>
      <c r="C518" s="1" t="s">
        <v>21</v>
      </c>
      <c r="K518" s="1">
        <v>60.0</v>
      </c>
      <c r="N518" s="5">
        <v>45470.0</v>
      </c>
      <c r="Q518" s="1" t="s">
        <v>1485</v>
      </c>
    </row>
    <row r="519">
      <c r="A519" s="1">
        <v>518.0</v>
      </c>
      <c r="B519" s="1" t="s">
        <v>1486</v>
      </c>
      <c r="C519" s="1" t="s">
        <v>21</v>
      </c>
      <c r="N519" s="5">
        <v>44929.0</v>
      </c>
      <c r="Q519" s="1" t="s">
        <v>402</v>
      </c>
    </row>
    <row r="520">
      <c r="A520" s="1">
        <v>519.0</v>
      </c>
      <c r="B520" s="1" t="s">
        <v>1488</v>
      </c>
      <c r="C520" s="1" t="s">
        <v>21</v>
      </c>
      <c r="K520" s="1">
        <v>150.0</v>
      </c>
      <c r="N520" s="5">
        <v>45686.0</v>
      </c>
      <c r="Q520" s="1" t="s">
        <v>1489</v>
      </c>
    </row>
    <row r="521">
      <c r="A521" s="1">
        <v>520.0</v>
      </c>
      <c r="B521" s="1" t="s">
        <v>1491</v>
      </c>
      <c r="C521" s="1" t="s">
        <v>21</v>
      </c>
      <c r="K521" s="1">
        <v>20.0</v>
      </c>
      <c r="N521" s="5">
        <v>45102.0</v>
      </c>
      <c r="Q521" s="1" t="s">
        <v>1045</v>
      </c>
    </row>
    <row r="522">
      <c r="A522" s="1">
        <v>521.0</v>
      </c>
      <c r="B522" s="1" t="s">
        <v>1495</v>
      </c>
      <c r="C522" s="1" t="s">
        <v>21</v>
      </c>
      <c r="N522" s="5">
        <v>45616.0</v>
      </c>
      <c r="Q522" s="1" t="s">
        <v>1497</v>
      </c>
    </row>
    <row r="523">
      <c r="A523" s="1">
        <v>522.0</v>
      </c>
      <c r="B523" s="1" t="s">
        <v>1498</v>
      </c>
      <c r="C523" s="1" t="s">
        <v>21</v>
      </c>
      <c r="K523" s="1">
        <v>200.0</v>
      </c>
      <c r="N523" s="5">
        <v>45308.0</v>
      </c>
      <c r="Q523" s="1" t="s">
        <v>1500</v>
      </c>
    </row>
    <row r="524">
      <c r="A524" s="1">
        <v>523.0</v>
      </c>
      <c r="B524" s="1" t="s">
        <v>1501</v>
      </c>
      <c r="C524" s="1" t="s">
        <v>21</v>
      </c>
      <c r="K524" s="1">
        <v>20.0</v>
      </c>
      <c r="N524" s="5">
        <v>45700.0</v>
      </c>
      <c r="Q524" s="1" t="s">
        <v>1502</v>
      </c>
    </row>
    <row r="525">
      <c r="A525" s="1">
        <v>524.0</v>
      </c>
      <c r="B525" s="1" t="s">
        <v>1504</v>
      </c>
      <c r="C525" s="1" t="s">
        <v>21</v>
      </c>
      <c r="K525" s="1">
        <v>150.0</v>
      </c>
      <c r="N525" s="5">
        <v>43866.0</v>
      </c>
      <c r="Q525" s="1" t="s">
        <v>1506</v>
      </c>
    </row>
    <row r="526">
      <c r="A526" s="1">
        <v>525.0</v>
      </c>
      <c r="B526" s="1" t="s">
        <v>1507</v>
      </c>
      <c r="C526" s="1" t="s">
        <v>21</v>
      </c>
      <c r="K526" s="1">
        <v>80.0</v>
      </c>
      <c r="N526" s="5">
        <v>43984.0</v>
      </c>
      <c r="Q526" s="1" t="s">
        <v>1509</v>
      </c>
    </row>
    <row r="527">
      <c r="A527" s="1">
        <v>526.0</v>
      </c>
      <c r="B527" s="1" t="s">
        <v>1510</v>
      </c>
      <c r="C527" s="1" t="s">
        <v>21</v>
      </c>
      <c r="N527" s="5">
        <v>44398.0</v>
      </c>
      <c r="Q527" s="1" t="s">
        <v>402</v>
      </c>
    </row>
    <row r="528">
      <c r="A528" s="1">
        <v>527.0</v>
      </c>
      <c r="B528" s="1" t="s">
        <v>1511</v>
      </c>
      <c r="C528" s="1" t="s">
        <v>21</v>
      </c>
      <c r="K528" s="1">
        <v>200.0</v>
      </c>
      <c r="N528" s="5">
        <v>44836.0</v>
      </c>
      <c r="Q528" s="1" t="s">
        <v>1514</v>
      </c>
    </row>
    <row r="529">
      <c r="A529" s="1">
        <v>528.0</v>
      </c>
      <c r="B529" s="1" t="s">
        <v>1515</v>
      </c>
      <c r="C529" s="1" t="s">
        <v>21</v>
      </c>
      <c r="K529" s="1">
        <v>200.0</v>
      </c>
      <c r="N529" s="5">
        <v>44299.0</v>
      </c>
      <c r="Q529" s="1" t="s">
        <v>1516</v>
      </c>
    </row>
    <row r="530">
      <c r="A530" s="1">
        <v>529.0</v>
      </c>
      <c r="B530" s="1" t="s">
        <v>1517</v>
      </c>
      <c r="C530" s="1" t="s">
        <v>21</v>
      </c>
      <c r="K530" s="1">
        <v>100.0</v>
      </c>
      <c r="N530" s="5">
        <v>44079.0</v>
      </c>
      <c r="Q530" s="1" t="s">
        <v>1518</v>
      </c>
    </row>
    <row r="531">
      <c r="A531" s="1">
        <v>530.0</v>
      </c>
      <c r="B531" s="1" t="s">
        <v>1519</v>
      </c>
      <c r="C531" s="1" t="s">
        <v>21</v>
      </c>
      <c r="K531" s="1">
        <v>150.0</v>
      </c>
      <c r="N531" s="5">
        <v>45407.0</v>
      </c>
      <c r="Q531" s="1" t="s">
        <v>1119</v>
      </c>
    </row>
    <row r="532">
      <c r="A532" s="1">
        <v>531.0</v>
      </c>
      <c r="B532" s="1" t="s">
        <v>1521</v>
      </c>
      <c r="C532" s="1" t="s">
        <v>21</v>
      </c>
      <c r="K532" s="1">
        <v>50.0</v>
      </c>
      <c r="N532" s="5">
        <v>43843.0</v>
      </c>
      <c r="Q532" s="1" t="s">
        <v>1523</v>
      </c>
    </row>
    <row r="533">
      <c r="A533" s="1">
        <v>532.0</v>
      </c>
      <c r="B533" s="1" t="s">
        <v>1524</v>
      </c>
      <c r="C533" s="1" t="s">
        <v>21</v>
      </c>
      <c r="N533" s="5">
        <v>44397.0</v>
      </c>
      <c r="Q533" s="1" t="s">
        <v>402</v>
      </c>
    </row>
    <row r="534">
      <c r="A534" s="1">
        <v>533.0</v>
      </c>
      <c r="B534" s="1" t="s">
        <v>1525</v>
      </c>
      <c r="C534" s="1" t="s">
        <v>21</v>
      </c>
      <c r="K534" s="1">
        <v>150.0</v>
      </c>
      <c r="N534" s="5">
        <v>44148.0</v>
      </c>
      <c r="Q534" s="1" t="s">
        <v>1526</v>
      </c>
    </row>
    <row r="535">
      <c r="A535" s="1">
        <v>534.0</v>
      </c>
      <c r="B535" s="1" t="s">
        <v>1528</v>
      </c>
      <c r="C535" s="1" t="s">
        <v>21</v>
      </c>
      <c r="K535" s="1">
        <v>20.0</v>
      </c>
      <c r="N535" s="5">
        <v>45612.0</v>
      </c>
      <c r="Q535" s="1" t="s">
        <v>1530</v>
      </c>
    </row>
    <row r="536">
      <c r="A536" s="1">
        <v>535.0</v>
      </c>
      <c r="B536" s="1" t="s">
        <v>1531</v>
      </c>
      <c r="C536" s="1" t="s">
        <v>21</v>
      </c>
      <c r="K536" s="1">
        <v>40.0</v>
      </c>
      <c r="N536" s="5">
        <v>44571.0</v>
      </c>
      <c r="Q536" s="1" t="s">
        <v>1532</v>
      </c>
    </row>
    <row r="537">
      <c r="A537" s="1">
        <v>536.0</v>
      </c>
      <c r="B537" s="1" t="s">
        <v>1533</v>
      </c>
      <c r="C537" s="1" t="s">
        <v>21</v>
      </c>
      <c r="K537" s="1">
        <v>30.0</v>
      </c>
      <c r="N537" s="5">
        <v>45422.0</v>
      </c>
      <c r="Q537" s="1" t="s">
        <v>1342</v>
      </c>
    </row>
    <row r="538">
      <c r="A538" s="1">
        <v>537.0</v>
      </c>
      <c r="B538" s="1" t="s">
        <v>1534</v>
      </c>
      <c r="C538" s="1" t="s">
        <v>21</v>
      </c>
      <c r="K538" s="1">
        <v>90.0</v>
      </c>
      <c r="N538" s="5">
        <v>44137.0</v>
      </c>
      <c r="Q538" s="1" t="s">
        <v>1536</v>
      </c>
    </row>
    <row r="539">
      <c r="A539" s="1">
        <v>538.0</v>
      </c>
      <c r="B539" s="1" t="s">
        <v>1537</v>
      </c>
      <c r="C539" s="1" t="s">
        <v>21</v>
      </c>
      <c r="K539" s="1">
        <v>50.0</v>
      </c>
      <c r="N539" s="5">
        <v>45129.0</v>
      </c>
      <c r="Q539" s="1" t="s">
        <v>1538</v>
      </c>
    </row>
    <row r="540">
      <c r="A540" s="1">
        <v>539.0</v>
      </c>
      <c r="B540" s="1" t="s">
        <v>1540</v>
      </c>
      <c r="C540" s="1" t="s">
        <v>21</v>
      </c>
      <c r="K540" s="1">
        <v>300.0</v>
      </c>
      <c r="N540" s="5">
        <v>43859.0</v>
      </c>
      <c r="Q540" s="1" t="s">
        <v>1541</v>
      </c>
    </row>
    <row r="541">
      <c r="A541" s="1">
        <v>540.0</v>
      </c>
      <c r="B541" s="1" t="s">
        <v>1542</v>
      </c>
      <c r="C541" s="1" t="s">
        <v>21</v>
      </c>
      <c r="K541" s="1">
        <v>60.0</v>
      </c>
      <c r="N541" s="5">
        <v>45334.0</v>
      </c>
      <c r="Q541" s="1" t="s">
        <v>1543</v>
      </c>
    </row>
    <row r="542">
      <c r="A542" s="1">
        <v>541.0</v>
      </c>
      <c r="B542" s="1" t="s">
        <v>1544</v>
      </c>
      <c r="C542" s="1" t="s">
        <v>21</v>
      </c>
      <c r="K542" s="1">
        <v>10.0</v>
      </c>
      <c r="N542" s="5">
        <v>45193.0</v>
      </c>
      <c r="Q542" s="1" t="s">
        <v>1545</v>
      </c>
    </row>
    <row r="543">
      <c r="A543" s="1">
        <v>542.0</v>
      </c>
      <c r="B543" s="1" t="s">
        <v>1547</v>
      </c>
      <c r="C543" s="1" t="s">
        <v>21</v>
      </c>
      <c r="F543" s="1">
        <v>0.1</v>
      </c>
      <c r="K543" s="1">
        <v>250.0</v>
      </c>
      <c r="N543" s="5">
        <v>43087.0</v>
      </c>
      <c r="Q543" s="1" t="s">
        <v>1549</v>
      </c>
    </row>
    <row r="544">
      <c r="A544" s="1">
        <v>543.0</v>
      </c>
      <c r="B544" s="1" t="s">
        <v>1550</v>
      </c>
      <c r="C544" s="1" t="s">
        <v>21</v>
      </c>
      <c r="K544" s="1">
        <v>150.0</v>
      </c>
      <c r="N544" s="5">
        <v>44366.0</v>
      </c>
      <c r="Q544" s="1" t="s">
        <v>1553</v>
      </c>
    </row>
    <row r="545">
      <c r="A545" s="1">
        <v>544.0</v>
      </c>
      <c r="B545" s="1" t="s">
        <v>1554</v>
      </c>
      <c r="C545" s="1" t="s">
        <v>21</v>
      </c>
      <c r="K545" s="1">
        <v>30.0</v>
      </c>
      <c r="N545" s="5">
        <v>45069.0</v>
      </c>
      <c r="Q545" s="1" t="s">
        <v>1555</v>
      </c>
    </row>
    <row r="546">
      <c r="A546" s="1">
        <v>545.0</v>
      </c>
      <c r="B546" s="1" t="s">
        <v>1557</v>
      </c>
      <c r="C546" s="1" t="s">
        <v>21</v>
      </c>
      <c r="K546" s="1">
        <v>30.0</v>
      </c>
      <c r="N546" s="5">
        <v>44209.0</v>
      </c>
      <c r="Q546" s="1" t="s">
        <v>1558</v>
      </c>
    </row>
    <row r="547">
      <c r="A547" s="1">
        <v>546.0</v>
      </c>
      <c r="B547" s="1" t="s">
        <v>1560</v>
      </c>
      <c r="C547" s="1" t="s">
        <v>21</v>
      </c>
      <c r="N547" s="5">
        <v>45375.0</v>
      </c>
      <c r="Q547" s="1" t="s">
        <v>402</v>
      </c>
    </row>
    <row r="548">
      <c r="A548" s="1">
        <v>547.0</v>
      </c>
      <c r="B548" s="1" t="s">
        <v>1561</v>
      </c>
      <c r="C548" s="1" t="s">
        <v>21</v>
      </c>
      <c r="F548" s="1">
        <v>1.2</v>
      </c>
      <c r="K548" s="1">
        <v>1200.0</v>
      </c>
      <c r="N548" s="5">
        <v>43513.0</v>
      </c>
      <c r="Q548" s="1" t="s">
        <v>1562</v>
      </c>
    </row>
    <row r="549">
      <c r="A549" s="1">
        <v>548.0</v>
      </c>
      <c r="B549" s="1" t="s">
        <v>1563</v>
      </c>
      <c r="C549" s="1" t="s">
        <v>21</v>
      </c>
      <c r="K549" s="1">
        <v>200.0</v>
      </c>
      <c r="N549" s="5">
        <v>44188.0</v>
      </c>
      <c r="Q549" s="1" t="s">
        <v>1565</v>
      </c>
    </row>
    <row r="550">
      <c r="A550" s="1">
        <v>549.0</v>
      </c>
      <c r="B550" s="1" t="s">
        <v>1567</v>
      </c>
      <c r="C550" s="1" t="s">
        <v>21</v>
      </c>
      <c r="K550" s="1">
        <v>30.0</v>
      </c>
      <c r="N550" s="5">
        <v>45743.0</v>
      </c>
      <c r="Q550" s="1" t="s">
        <v>1568</v>
      </c>
    </row>
    <row r="551">
      <c r="A551" s="1">
        <v>550.0</v>
      </c>
      <c r="B551" s="1" t="s">
        <v>1569</v>
      </c>
      <c r="C551" s="1" t="s">
        <v>21</v>
      </c>
      <c r="N551" s="5">
        <v>45320.0</v>
      </c>
      <c r="Q551" s="1" t="s">
        <v>402</v>
      </c>
    </row>
    <row r="552">
      <c r="A552" s="1">
        <v>551.0</v>
      </c>
      <c r="B552" s="1" t="s">
        <v>1571</v>
      </c>
      <c r="C552" s="1" t="s">
        <v>21</v>
      </c>
      <c r="K552" s="1">
        <v>30.0</v>
      </c>
      <c r="N552" s="5">
        <v>44830.0</v>
      </c>
      <c r="Q552" s="1" t="s">
        <v>1573</v>
      </c>
    </row>
    <row r="553">
      <c r="A553" s="1">
        <v>552.0</v>
      </c>
      <c r="B553" s="1" t="s">
        <v>1574</v>
      </c>
      <c r="C553" s="1" t="s">
        <v>21</v>
      </c>
      <c r="K553" s="1">
        <v>30.0</v>
      </c>
      <c r="N553" s="5">
        <v>44866.0</v>
      </c>
      <c r="Q553" s="1" t="s">
        <v>402</v>
      </c>
    </row>
    <row r="554">
      <c r="A554" s="1">
        <v>553.0</v>
      </c>
      <c r="B554" s="1" t="s">
        <v>1576</v>
      </c>
      <c r="C554" s="1" t="s">
        <v>21</v>
      </c>
      <c r="K554" s="1">
        <v>30.0</v>
      </c>
      <c r="N554" s="5">
        <v>45530.0</v>
      </c>
      <c r="Q554" s="1" t="s">
        <v>1577</v>
      </c>
    </row>
    <row r="555">
      <c r="A555" s="1">
        <v>554.0</v>
      </c>
      <c r="B555" s="1" t="s">
        <v>1579</v>
      </c>
      <c r="C555" s="1" t="s">
        <v>21</v>
      </c>
      <c r="N555" s="5">
        <v>43920.0</v>
      </c>
      <c r="Q555" s="1" t="s">
        <v>402</v>
      </c>
    </row>
    <row r="556">
      <c r="A556" s="1">
        <v>555.0</v>
      </c>
      <c r="B556" s="1" t="s">
        <v>1580</v>
      </c>
      <c r="C556" s="1" t="s">
        <v>21</v>
      </c>
      <c r="K556" s="1">
        <v>90.0</v>
      </c>
      <c r="N556" s="5">
        <v>45555.0</v>
      </c>
      <c r="Q556" s="1" t="s">
        <v>1582</v>
      </c>
    </row>
    <row r="557">
      <c r="A557" s="1">
        <v>556.0</v>
      </c>
      <c r="B557" s="1" t="s">
        <v>1583</v>
      </c>
      <c r="C557" s="1" t="s">
        <v>21</v>
      </c>
      <c r="N557" s="5">
        <v>44244.0</v>
      </c>
      <c r="Q557" s="1" t="s">
        <v>402</v>
      </c>
    </row>
    <row r="558">
      <c r="A558" s="1">
        <v>557.0</v>
      </c>
      <c r="B558" s="1" t="s">
        <v>1585</v>
      </c>
      <c r="C558" s="1" t="s">
        <v>21</v>
      </c>
      <c r="K558" s="1">
        <v>40.0</v>
      </c>
      <c r="N558" s="5">
        <v>44333.0</v>
      </c>
      <c r="Q558" s="1" t="s">
        <v>402</v>
      </c>
    </row>
    <row r="559">
      <c r="A559" s="1">
        <v>558.0</v>
      </c>
      <c r="B559" s="1" t="s">
        <v>1587</v>
      </c>
      <c r="C559" s="1" t="s">
        <v>21</v>
      </c>
      <c r="K559" s="1">
        <v>40.0</v>
      </c>
      <c r="N559" s="5">
        <v>44933.0</v>
      </c>
      <c r="Q559" s="1" t="s">
        <v>1588</v>
      </c>
    </row>
    <row r="560">
      <c r="A560" s="1">
        <v>559.0</v>
      </c>
      <c r="B560" s="1" t="s">
        <v>1589</v>
      </c>
      <c r="C560" s="1" t="s">
        <v>21</v>
      </c>
      <c r="K560" s="1">
        <v>300.0</v>
      </c>
      <c r="N560" s="5">
        <v>43988.0</v>
      </c>
      <c r="Q560" s="1" t="s">
        <v>1591</v>
      </c>
    </row>
    <row r="561">
      <c r="A561" s="1">
        <v>560.0</v>
      </c>
      <c r="B561" s="1" t="s">
        <v>1593</v>
      </c>
      <c r="C561" s="1" t="s">
        <v>21</v>
      </c>
      <c r="N561" s="5">
        <v>44744.0</v>
      </c>
      <c r="Q561" s="1" t="s">
        <v>402</v>
      </c>
    </row>
    <row r="562">
      <c r="A562" s="1">
        <v>561.0</v>
      </c>
      <c r="B562" s="1" t="s">
        <v>1594</v>
      </c>
      <c r="C562" s="1" t="s">
        <v>21</v>
      </c>
      <c r="K562" s="1">
        <v>80.0</v>
      </c>
      <c r="N562" s="5">
        <v>44932.0</v>
      </c>
      <c r="Q562" s="1" t="s">
        <v>1596</v>
      </c>
    </row>
    <row r="563">
      <c r="A563" s="1">
        <v>562.0</v>
      </c>
      <c r="B563" s="1" t="s">
        <v>1597</v>
      </c>
      <c r="C563" s="1" t="s">
        <v>21</v>
      </c>
      <c r="K563" s="1">
        <v>50.0</v>
      </c>
      <c r="N563" s="5">
        <v>44662.0</v>
      </c>
      <c r="Q563" s="1" t="s">
        <v>414</v>
      </c>
    </row>
    <row r="564">
      <c r="A564" s="1">
        <v>563.0</v>
      </c>
      <c r="B564" s="1" t="s">
        <v>1599</v>
      </c>
      <c r="C564" s="1" t="s">
        <v>21</v>
      </c>
      <c r="K564" s="1">
        <v>150.0</v>
      </c>
      <c r="N564" s="5">
        <v>44611.0</v>
      </c>
      <c r="Q564" s="1" t="s">
        <v>1601</v>
      </c>
    </row>
    <row r="565">
      <c r="A565" s="1">
        <v>564.0</v>
      </c>
      <c r="B565" s="1" t="s">
        <v>1603</v>
      </c>
      <c r="C565" s="1" t="s">
        <v>21</v>
      </c>
      <c r="F565" s="1">
        <v>1.0</v>
      </c>
      <c r="K565" s="1">
        <v>400.0</v>
      </c>
      <c r="N565" s="5">
        <v>43851.0</v>
      </c>
      <c r="Q565" s="1" t="s">
        <v>1605</v>
      </c>
    </row>
    <row r="566">
      <c r="A566" s="1">
        <v>565.0</v>
      </c>
      <c r="B566" s="1" t="s">
        <v>1606</v>
      </c>
      <c r="C566" s="1" t="s">
        <v>21</v>
      </c>
      <c r="K566" s="1">
        <v>20.0</v>
      </c>
      <c r="N566" s="5">
        <v>44725.0</v>
      </c>
      <c r="Q566" s="1" t="s">
        <v>1608</v>
      </c>
    </row>
    <row r="567">
      <c r="A567" s="1">
        <v>566.0</v>
      </c>
      <c r="B567" s="1" t="s">
        <v>1610</v>
      </c>
      <c r="C567" s="1" t="s">
        <v>21</v>
      </c>
      <c r="K567" s="1">
        <v>10.0</v>
      </c>
      <c r="N567" s="5">
        <v>44938.0</v>
      </c>
      <c r="Q567" s="1" t="s">
        <v>1612</v>
      </c>
    </row>
    <row r="568">
      <c r="A568" s="1">
        <v>567.0</v>
      </c>
      <c r="B568" s="1" t="s">
        <v>1614</v>
      </c>
      <c r="C568" s="1" t="s">
        <v>21</v>
      </c>
      <c r="K568" s="1">
        <v>10.0</v>
      </c>
      <c r="N568" s="5">
        <v>44394.0</v>
      </c>
      <c r="Q568" s="1" t="s">
        <v>402</v>
      </c>
    </row>
    <row r="569">
      <c r="A569" s="1">
        <v>568.0</v>
      </c>
      <c r="B569" s="1" t="s">
        <v>1616</v>
      </c>
      <c r="C569" s="1" t="s">
        <v>21</v>
      </c>
      <c r="K569" s="1">
        <v>20.0</v>
      </c>
      <c r="N569" s="5">
        <v>45308.0</v>
      </c>
      <c r="Q569" s="1" t="s">
        <v>1617</v>
      </c>
    </row>
    <row r="570">
      <c r="A570" s="1">
        <v>569.0</v>
      </c>
      <c r="B570" s="1" t="s">
        <v>1618</v>
      </c>
      <c r="C570" s="1" t="s">
        <v>21</v>
      </c>
      <c r="K570" s="1">
        <v>450.0</v>
      </c>
      <c r="N570" s="5">
        <v>45117.0</v>
      </c>
      <c r="Q570" s="1" t="s">
        <v>1620</v>
      </c>
    </row>
    <row r="571">
      <c r="A571" s="1">
        <v>570.0</v>
      </c>
      <c r="B571" s="1" t="s">
        <v>74</v>
      </c>
      <c r="C571" s="1" t="s">
        <v>21</v>
      </c>
      <c r="D571" s="1">
        <v>36.0</v>
      </c>
      <c r="H571" s="1" t="s">
        <v>35</v>
      </c>
      <c r="I571" s="4">
        <v>46237.51721064815</v>
      </c>
      <c r="K571" s="1">
        <v>250.0</v>
      </c>
      <c r="N571" s="5">
        <v>44676.0</v>
      </c>
      <c r="Q571" s="1" t="s">
        <v>77</v>
      </c>
    </row>
    <row r="572">
      <c r="A572" s="1">
        <v>571.0</v>
      </c>
      <c r="B572" s="1" t="s">
        <v>1625</v>
      </c>
      <c r="C572" s="1" t="s">
        <v>21</v>
      </c>
      <c r="K572" s="1">
        <v>30.0</v>
      </c>
      <c r="N572" s="5">
        <v>44286.0</v>
      </c>
      <c r="Q572" s="1" t="s">
        <v>1627</v>
      </c>
    </row>
    <row r="573">
      <c r="A573" s="1">
        <v>572.0</v>
      </c>
      <c r="B573" s="1" t="s">
        <v>1629</v>
      </c>
      <c r="C573" s="1" t="s">
        <v>21</v>
      </c>
      <c r="K573" s="1">
        <v>150.0</v>
      </c>
      <c r="N573" s="5">
        <v>44004.0</v>
      </c>
      <c r="Q573" s="1" t="s">
        <v>1630</v>
      </c>
    </row>
    <row r="574">
      <c r="A574" s="1">
        <v>573.0</v>
      </c>
      <c r="B574" s="1" t="s">
        <v>1631</v>
      </c>
      <c r="C574" s="1" t="s">
        <v>21</v>
      </c>
      <c r="K574" s="1">
        <v>50.0</v>
      </c>
      <c r="N574" s="5">
        <v>44194.0</v>
      </c>
      <c r="Q574" s="1" t="s">
        <v>1632</v>
      </c>
    </row>
    <row r="575">
      <c r="A575" s="1">
        <v>574.0</v>
      </c>
      <c r="B575" s="1" t="s">
        <v>1634</v>
      </c>
      <c r="C575" s="1" t="s">
        <v>21</v>
      </c>
      <c r="K575" s="1">
        <v>250.0</v>
      </c>
      <c r="N575" s="5">
        <v>44617.0</v>
      </c>
      <c r="Q575" s="1" t="s">
        <v>1636</v>
      </c>
    </row>
    <row r="576">
      <c r="A576" s="1">
        <v>575.0</v>
      </c>
      <c r="B576" s="1" t="s">
        <v>1637</v>
      </c>
      <c r="C576" s="1" t="s">
        <v>21</v>
      </c>
      <c r="N576" s="5">
        <v>43907.0</v>
      </c>
      <c r="Q576" s="1" t="s">
        <v>402</v>
      </c>
    </row>
    <row r="577">
      <c r="A577" s="1">
        <v>576.0</v>
      </c>
      <c r="B577" s="1" t="s">
        <v>1639</v>
      </c>
      <c r="C577" s="1" t="s">
        <v>21</v>
      </c>
      <c r="K577" s="1">
        <v>30.0</v>
      </c>
      <c r="N577" s="5">
        <v>44589.0</v>
      </c>
      <c r="Q577" s="1" t="s">
        <v>1640</v>
      </c>
    </row>
    <row r="578">
      <c r="A578" s="1">
        <v>577.0</v>
      </c>
      <c r="B578" s="1" t="s">
        <v>1641</v>
      </c>
      <c r="C578" s="1" t="s">
        <v>21</v>
      </c>
      <c r="K578" s="1">
        <v>500.0</v>
      </c>
      <c r="N578" s="5">
        <v>44600.0</v>
      </c>
      <c r="Q578" s="1" t="s">
        <v>1643</v>
      </c>
    </row>
    <row r="579">
      <c r="A579" s="1">
        <v>578.0</v>
      </c>
      <c r="B579" s="1" t="s">
        <v>1645</v>
      </c>
      <c r="C579" s="1" t="s">
        <v>21</v>
      </c>
      <c r="N579" s="5">
        <v>44635.0</v>
      </c>
      <c r="Q579" s="1" t="s">
        <v>402</v>
      </c>
    </row>
    <row r="580">
      <c r="A580" s="1">
        <v>579.0</v>
      </c>
      <c r="B580" s="1" t="s">
        <v>1646</v>
      </c>
      <c r="C580" s="1" t="s">
        <v>21</v>
      </c>
      <c r="N580" s="5">
        <v>45267.0</v>
      </c>
      <c r="Q580" s="1" t="s">
        <v>600</v>
      </c>
    </row>
    <row r="581">
      <c r="A581" s="1">
        <v>580.0</v>
      </c>
      <c r="B581" s="1" t="s">
        <v>1647</v>
      </c>
      <c r="C581" s="1" t="s">
        <v>21</v>
      </c>
      <c r="N581" s="5">
        <v>45357.0</v>
      </c>
      <c r="Q581" s="1" t="s">
        <v>1648</v>
      </c>
    </row>
    <row r="582">
      <c r="A582" s="1">
        <v>581.0</v>
      </c>
      <c r="B582" s="1" t="s">
        <v>1649</v>
      </c>
      <c r="C582" s="1" t="s">
        <v>21</v>
      </c>
      <c r="K582" s="1">
        <v>20.0</v>
      </c>
      <c r="N582" s="5">
        <v>43967.0</v>
      </c>
      <c r="Q582" s="1" t="s">
        <v>402</v>
      </c>
    </row>
    <row r="583">
      <c r="A583" s="1">
        <v>582.0</v>
      </c>
      <c r="B583" s="1" t="s">
        <v>1651</v>
      </c>
      <c r="C583" s="1" t="s">
        <v>21</v>
      </c>
      <c r="K583" s="1">
        <v>150.0</v>
      </c>
      <c r="N583" s="5">
        <v>44828.0</v>
      </c>
      <c r="Q583" s="1" t="s">
        <v>1653</v>
      </c>
    </row>
    <row r="584">
      <c r="A584" s="1">
        <v>583.0</v>
      </c>
      <c r="B584" s="1" t="s">
        <v>1654</v>
      </c>
      <c r="C584" s="1" t="s">
        <v>21</v>
      </c>
      <c r="K584" s="1">
        <v>150.0</v>
      </c>
      <c r="N584" s="5">
        <v>45441.0</v>
      </c>
      <c r="Q584" s="1" t="s">
        <v>1657</v>
      </c>
    </row>
    <row r="585">
      <c r="A585" s="1">
        <v>584.0</v>
      </c>
      <c r="B585" s="1" t="s">
        <v>1658</v>
      </c>
      <c r="C585" s="1" t="s">
        <v>21</v>
      </c>
      <c r="K585" s="1">
        <v>600.0</v>
      </c>
      <c r="N585" s="5">
        <v>44612.0</v>
      </c>
      <c r="Q585" s="1" t="s">
        <v>1659</v>
      </c>
    </row>
    <row r="586">
      <c r="A586" s="1">
        <v>585.0</v>
      </c>
      <c r="B586" s="1" t="s">
        <v>1660</v>
      </c>
      <c r="C586" s="1" t="s">
        <v>21</v>
      </c>
      <c r="K586" s="1">
        <v>350.0</v>
      </c>
      <c r="N586" s="5">
        <v>44624.0</v>
      </c>
      <c r="Q586" s="1" t="s">
        <v>1662</v>
      </c>
    </row>
    <row r="587">
      <c r="A587" s="1">
        <v>586.0</v>
      </c>
      <c r="B587" s="1" t="s">
        <v>1664</v>
      </c>
      <c r="C587" s="1" t="s">
        <v>21</v>
      </c>
      <c r="N587" s="5">
        <v>44795.0</v>
      </c>
      <c r="Q587" s="1" t="s">
        <v>414</v>
      </c>
    </row>
    <row r="588">
      <c r="A588" s="1">
        <v>587.0</v>
      </c>
      <c r="B588" s="1" t="s">
        <v>1665</v>
      </c>
      <c r="C588" s="1" t="s">
        <v>21</v>
      </c>
      <c r="K588" s="1">
        <v>30.0</v>
      </c>
      <c r="N588" s="5">
        <v>44345.0</v>
      </c>
      <c r="Q588" s="1" t="s">
        <v>402</v>
      </c>
    </row>
    <row r="589">
      <c r="A589" s="1">
        <v>588.0</v>
      </c>
      <c r="B589" s="1" t="s">
        <v>1667</v>
      </c>
      <c r="C589" s="1" t="s">
        <v>21</v>
      </c>
      <c r="K589" s="1">
        <v>20.0</v>
      </c>
      <c r="N589" s="5">
        <v>45842.0</v>
      </c>
      <c r="Q589" s="1" t="s">
        <v>1668</v>
      </c>
    </row>
    <row r="590">
      <c r="A590" s="1">
        <v>589.0</v>
      </c>
      <c r="B590" s="1" t="s">
        <v>1670</v>
      </c>
      <c r="C590" s="1" t="s">
        <v>21</v>
      </c>
      <c r="K590" s="1">
        <v>20.0</v>
      </c>
      <c r="N590" s="5">
        <v>45416.0</v>
      </c>
      <c r="Q590" s="1" t="s">
        <v>1672</v>
      </c>
    </row>
    <row r="591">
      <c r="A591" s="1">
        <v>590.0</v>
      </c>
      <c r="B591" s="1" t="s">
        <v>1673</v>
      </c>
      <c r="C591" s="1" t="s">
        <v>21</v>
      </c>
      <c r="K591" s="1">
        <v>50.0</v>
      </c>
      <c r="N591" s="5">
        <v>44536.0</v>
      </c>
      <c r="Q591" s="1" t="s">
        <v>1674</v>
      </c>
    </row>
    <row r="592">
      <c r="A592" s="1">
        <v>591.0</v>
      </c>
      <c r="B592" s="1" t="s">
        <v>1675</v>
      </c>
      <c r="C592" s="1" t="s">
        <v>21</v>
      </c>
      <c r="K592" s="1">
        <v>200.0</v>
      </c>
      <c r="N592" s="5">
        <v>43986.0</v>
      </c>
      <c r="Q592" s="1" t="s">
        <v>402</v>
      </c>
    </row>
    <row r="593">
      <c r="A593" s="1">
        <v>592.0</v>
      </c>
      <c r="B593" s="1" t="s">
        <v>1676</v>
      </c>
      <c r="C593" s="1" t="s">
        <v>21</v>
      </c>
      <c r="K593" s="1">
        <v>90.0</v>
      </c>
      <c r="N593" s="5">
        <v>45739.0</v>
      </c>
      <c r="Q593" s="1" t="s">
        <v>1678</v>
      </c>
    </row>
    <row r="594">
      <c r="A594" s="1">
        <v>593.0</v>
      </c>
      <c r="B594" s="1" t="s">
        <v>1680</v>
      </c>
      <c r="C594" s="1" t="s">
        <v>21</v>
      </c>
      <c r="K594" s="1">
        <v>30.0</v>
      </c>
      <c r="N594" s="5">
        <v>44795.0</v>
      </c>
      <c r="Q594" s="1" t="s">
        <v>1681</v>
      </c>
    </row>
    <row r="595">
      <c r="A595" s="1">
        <v>594.0</v>
      </c>
      <c r="B595" s="1" t="s">
        <v>1682</v>
      </c>
      <c r="C595" s="1" t="s">
        <v>21</v>
      </c>
      <c r="K595" s="1">
        <v>40.0</v>
      </c>
      <c r="N595" s="5">
        <v>44844.0</v>
      </c>
      <c r="Q595" s="1" t="s">
        <v>1683</v>
      </c>
    </row>
    <row r="596">
      <c r="A596" s="1">
        <v>595.0</v>
      </c>
      <c r="B596" s="1" t="s">
        <v>1684</v>
      </c>
      <c r="C596" s="1" t="s">
        <v>21</v>
      </c>
      <c r="N596" s="5">
        <v>43999.0</v>
      </c>
      <c r="Q596" s="1" t="s">
        <v>1685</v>
      </c>
    </row>
    <row r="597">
      <c r="A597" s="1">
        <v>596.0</v>
      </c>
      <c r="B597" s="1" t="s">
        <v>1687</v>
      </c>
      <c r="C597" s="1" t="s">
        <v>21</v>
      </c>
      <c r="K597" s="1">
        <v>10.0</v>
      </c>
      <c r="N597" s="5">
        <v>44630.0</v>
      </c>
      <c r="Q597" s="1" t="s">
        <v>980</v>
      </c>
    </row>
    <row r="598">
      <c r="A598" s="1">
        <v>597.0</v>
      </c>
      <c r="B598" s="1" t="s">
        <v>1689</v>
      </c>
      <c r="C598" s="1" t="s">
        <v>21</v>
      </c>
      <c r="K598" s="1">
        <v>60.0</v>
      </c>
      <c r="N598" s="5">
        <v>44146.0</v>
      </c>
      <c r="Q598" s="1" t="s">
        <v>1690</v>
      </c>
    </row>
    <row r="599">
      <c r="A599" s="1">
        <v>598.0</v>
      </c>
      <c r="B599" s="1" t="s">
        <v>1692</v>
      </c>
      <c r="C599" s="1" t="s">
        <v>21</v>
      </c>
      <c r="K599" s="1">
        <v>20.0</v>
      </c>
      <c r="N599" s="5">
        <v>45589.0</v>
      </c>
      <c r="Q599" s="1" t="s">
        <v>1693</v>
      </c>
    </row>
    <row r="600">
      <c r="A600" s="1">
        <v>599.0</v>
      </c>
      <c r="B600" s="1" t="s">
        <v>1694</v>
      </c>
      <c r="C600" s="1" t="s">
        <v>21</v>
      </c>
      <c r="K600" s="1">
        <v>10.0</v>
      </c>
      <c r="N600" s="5">
        <v>44840.0</v>
      </c>
      <c r="Q600" s="1" t="s">
        <v>1696</v>
      </c>
    </row>
    <row r="601">
      <c r="A601" s="1">
        <v>600.0</v>
      </c>
      <c r="B601" s="1" t="s">
        <v>1698</v>
      </c>
      <c r="C601" s="1" t="s">
        <v>21</v>
      </c>
      <c r="K601" s="1">
        <v>30.0</v>
      </c>
      <c r="N601" s="5">
        <v>45018.0</v>
      </c>
      <c r="Q601" s="1" t="s">
        <v>1699</v>
      </c>
    </row>
    <row r="602">
      <c r="A602" s="1">
        <v>601.0</v>
      </c>
      <c r="B602" s="1" t="s">
        <v>1700</v>
      </c>
      <c r="C602" s="1" t="s">
        <v>21</v>
      </c>
      <c r="K602" s="1">
        <v>30.0</v>
      </c>
      <c r="N602" s="5">
        <v>45109.0</v>
      </c>
      <c r="Q602" s="1" t="s">
        <v>1701</v>
      </c>
    </row>
    <row r="603">
      <c r="A603" s="1">
        <v>602.0</v>
      </c>
      <c r="B603" s="1" t="s">
        <v>1702</v>
      </c>
      <c r="C603" s="1" t="s">
        <v>21</v>
      </c>
      <c r="K603" s="1">
        <v>10.0</v>
      </c>
      <c r="N603" s="5">
        <v>43840.0</v>
      </c>
      <c r="Q603" s="1" t="s">
        <v>1705</v>
      </c>
    </row>
    <row r="604">
      <c r="A604" s="1">
        <v>603.0</v>
      </c>
      <c r="B604" s="1" t="s">
        <v>1706</v>
      </c>
      <c r="C604" s="1" t="s">
        <v>21</v>
      </c>
      <c r="K604" s="1">
        <v>200.0</v>
      </c>
      <c r="N604" s="5">
        <v>45194.0</v>
      </c>
      <c r="Q604" s="1" t="s">
        <v>1708</v>
      </c>
    </row>
    <row r="605">
      <c r="A605" s="1">
        <v>604.0</v>
      </c>
      <c r="B605" s="1" t="s">
        <v>1709</v>
      </c>
      <c r="C605" s="1" t="s">
        <v>21</v>
      </c>
      <c r="N605" s="5">
        <v>44490.0</v>
      </c>
      <c r="Q605" s="1" t="s">
        <v>402</v>
      </c>
    </row>
    <row r="606">
      <c r="A606" s="1">
        <v>605.0</v>
      </c>
      <c r="B606" s="1" t="s">
        <v>1711</v>
      </c>
      <c r="C606" s="1" t="s">
        <v>21</v>
      </c>
      <c r="K606" s="1">
        <v>40.0</v>
      </c>
      <c r="N606" s="5">
        <v>44300.0</v>
      </c>
      <c r="Q606" s="1" t="s">
        <v>1712</v>
      </c>
    </row>
    <row r="607">
      <c r="A607" s="1">
        <v>606.0</v>
      </c>
      <c r="B607" s="1" t="s">
        <v>1714</v>
      </c>
      <c r="C607" s="1" t="s">
        <v>21</v>
      </c>
      <c r="K607" s="1">
        <v>20.0</v>
      </c>
      <c r="N607" s="5">
        <v>44243.0</v>
      </c>
      <c r="Q607" s="1" t="s">
        <v>402</v>
      </c>
    </row>
    <row r="608">
      <c r="A608" s="1">
        <v>607.0</v>
      </c>
      <c r="B608" s="1" t="s">
        <v>1716</v>
      </c>
      <c r="C608" s="1" t="s">
        <v>21</v>
      </c>
      <c r="K608" s="1">
        <v>70.0</v>
      </c>
      <c r="N608" s="5">
        <v>44687.0</v>
      </c>
      <c r="Q608" s="1" t="s">
        <v>1717</v>
      </c>
    </row>
    <row r="609">
      <c r="A609" s="1">
        <v>608.0</v>
      </c>
      <c r="B609" s="1" t="s">
        <v>1718</v>
      </c>
      <c r="C609" s="1" t="s">
        <v>21</v>
      </c>
      <c r="K609" s="1">
        <v>50.0</v>
      </c>
      <c r="N609" s="5">
        <v>43970.0</v>
      </c>
      <c r="Q609" s="1" t="s">
        <v>1720</v>
      </c>
    </row>
    <row r="610">
      <c r="A610" s="1">
        <v>609.0</v>
      </c>
      <c r="B610" s="1" t="s">
        <v>1721</v>
      </c>
      <c r="C610" s="1" t="s">
        <v>21</v>
      </c>
      <c r="K610" s="1">
        <v>10.0</v>
      </c>
      <c r="N610" s="5">
        <v>45867.0</v>
      </c>
      <c r="Q610" s="1" t="s">
        <v>1723</v>
      </c>
    </row>
    <row r="611">
      <c r="A611" s="1">
        <v>610.0</v>
      </c>
      <c r="B611" s="1" t="s">
        <v>1724</v>
      </c>
      <c r="C611" s="1" t="s">
        <v>21</v>
      </c>
      <c r="K611" s="1">
        <v>20.0</v>
      </c>
      <c r="N611" s="5">
        <v>44568.0</v>
      </c>
      <c r="Q611" s="1" t="s">
        <v>402</v>
      </c>
    </row>
    <row r="612">
      <c r="A612" s="1">
        <v>611.0</v>
      </c>
      <c r="B612" s="1" t="s">
        <v>1726</v>
      </c>
      <c r="C612" s="1" t="s">
        <v>21</v>
      </c>
      <c r="K612" s="1">
        <v>20.0</v>
      </c>
      <c r="N612" s="5">
        <v>44683.0</v>
      </c>
      <c r="Q612" s="1" t="s">
        <v>1727</v>
      </c>
    </row>
    <row r="613">
      <c r="A613" s="1">
        <v>612.0</v>
      </c>
      <c r="B613" s="1" t="s">
        <v>1728</v>
      </c>
      <c r="C613" s="1" t="s">
        <v>21</v>
      </c>
      <c r="K613" s="1">
        <v>150.0</v>
      </c>
      <c r="N613" s="5">
        <v>44289.0</v>
      </c>
      <c r="Q613" s="1" t="s">
        <v>1730</v>
      </c>
    </row>
    <row r="614">
      <c r="A614" s="1">
        <v>613.0</v>
      </c>
      <c r="B614" s="1" t="s">
        <v>1732</v>
      </c>
      <c r="C614" s="1" t="s">
        <v>21</v>
      </c>
      <c r="K614" s="1">
        <v>20.0</v>
      </c>
      <c r="N614" s="5">
        <v>44833.0</v>
      </c>
      <c r="Q614" s="1" t="s">
        <v>1672</v>
      </c>
    </row>
    <row r="615">
      <c r="A615" s="1">
        <v>614.0</v>
      </c>
      <c r="B615" s="1" t="s">
        <v>1733</v>
      </c>
      <c r="C615" s="1" t="s">
        <v>21</v>
      </c>
      <c r="K615" s="1">
        <v>250.0</v>
      </c>
      <c r="N615" s="5">
        <v>44145.0</v>
      </c>
      <c r="Q615" s="1" t="s">
        <v>1734</v>
      </c>
    </row>
    <row r="616">
      <c r="A616" s="1">
        <v>615.0</v>
      </c>
      <c r="B616" s="1" t="s">
        <v>1735</v>
      </c>
      <c r="C616" s="1" t="s">
        <v>21</v>
      </c>
      <c r="I616" s="4"/>
      <c r="K616" s="1">
        <v>30.0</v>
      </c>
      <c r="N616" s="5">
        <v>44605.0</v>
      </c>
      <c r="Q616" s="1" t="s">
        <v>1737</v>
      </c>
    </row>
    <row r="617">
      <c r="A617" s="1">
        <v>616.0</v>
      </c>
      <c r="B617" s="1" t="s">
        <v>1738</v>
      </c>
      <c r="C617" s="1" t="s">
        <v>21</v>
      </c>
      <c r="K617" s="1">
        <v>20.0</v>
      </c>
      <c r="N617" s="5">
        <v>44600.0</v>
      </c>
      <c r="Q617" s="1" t="s">
        <v>496</v>
      </c>
    </row>
    <row r="618">
      <c r="A618" s="1">
        <v>617.0</v>
      </c>
      <c r="B618" s="1" t="s">
        <v>1739</v>
      </c>
      <c r="C618" s="1" t="s">
        <v>21</v>
      </c>
      <c r="K618" s="1">
        <v>30.0</v>
      </c>
      <c r="N618" s="5">
        <v>45022.0</v>
      </c>
      <c r="Q618" s="1" t="s">
        <v>1740</v>
      </c>
    </row>
    <row r="619">
      <c r="A619" s="1">
        <v>618.0</v>
      </c>
      <c r="B619" s="1" t="s">
        <v>1741</v>
      </c>
      <c r="C619" s="1" t="s">
        <v>21</v>
      </c>
      <c r="K619" s="1">
        <v>200.0</v>
      </c>
      <c r="N619" s="5">
        <v>44161.0</v>
      </c>
      <c r="Q619" s="1" t="s">
        <v>1742</v>
      </c>
    </row>
    <row r="620">
      <c r="A620" s="1">
        <v>619.0</v>
      </c>
      <c r="B620" s="1" t="s">
        <v>1743</v>
      </c>
      <c r="C620" s="1" t="s">
        <v>21</v>
      </c>
      <c r="K620" s="1">
        <v>10.0</v>
      </c>
      <c r="N620" s="5">
        <v>45663.0</v>
      </c>
      <c r="Q620" s="1" t="s">
        <v>1744</v>
      </c>
    </row>
    <row r="621">
      <c r="A621" s="1">
        <v>620.0</v>
      </c>
      <c r="B621" s="1" t="s">
        <v>1746</v>
      </c>
      <c r="C621" s="1" t="s">
        <v>21</v>
      </c>
      <c r="K621" s="1">
        <v>10.0</v>
      </c>
      <c r="N621" s="5">
        <v>44245.0</v>
      </c>
      <c r="Q621" s="1" t="s">
        <v>1748</v>
      </c>
    </row>
    <row r="622">
      <c r="A622" s="1">
        <v>621.0</v>
      </c>
      <c r="B622" s="1" t="s">
        <v>1749</v>
      </c>
      <c r="C622" s="1" t="s">
        <v>21</v>
      </c>
      <c r="K622" s="1">
        <v>70.0</v>
      </c>
      <c r="N622" s="5">
        <v>44009.0</v>
      </c>
      <c r="Q622" s="1" t="s">
        <v>479</v>
      </c>
    </row>
    <row r="623">
      <c r="A623" s="1">
        <v>622.0</v>
      </c>
      <c r="B623" s="1" t="s">
        <v>1750</v>
      </c>
      <c r="C623" s="1" t="s">
        <v>21</v>
      </c>
      <c r="K623" s="1">
        <v>50.0</v>
      </c>
      <c r="N623" s="5">
        <v>45685.0</v>
      </c>
      <c r="Q623" s="1" t="s">
        <v>1752</v>
      </c>
    </row>
    <row r="624">
      <c r="A624" s="1">
        <v>623.0</v>
      </c>
      <c r="B624" s="1" t="s">
        <v>1753</v>
      </c>
      <c r="C624" s="1" t="s">
        <v>21</v>
      </c>
      <c r="K624" s="1">
        <v>100.0</v>
      </c>
      <c r="N624" s="5">
        <v>43992.0</v>
      </c>
      <c r="Q624" s="1" t="s">
        <v>1755</v>
      </c>
    </row>
    <row r="625">
      <c r="A625" s="1">
        <v>624.0</v>
      </c>
      <c r="B625" s="1" t="s">
        <v>1756</v>
      </c>
      <c r="C625" s="1" t="s">
        <v>21</v>
      </c>
      <c r="K625" s="1">
        <v>40.0</v>
      </c>
      <c r="N625" s="5">
        <v>44780.0</v>
      </c>
      <c r="Q625" s="1" t="s">
        <v>646</v>
      </c>
    </row>
    <row r="626">
      <c r="A626" s="1">
        <v>625.0</v>
      </c>
      <c r="B626" s="1" t="s">
        <v>1757</v>
      </c>
      <c r="C626" s="1" t="s">
        <v>21</v>
      </c>
      <c r="K626" s="1">
        <v>400.0</v>
      </c>
      <c r="N626" s="5">
        <v>45272.0</v>
      </c>
      <c r="Q626" s="1" t="s">
        <v>1758</v>
      </c>
    </row>
    <row r="627">
      <c r="A627" s="1">
        <v>626.0</v>
      </c>
      <c r="B627" s="1" t="s">
        <v>1760</v>
      </c>
      <c r="C627" s="1" t="s">
        <v>21</v>
      </c>
      <c r="K627" s="1">
        <v>150.0</v>
      </c>
      <c r="N627" s="5">
        <v>44103.0</v>
      </c>
      <c r="Q627" s="1" t="s">
        <v>1762</v>
      </c>
    </row>
    <row r="628">
      <c r="A628" s="1">
        <v>627.0</v>
      </c>
      <c r="B628" s="1" t="s">
        <v>1763</v>
      </c>
      <c r="C628" s="1" t="s">
        <v>21</v>
      </c>
      <c r="K628" s="1">
        <v>20.0</v>
      </c>
      <c r="N628" s="5">
        <v>45109.0</v>
      </c>
      <c r="Q628" s="1" t="s">
        <v>1765</v>
      </c>
    </row>
    <row r="629">
      <c r="A629" s="1">
        <v>628.0</v>
      </c>
      <c r="B629" s="1" t="s">
        <v>1766</v>
      </c>
      <c r="C629" s="1" t="s">
        <v>21</v>
      </c>
      <c r="K629" s="1">
        <v>200.0</v>
      </c>
      <c r="N629" s="5">
        <v>44549.0</v>
      </c>
      <c r="Q629" s="1" t="s">
        <v>1768</v>
      </c>
    </row>
    <row r="630">
      <c r="A630" s="1">
        <v>629.0</v>
      </c>
      <c r="B630" s="1" t="s">
        <v>1769</v>
      </c>
      <c r="C630" s="1" t="s">
        <v>21</v>
      </c>
      <c r="K630" s="1">
        <v>100.0</v>
      </c>
      <c r="N630" s="5">
        <v>44545.0</v>
      </c>
      <c r="Q630" s="1" t="s">
        <v>1771</v>
      </c>
    </row>
    <row r="631">
      <c r="A631" s="1">
        <v>630.0</v>
      </c>
      <c r="B631" s="1" t="s">
        <v>1772</v>
      </c>
      <c r="C631" s="1" t="s">
        <v>21</v>
      </c>
      <c r="N631" s="5">
        <v>44568.0</v>
      </c>
      <c r="Q631" s="1" t="s">
        <v>402</v>
      </c>
    </row>
    <row r="632">
      <c r="A632" s="1">
        <v>631.0</v>
      </c>
      <c r="B632" s="1" t="s">
        <v>1774</v>
      </c>
      <c r="C632" s="1" t="s">
        <v>21</v>
      </c>
      <c r="K632" s="1">
        <v>150.0</v>
      </c>
      <c r="N632" s="5">
        <v>43951.0</v>
      </c>
      <c r="Q632" s="1" t="s">
        <v>1775</v>
      </c>
    </row>
    <row r="633">
      <c r="A633" s="1">
        <v>632.0</v>
      </c>
      <c r="B633" s="1" t="s">
        <v>1777</v>
      </c>
      <c r="C633" s="1" t="s">
        <v>21</v>
      </c>
      <c r="N633" s="5">
        <v>44311.0</v>
      </c>
      <c r="Q633" s="1" t="s">
        <v>402</v>
      </c>
    </row>
    <row r="634">
      <c r="A634" s="1">
        <v>633.0</v>
      </c>
      <c r="B634" s="1" t="s">
        <v>1779</v>
      </c>
      <c r="C634" s="1" t="s">
        <v>21</v>
      </c>
      <c r="N634" s="5">
        <v>44666.0</v>
      </c>
      <c r="Q634" s="1" t="s">
        <v>402</v>
      </c>
    </row>
    <row r="635">
      <c r="A635" s="1">
        <v>634.0</v>
      </c>
      <c r="B635" s="1" t="s">
        <v>1781</v>
      </c>
      <c r="C635" s="1" t="s">
        <v>21</v>
      </c>
      <c r="K635" s="1">
        <v>70.0</v>
      </c>
      <c r="N635" s="5">
        <v>43998.0</v>
      </c>
      <c r="Q635" s="1" t="s">
        <v>1782</v>
      </c>
    </row>
    <row r="636">
      <c r="A636" s="1">
        <v>635.0</v>
      </c>
      <c r="B636" s="1" t="s">
        <v>1783</v>
      </c>
      <c r="C636" s="1" t="s">
        <v>21</v>
      </c>
      <c r="K636" s="1">
        <v>30.0</v>
      </c>
      <c r="N636" s="5">
        <v>45735.0</v>
      </c>
      <c r="Q636" s="1" t="s">
        <v>1784</v>
      </c>
    </row>
    <row r="637">
      <c r="A637" s="1">
        <v>636.0</v>
      </c>
      <c r="B637" s="1" t="s">
        <v>1785</v>
      </c>
      <c r="C637" s="1" t="s">
        <v>21</v>
      </c>
      <c r="K637" s="1">
        <v>300.0</v>
      </c>
      <c r="N637" s="5">
        <v>44377.0</v>
      </c>
      <c r="Q637" s="1" t="s">
        <v>1786</v>
      </c>
    </row>
    <row r="638">
      <c r="A638" s="1">
        <v>637.0</v>
      </c>
      <c r="B638" s="1" t="s">
        <v>1787</v>
      </c>
      <c r="C638" s="1" t="s">
        <v>21</v>
      </c>
      <c r="K638" s="1">
        <v>70.0</v>
      </c>
      <c r="N638" s="5">
        <v>44461.0</v>
      </c>
      <c r="Q638" s="1" t="s">
        <v>1788</v>
      </c>
    </row>
    <row r="639">
      <c r="A639" s="1">
        <v>638.0</v>
      </c>
      <c r="B639" s="1" t="s">
        <v>1789</v>
      </c>
      <c r="C639" s="1" t="s">
        <v>21</v>
      </c>
      <c r="K639" s="1">
        <v>100.0</v>
      </c>
      <c r="N639" s="5">
        <v>44350.0</v>
      </c>
      <c r="Q639" s="1" t="s">
        <v>1790</v>
      </c>
    </row>
    <row r="640">
      <c r="A640" s="1">
        <v>639.0</v>
      </c>
      <c r="B640" s="1" t="s">
        <v>1791</v>
      </c>
      <c r="C640" s="1" t="s">
        <v>21</v>
      </c>
      <c r="K640" s="1">
        <v>200.0</v>
      </c>
      <c r="N640" s="5">
        <v>45238.0</v>
      </c>
      <c r="Q640" s="1" t="s">
        <v>1792</v>
      </c>
    </row>
    <row r="641">
      <c r="A641" s="1">
        <v>640.0</v>
      </c>
      <c r="B641" s="1" t="s">
        <v>1793</v>
      </c>
      <c r="C641" s="1" t="s">
        <v>21</v>
      </c>
      <c r="K641" s="1">
        <v>10.0</v>
      </c>
      <c r="N641" s="5">
        <v>44600.0</v>
      </c>
      <c r="Q641" s="1" t="s">
        <v>1794</v>
      </c>
    </row>
    <row r="642">
      <c r="A642" s="1">
        <v>641.0</v>
      </c>
      <c r="B642" s="1" t="s">
        <v>53</v>
      </c>
      <c r="C642" s="1" t="s">
        <v>21</v>
      </c>
      <c r="K642" s="1">
        <v>60.0</v>
      </c>
      <c r="N642" s="5">
        <v>44199.0</v>
      </c>
      <c r="Q642" s="1" t="s">
        <v>56</v>
      </c>
    </row>
    <row r="643">
      <c r="A643" s="1">
        <v>642.0</v>
      </c>
      <c r="B643" s="1" t="s">
        <v>1795</v>
      </c>
      <c r="C643" s="1" t="s">
        <v>21</v>
      </c>
      <c r="K643" s="1">
        <v>60.0</v>
      </c>
      <c r="N643" s="5">
        <v>43975.0</v>
      </c>
      <c r="Q643" s="1" t="s">
        <v>1796</v>
      </c>
    </row>
    <row r="644">
      <c r="A644" s="1">
        <v>643.0</v>
      </c>
      <c r="B644" s="1" t="s">
        <v>1797</v>
      </c>
      <c r="C644" s="1" t="s">
        <v>21</v>
      </c>
      <c r="K644" s="1">
        <v>30.0</v>
      </c>
      <c r="N644" s="5">
        <v>44275.0</v>
      </c>
      <c r="Q644" s="1" t="s">
        <v>1798</v>
      </c>
    </row>
    <row r="645">
      <c r="A645" s="1">
        <v>644.0</v>
      </c>
      <c r="B645" s="1" t="s">
        <v>1799</v>
      </c>
      <c r="C645" s="1" t="s">
        <v>21</v>
      </c>
      <c r="N645" s="5">
        <v>45374.0</v>
      </c>
      <c r="Q645" s="1" t="s">
        <v>402</v>
      </c>
    </row>
    <row r="646">
      <c r="A646" s="1">
        <v>645.0</v>
      </c>
      <c r="B646" s="1" t="s">
        <v>1800</v>
      </c>
      <c r="C646" s="1" t="s">
        <v>21</v>
      </c>
      <c r="K646" s="1">
        <v>100.0</v>
      </c>
      <c r="N646" s="5">
        <v>45024.0</v>
      </c>
      <c r="Q646" s="1" t="s">
        <v>1801</v>
      </c>
    </row>
    <row r="647">
      <c r="A647" s="1">
        <v>646.0</v>
      </c>
      <c r="B647" s="1" t="s">
        <v>1802</v>
      </c>
      <c r="C647" s="1" t="s">
        <v>21</v>
      </c>
      <c r="K647" s="1">
        <v>150.0</v>
      </c>
      <c r="N647" s="5">
        <v>45664.0</v>
      </c>
      <c r="Q647" s="1" t="s">
        <v>1803</v>
      </c>
    </row>
    <row r="648">
      <c r="A648" s="1">
        <v>647.0</v>
      </c>
      <c r="B648" s="1" t="s">
        <v>1804</v>
      </c>
      <c r="C648" s="1" t="s">
        <v>21</v>
      </c>
      <c r="K648" s="1">
        <v>30.0</v>
      </c>
      <c r="N648" s="5">
        <v>44592.0</v>
      </c>
      <c r="Q648" s="1" t="s">
        <v>402</v>
      </c>
    </row>
    <row r="649">
      <c r="A649" s="1">
        <v>648.0</v>
      </c>
      <c r="B649" s="1" t="s">
        <v>1805</v>
      </c>
      <c r="C649" s="1" t="s">
        <v>21</v>
      </c>
      <c r="K649" s="1">
        <v>10.0</v>
      </c>
      <c r="N649" s="5">
        <v>44619.0</v>
      </c>
      <c r="Q649" s="1" t="s">
        <v>402</v>
      </c>
    </row>
    <row r="650">
      <c r="A650" s="1">
        <v>649.0</v>
      </c>
      <c r="B650" s="1" t="s">
        <v>1806</v>
      </c>
      <c r="C650" s="1" t="s">
        <v>21</v>
      </c>
      <c r="K650" s="1">
        <v>70.0</v>
      </c>
      <c r="N650" s="5">
        <v>45746.0</v>
      </c>
      <c r="Q650" s="1" t="s">
        <v>1807</v>
      </c>
    </row>
    <row r="651">
      <c r="A651" s="1">
        <v>650.0</v>
      </c>
      <c r="B651" s="1" t="s">
        <v>1808</v>
      </c>
      <c r="C651" s="1" t="s">
        <v>21</v>
      </c>
      <c r="N651" s="5">
        <v>45552.0</v>
      </c>
      <c r="Q651" s="1" t="s">
        <v>1809</v>
      </c>
    </row>
    <row r="652">
      <c r="A652" s="1">
        <v>651.0</v>
      </c>
      <c r="B652" s="1" t="s">
        <v>1810</v>
      </c>
      <c r="C652" s="1" t="s">
        <v>21</v>
      </c>
      <c r="K652" s="1">
        <v>100.0</v>
      </c>
      <c r="N652" s="5">
        <v>44414.0</v>
      </c>
      <c r="Q652" s="1" t="s">
        <v>1811</v>
      </c>
    </row>
    <row r="653">
      <c r="A653" s="1">
        <v>652.0</v>
      </c>
      <c r="B653" s="1" t="s">
        <v>1812</v>
      </c>
      <c r="C653" s="1" t="s">
        <v>21</v>
      </c>
      <c r="K653" s="1">
        <v>40.0</v>
      </c>
      <c r="N653" s="5">
        <v>44667.0</v>
      </c>
      <c r="Q653" s="1" t="s">
        <v>1813</v>
      </c>
    </row>
    <row r="654">
      <c r="A654" s="1">
        <v>653.0</v>
      </c>
      <c r="B654" s="1" t="s">
        <v>1814</v>
      </c>
      <c r="C654" s="1" t="s">
        <v>21</v>
      </c>
      <c r="K654" s="1">
        <v>400.0</v>
      </c>
      <c r="N654" s="5">
        <v>43929.0</v>
      </c>
      <c r="Q654" s="1" t="s">
        <v>1815</v>
      </c>
    </row>
    <row r="655">
      <c r="A655" s="1">
        <v>654.0</v>
      </c>
      <c r="B655" s="1" t="s">
        <v>1816</v>
      </c>
      <c r="C655" s="1" t="s">
        <v>21</v>
      </c>
      <c r="K655" s="1">
        <v>60.0</v>
      </c>
      <c r="N655" s="5">
        <v>45085.0</v>
      </c>
      <c r="Q655" s="1" t="s">
        <v>1817</v>
      </c>
    </row>
    <row r="656">
      <c r="A656" s="1">
        <v>655.0</v>
      </c>
      <c r="B656" s="1" t="s">
        <v>1818</v>
      </c>
      <c r="C656" s="1" t="s">
        <v>21</v>
      </c>
      <c r="K656" s="1">
        <v>20.0</v>
      </c>
      <c r="N656" s="5">
        <v>44770.0</v>
      </c>
      <c r="Q656" s="1" t="s">
        <v>1819</v>
      </c>
    </row>
    <row r="657">
      <c r="A657" s="1">
        <v>656.0</v>
      </c>
      <c r="B657" s="1" t="s">
        <v>1820</v>
      </c>
      <c r="C657" s="1" t="s">
        <v>21</v>
      </c>
      <c r="K657" s="1">
        <v>60.0</v>
      </c>
      <c r="N657" s="5">
        <v>45124.0</v>
      </c>
      <c r="Q657" s="1" t="s">
        <v>496</v>
      </c>
    </row>
    <row r="658">
      <c r="A658" s="1">
        <v>657.0</v>
      </c>
      <c r="B658" s="1" t="s">
        <v>1821</v>
      </c>
      <c r="C658" s="1" t="s">
        <v>21</v>
      </c>
      <c r="K658" s="1">
        <v>200.0</v>
      </c>
      <c r="N658" s="5">
        <v>44842.0</v>
      </c>
      <c r="Q658" s="1" t="s">
        <v>1822</v>
      </c>
    </row>
    <row r="659">
      <c r="A659" s="1">
        <v>658.0</v>
      </c>
      <c r="B659" s="1" t="s">
        <v>1823</v>
      </c>
      <c r="C659" s="1" t="s">
        <v>21</v>
      </c>
      <c r="K659" s="1">
        <v>40.0</v>
      </c>
      <c r="N659" s="5">
        <v>44787.0</v>
      </c>
      <c r="Q659" s="1" t="s">
        <v>1824</v>
      </c>
    </row>
    <row r="660">
      <c r="A660" s="1">
        <v>659.0</v>
      </c>
      <c r="B660" s="1" t="s">
        <v>1825</v>
      </c>
      <c r="C660" s="1" t="s">
        <v>21</v>
      </c>
      <c r="K660" s="1">
        <v>200.0</v>
      </c>
      <c r="N660" s="5">
        <v>45144.0</v>
      </c>
      <c r="Q660" s="1" t="s">
        <v>1826</v>
      </c>
    </row>
    <row r="661">
      <c r="A661" s="1">
        <v>660.0</v>
      </c>
      <c r="B661" s="1" t="s">
        <v>1827</v>
      </c>
      <c r="C661" s="1" t="s">
        <v>21</v>
      </c>
      <c r="N661" s="5">
        <v>44342.0</v>
      </c>
      <c r="Q661" s="1" t="s">
        <v>402</v>
      </c>
    </row>
    <row r="662">
      <c r="A662" s="1">
        <v>661.0</v>
      </c>
      <c r="B662" s="1" t="s">
        <v>1828</v>
      </c>
      <c r="C662" s="1" t="s">
        <v>21</v>
      </c>
      <c r="K662" s="1">
        <v>20.0</v>
      </c>
      <c r="N662" s="5">
        <v>45341.0</v>
      </c>
      <c r="Q662" s="1" t="s">
        <v>1829</v>
      </c>
    </row>
    <row r="663">
      <c r="A663" s="1">
        <v>662.0</v>
      </c>
      <c r="B663" s="1" t="s">
        <v>1830</v>
      </c>
      <c r="C663" s="1" t="s">
        <v>21</v>
      </c>
      <c r="N663" s="5">
        <v>45128.0</v>
      </c>
      <c r="Q663" s="1" t="s">
        <v>1831</v>
      </c>
    </row>
    <row r="664">
      <c r="A664" s="1">
        <v>663.0</v>
      </c>
      <c r="B664" s="1" t="s">
        <v>1832</v>
      </c>
      <c r="C664" s="1" t="s">
        <v>21</v>
      </c>
      <c r="K664" s="1">
        <v>50.0</v>
      </c>
      <c r="N664" s="5">
        <v>44673.0</v>
      </c>
      <c r="Q664" s="1" t="s">
        <v>402</v>
      </c>
    </row>
    <row r="665">
      <c r="A665" s="1">
        <v>664.0</v>
      </c>
      <c r="B665" s="1" t="s">
        <v>1834</v>
      </c>
      <c r="C665" s="1" t="s">
        <v>21</v>
      </c>
      <c r="K665" s="1">
        <v>40.0</v>
      </c>
      <c r="N665" s="5">
        <v>44756.0</v>
      </c>
      <c r="Q665" s="1" t="s">
        <v>402</v>
      </c>
    </row>
    <row r="666">
      <c r="A666" s="1">
        <v>665.0</v>
      </c>
      <c r="B666" s="1" t="s">
        <v>1835</v>
      </c>
      <c r="C666" s="1" t="s">
        <v>21</v>
      </c>
      <c r="K666" s="1">
        <v>20.0</v>
      </c>
      <c r="N666" s="5">
        <v>44963.0</v>
      </c>
      <c r="Q666" s="1" t="s">
        <v>402</v>
      </c>
    </row>
    <row r="667">
      <c r="A667" s="1">
        <v>666.0</v>
      </c>
      <c r="B667" s="1" t="s">
        <v>1836</v>
      </c>
      <c r="C667" s="1" t="s">
        <v>21</v>
      </c>
      <c r="K667" s="1">
        <v>60.0</v>
      </c>
      <c r="N667" s="5">
        <v>44988.0</v>
      </c>
      <c r="Q667" s="1" t="s">
        <v>1837</v>
      </c>
    </row>
    <row r="668">
      <c r="A668" s="1">
        <v>667.0</v>
      </c>
      <c r="B668" s="1" t="s">
        <v>1838</v>
      </c>
      <c r="C668" s="1" t="s">
        <v>21</v>
      </c>
      <c r="K668" s="1">
        <v>60.0</v>
      </c>
      <c r="N668" s="5">
        <v>44280.0</v>
      </c>
      <c r="Q668" s="1" t="s">
        <v>1839</v>
      </c>
    </row>
    <row r="669">
      <c r="A669" s="1">
        <v>668.0</v>
      </c>
      <c r="B669" s="1" t="s">
        <v>1840</v>
      </c>
      <c r="C669" s="1" t="s">
        <v>21</v>
      </c>
      <c r="K669" s="1">
        <v>80.0</v>
      </c>
      <c r="N669" s="5">
        <v>44760.0</v>
      </c>
      <c r="Q669" s="1" t="s">
        <v>402</v>
      </c>
    </row>
    <row r="670">
      <c r="A670" s="1">
        <v>669.0</v>
      </c>
      <c r="B670" s="1" t="s">
        <v>1841</v>
      </c>
      <c r="C670" s="1" t="s">
        <v>21</v>
      </c>
      <c r="F670" s="1">
        <v>0.3</v>
      </c>
      <c r="K670" s="1">
        <v>1700.0</v>
      </c>
      <c r="N670" s="5">
        <v>43867.0</v>
      </c>
      <c r="Q670" s="1" t="s">
        <v>1842</v>
      </c>
    </row>
    <row r="671">
      <c r="A671" s="1">
        <v>670.0</v>
      </c>
      <c r="B671" s="1" t="s">
        <v>1843</v>
      </c>
      <c r="C671" s="1" t="s">
        <v>21</v>
      </c>
      <c r="K671" s="1">
        <v>50.0</v>
      </c>
      <c r="N671" s="5">
        <v>44515.0</v>
      </c>
      <c r="Q671" s="1" t="s">
        <v>980</v>
      </c>
    </row>
    <row r="672">
      <c r="A672" s="1">
        <v>671.0</v>
      </c>
      <c r="B672" s="1" t="s">
        <v>1844</v>
      </c>
      <c r="C672" s="1" t="s">
        <v>21</v>
      </c>
      <c r="K672" s="1">
        <v>100.0</v>
      </c>
      <c r="N672" s="5">
        <v>44091.0</v>
      </c>
      <c r="Q672" s="1" t="s">
        <v>1845</v>
      </c>
    </row>
    <row r="673">
      <c r="A673" s="1">
        <v>672.0</v>
      </c>
      <c r="B673" s="1" t="s">
        <v>1846</v>
      </c>
      <c r="C673" s="1" t="s">
        <v>21</v>
      </c>
      <c r="K673" s="1">
        <v>60.0</v>
      </c>
      <c r="N673" s="5">
        <v>44029.0</v>
      </c>
      <c r="Q673" s="1" t="s">
        <v>1237</v>
      </c>
    </row>
    <row r="674">
      <c r="A674" s="1">
        <v>673.0</v>
      </c>
      <c r="B674" s="1" t="s">
        <v>1847</v>
      </c>
      <c r="C674" s="1" t="s">
        <v>21</v>
      </c>
      <c r="K674" s="1">
        <v>20.0</v>
      </c>
      <c r="N674" s="5">
        <v>44090.0</v>
      </c>
      <c r="Q674" s="1" t="s">
        <v>729</v>
      </c>
    </row>
    <row r="675">
      <c r="A675" s="1">
        <v>674.0</v>
      </c>
      <c r="B675" s="1" t="s">
        <v>1848</v>
      </c>
      <c r="C675" s="1" t="s">
        <v>21</v>
      </c>
      <c r="K675" s="1">
        <v>300.0</v>
      </c>
      <c r="N675" s="5">
        <v>44703.0</v>
      </c>
      <c r="Q675" s="1" t="s">
        <v>1849</v>
      </c>
    </row>
    <row r="676">
      <c r="A676" s="1">
        <v>675.0</v>
      </c>
      <c r="B676" s="1" t="s">
        <v>1850</v>
      </c>
      <c r="C676" s="1" t="s">
        <v>21</v>
      </c>
      <c r="K676" s="1">
        <v>100.0</v>
      </c>
      <c r="N676" s="5">
        <v>44019.0</v>
      </c>
      <c r="Q676" s="1" t="s">
        <v>1851</v>
      </c>
    </row>
    <row r="677">
      <c r="A677" s="1">
        <v>676.0</v>
      </c>
      <c r="B677" s="1" t="s">
        <v>1852</v>
      </c>
      <c r="C677" s="1" t="s">
        <v>21</v>
      </c>
      <c r="N677" s="5">
        <v>45082.0</v>
      </c>
      <c r="Q677" s="1" t="s">
        <v>402</v>
      </c>
    </row>
    <row r="678">
      <c r="A678" s="1">
        <v>677.0</v>
      </c>
      <c r="B678" s="1" t="s">
        <v>1853</v>
      </c>
      <c r="C678" s="1" t="s">
        <v>21</v>
      </c>
      <c r="K678" s="1">
        <v>30.0</v>
      </c>
      <c r="N678" s="5">
        <v>44759.0</v>
      </c>
      <c r="Q678" s="1" t="s">
        <v>1854</v>
      </c>
    </row>
    <row r="679">
      <c r="A679" s="1">
        <v>678.0</v>
      </c>
      <c r="B679" s="1" t="s">
        <v>1855</v>
      </c>
      <c r="C679" s="1" t="s">
        <v>21</v>
      </c>
      <c r="K679" s="1">
        <v>50.0</v>
      </c>
      <c r="N679" s="5">
        <v>44943.0</v>
      </c>
      <c r="Q679" s="1" t="s">
        <v>1545</v>
      </c>
    </row>
    <row r="680">
      <c r="A680" s="1">
        <v>679.0</v>
      </c>
      <c r="B680" s="1" t="s">
        <v>1856</v>
      </c>
      <c r="C680" s="1" t="s">
        <v>21</v>
      </c>
      <c r="K680" s="1">
        <v>10.0</v>
      </c>
      <c r="N680" s="5">
        <v>44652.0</v>
      </c>
      <c r="Q680" s="1" t="s">
        <v>1857</v>
      </c>
    </row>
    <row r="681">
      <c r="A681" s="1">
        <v>680.0</v>
      </c>
      <c r="B681" s="1" t="s">
        <v>1858</v>
      </c>
      <c r="C681" s="1" t="s">
        <v>21</v>
      </c>
      <c r="K681" s="1">
        <v>150.0</v>
      </c>
      <c r="N681" s="5">
        <v>45465.0</v>
      </c>
      <c r="Q681" s="1" t="s">
        <v>1859</v>
      </c>
    </row>
    <row r="682">
      <c r="A682" s="1">
        <v>681.0</v>
      </c>
      <c r="B682" s="1" t="s">
        <v>1860</v>
      </c>
      <c r="C682" s="1" t="s">
        <v>21</v>
      </c>
      <c r="K682" s="1">
        <v>10.0</v>
      </c>
      <c r="N682" s="5">
        <v>43997.0</v>
      </c>
      <c r="Q682" s="1" t="s">
        <v>1045</v>
      </c>
    </row>
    <row r="683">
      <c r="A683" s="1">
        <v>682.0</v>
      </c>
      <c r="B683" s="1" t="s">
        <v>1861</v>
      </c>
      <c r="C683" s="1" t="s">
        <v>21</v>
      </c>
      <c r="K683" s="1">
        <v>20.0</v>
      </c>
      <c r="N683" s="5">
        <v>44373.0</v>
      </c>
      <c r="Q683" s="1" t="s">
        <v>1862</v>
      </c>
    </row>
    <row r="684">
      <c r="A684" s="1">
        <v>683.0</v>
      </c>
      <c r="B684" s="1" t="s">
        <v>1863</v>
      </c>
      <c r="C684" s="1" t="s">
        <v>21</v>
      </c>
      <c r="N684" s="5">
        <v>45403.0</v>
      </c>
      <c r="Q684" s="1" t="s">
        <v>402</v>
      </c>
    </row>
    <row r="685">
      <c r="A685" s="1">
        <v>684.0</v>
      </c>
      <c r="B685" s="1" t="s">
        <v>1864</v>
      </c>
      <c r="C685" s="1" t="s">
        <v>21</v>
      </c>
      <c r="K685" s="1">
        <v>1300.0</v>
      </c>
      <c r="N685" s="5">
        <v>44321.0</v>
      </c>
      <c r="Q685" s="1" t="s">
        <v>1865</v>
      </c>
    </row>
    <row r="686">
      <c r="A686" s="1">
        <v>685.0</v>
      </c>
      <c r="B686" s="1" t="s">
        <v>1866</v>
      </c>
      <c r="C686" s="1" t="s">
        <v>21</v>
      </c>
      <c r="N686" s="5">
        <v>45523.0</v>
      </c>
      <c r="Q686" s="1" t="s">
        <v>1867</v>
      </c>
    </row>
    <row r="687">
      <c r="A687" s="1">
        <v>686.0</v>
      </c>
      <c r="B687" s="1" t="s">
        <v>1868</v>
      </c>
      <c r="C687" s="1" t="s">
        <v>21</v>
      </c>
      <c r="K687" s="1">
        <v>10.0</v>
      </c>
      <c r="N687" s="5">
        <v>44968.0</v>
      </c>
      <c r="Q687" s="1" t="s">
        <v>1869</v>
      </c>
    </row>
    <row r="688">
      <c r="A688" s="1">
        <v>687.0</v>
      </c>
      <c r="B688" s="1" t="s">
        <v>1870</v>
      </c>
      <c r="C688" s="1" t="s">
        <v>21</v>
      </c>
      <c r="K688" s="1">
        <v>150.0</v>
      </c>
      <c r="N688" s="5">
        <v>45175.0</v>
      </c>
      <c r="Q688" s="1" t="s">
        <v>1871</v>
      </c>
    </row>
    <row r="689">
      <c r="A689" s="1">
        <v>688.0</v>
      </c>
      <c r="B689" s="1" t="s">
        <v>1872</v>
      </c>
      <c r="C689" s="1" t="s">
        <v>21</v>
      </c>
      <c r="K689" s="1">
        <v>30.0</v>
      </c>
      <c r="N689" s="5">
        <v>44735.0</v>
      </c>
      <c r="Q689" s="1" t="s">
        <v>496</v>
      </c>
    </row>
    <row r="690">
      <c r="A690" s="1">
        <v>689.0</v>
      </c>
      <c r="B690" s="1" t="s">
        <v>1873</v>
      </c>
      <c r="C690" s="1" t="s">
        <v>21</v>
      </c>
      <c r="N690" s="5">
        <v>44774.0</v>
      </c>
      <c r="Q690" s="1" t="s">
        <v>402</v>
      </c>
    </row>
    <row r="691">
      <c r="A691" s="1">
        <v>690.0</v>
      </c>
      <c r="B691" s="1" t="s">
        <v>1874</v>
      </c>
      <c r="C691" s="1" t="s">
        <v>21</v>
      </c>
      <c r="N691" s="5">
        <v>44953.0</v>
      </c>
      <c r="Q691" s="1" t="s">
        <v>402</v>
      </c>
    </row>
    <row r="692">
      <c r="A692" s="1">
        <v>691.0</v>
      </c>
      <c r="B692" s="1" t="s">
        <v>1875</v>
      </c>
      <c r="C692" s="1" t="s">
        <v>21</v>
      </c>
      <c r="K692" s="1">
        <v>150.0</v>
      </c>
      <c r="N692" s="5">
        <v>45205.0</v>
      </c>
      <c r="Q692" s="1" t="s">
        <v>1876</v>
      </c>
    </row>
    <row r="693">
      <c r="A693" s="1">
        <v>692.0</v>
      </c>
      <c r="B693" s="1" t="s">
        <v>1877</v>
      </c>
      <c r="C693" s="1" t="s">
        <v>21</v>
      </c>
      <c r="N693" s="5">
        <v>44746.0</v>
      </c>
      <c r="Q693" s="1" t="s">
        <v>402</v>
      </c>
    </row>
    <row r="694">
      <c r="A694" s="1">
        <v>693.0</v>
      </c>
      <c r="B694" s="1" t="s">
        <v>1878</v>
      </c>
      <c r="C694" s="1" t="s">
        <v>21</v>
      </c>
      <c r="K694" s="1">
        <v>20.0</v>
      </c>
      <c r="N694" s="5">
        <v>45221.0</v>
      </c>
      <c r="Q694" s="1" t="s">
        <v>1879</v>
      </c>
    </row>
    <row r="695">
      <c r="A695" s="1">
        <v>694.0</v>
      </c>
      <c r="B695" s="1" t="s">
        <v>1880</v>
      </c>
      <c r="C695" s="1" t="s">
        <v>21</v>
      </c>
      <c r="N695" s="5">
        <v>45394.0</v>
      </c>
      <c r="Q695" s="1" t="s">
        <v>1881</v>
      </c>
    </row>
    <row r="696">
      <c r="A696" s="1">
        <v>695.0</v>
      </c>
      <c r="B696" s="1" t="s">
        <v>1882</v>
      </c>
      <c r="C696" s="1" t="s">
        <v>21</v>
      </c>
      <c r="N696" s="5">
        <v>44229.0</v>
      </c>
      <c r="Q696" s="1" t="s">
        <v>402</v>
      </c>
    </row>
    <row r="697">
      <c r="A697" s="1">
        <v>696.0</v>
      </c>
      <c r="B697" s="1" t="s">
        <v>1883</v>
      </c>
      <c r="C697" s="1" t="s">
        <v>21</v>
      </c>
      <c r="N697" s="5">
        <v>44135.0</v>
      </c>
      <c r="Q697" s="1" t="s">
        <v>402</v>
      </c>
    </row>
    <row r="698">
      <c r="A698" s="1">
        <v>697.0</v>
      </c>
      <c r="B698" s="1" t="s">
        <v>1884</v>
      </c>
      <c r="C698" s="1" t="s">
        <v>21</v>
      </c>
      <c r="N698" s="5">
        <v>43890.0</v>
      </c>
      <c r="Q698" s="1" t="s">
        <v>402</v>
      </c>
    </row>
    <row r="699">
      <c r="A699" s="1">
        <v>698.0</v>
      </c>
      <c r="B699" s="1" t="s">
        <v>1885</v>
      </c>
      <c r="C699" s="1" t="s">
        <v>21</v>
      </c>
      <c r="K699" s="1">
        <v>50.0</v>
      </c>
      <c r="N699" s="5">
        <v>45433.0</v>
      </c>
      <c r="Q699" s="1" t="s">
        <v>1886</v>
      </c>
    </row>
    <row r="700">
      <c r="A700" s="1">
        <v>699.0</v>
      </c>
      <c r="B700" s="1" t="s">
        <v>1887</v>
      </c>
      <c r="C700" s="1" t="s">
        <v>21</v>
      </c>
      <c r="N700" s="5">
        <v>44932.0</v>
      </c>
      <c r="Q700" s="1" t="s">
        <v>1888</v>
      </c>
    </row>
    <row r="701">
      <c r="A701" s="1">
        <v>700.0</v>
      </c>
      <c r="B701" s="1" t="s">
        <v>1889</v>
      </c>
      <c r="C701" s="1" t="s">
        <v>21</v>
      </c>
      <c r="K701" s="1">
        <v>30.0</v>
      </c>
      <c r="N701" s="5">
        <v>45696.0</v>
      </c>
      <c r="Q701" s="1" t="s">
        <v>1890</v>
      </c>
    </row>
    <row r="702">
      <c r="A702" s="1">
        <v>701.0</v>
      </c>
      <c r="B702" s="1" t="s">
        <v>1891</v>
      </c>
      <c r="C702" s="1" t="s">
        <v>21</v>
      </c>
      <c r="N702" s="5">
        <v>45596.0</v>
      </c>
      <c r="Q702" s="1" t="s">
        <v>1892</v>
      </c>
    </row>
    <row r="703">
      <c r="A703" s="1">
        <v>702.0</v>
      </c>
      <c r="B703" s="1" t="s">
        <v>78</v>
      </c>
      <c r="C703" s="1" t="s">
        <v>21</v>
      </c>
      <c r="D703" s="1">
        <v>0.0</v>
      </c>
      <c r="I703" s="4">
        <v>46237.51724537037</v>
      </c>
      <c r="K703" s="1">
        <v>90.0</v>
      </c>
      <c r="N703" s="5">
        <v>44305.0</v>
      </c>
      <c r="Q703" s="1" t="s">
        <v>80</v>
      </c>
    </row>
    <row r="704">
      <c r="A704" s="1">
        <v>703.0</v>
      </c>
      <c r="B704" s="1" t="s">
        <v>1893</v>
      </c>
      <c r="C704" s="1" t="s">
        <v>21</v>
      </c>
      <c r="K704" s="1">
        <v>300.0</v>
      </c>
      <c r="N704" s="5">
        <v>45166.0</v>
      </c>
      <c r="Q704" s="1" t="s">
        <v>1894</v>
      </c>
    </row>
    <row r="705">
      <c r="A705" s="1">
        <v>704.0</v>
      </c>
      <c r="B705" s="1" t="s">
        <v>1895</v>
      </c>
      <c r="C705" s="1" t="s">
        <v>21</v>
      </c>
      <c r="K705" s="1">
        <v>40.0</v>
      </c>
      <c r="N705" s="5">
        <v>44480.0</v>
      </c>
      <c r="Q705" s="1" t="s">
        <v>402</v>
      </c>
    </row>
    <row r="706">
      <c r="A706" s="1">
        <v>705.0</v>
      </c>
      <c r="B706" s="1" t="s">
        <v>1896</v>
      </c>
      <c r="C706" s="1" t="s">
        <v>21</v>
      </c>
      <c r="K706" s="1">
        <v>20.0</v>
      </c>
      <c r="N706" s="5">
        <v>45838.0</v>
      </c>
      <c r="Q706" s="1" t="s">
        <v>1897</v>
      </c>
    </row>
    <row r="707">
      <c r="A707" s="1">
        <v>706.0</v>
      </c>
      <c r="B707" s="1" t="s">
        <v>1898</v>
      </c>
      <c r="C707" s="1" t="s">
        <v>21</v>
      </c>
      <c r="K707" s="1">
        <v>10.0</v>
      </c>
      <c r="N707" s="5">
        <v>44012.0</v>
      </c>
      <c r="Q707" s="1" t="s">
        <v>1899</v>
      </c>
    </row>
    <row r="708">
      <c r="A708" s="1">
        <v>707.0</v>
      </c>
      <c r="B708" s="1" t="s">
        <v>1900</v>
      </c>
      <c r="C708" s="1" t="s">
        <v>21</v>
      </c>
      <c r="K708" s="1">
        <v>100.0</v>
      </c>
      <c r="N708" s="5">
        <v>44276.0</v>
      </c>
      <c r="Q708" s="1" t="s">
        <v>1901</v>
      </c>
    </row>
    <row r="709">
      <c r="A709" s="1">
        <v>708.0</v>
      </c>
      <c r="B709" s="1" t="s">
        <v>1902</v>
      </c>
      <c r="C709" s="1" t="s">
        <v>21</v>
      </c>
      <c r="N709" s="5">
        <v>44082.0</v>
      </c>
      <c r="Q709" s="1" t="s">
        <v>1903</v>
      </c>
    </row>
    <row r="710">
      <c r="A710" s="1">
        <v>709.0</v>
      </c>
      <c r="B710" s="1" t="s">
        <v>1904</v>
      </c>
      <c r="C710" s="1" t="s">
        <v>21</v>
      </c>
      <c r="K710" s="1">
        <v>30.0</v>
      </c>
      <c r="N710" s="5">
        <v>45728.0</v>
      </c>
      <c r="Q710" s="1" t="s">
        <v>1905</v>
      </c>
    </row>
    <row r="711">
      <c r="A711" s="1">
        <v>710.0</v>
      </c>
      <c r="B711" s="1" t="s">
        <v>1906</v>
      </c>
      <c r="C711" s="1" t="s">
        <v>21</v>
      </c>
      <c r="K711" s="1">
        <v>300.0</v>
      </c>
      <c r="N711" s="5">
        <v>44029.0</v>
      </c>
      <c r="Q711" s="1" t="s">
        <v>1907</v>
      </c>
    </row>
    <row r="712">
      <c r="A712" s="1">
        <v>711.0</v>
      </c>
      <c r="B712" s="1" t="s">
        <v>1908</v>
      </c>
      <c r="C712" s="1" t="s">
        <v>21</v>
      </c>
      <c r="N712" s="5">
        <v>43958.0</v>
      </c>
      <c r="Q712" s="1" t="s">
        <v>402</v>
      </c>
    </row>
    <row r="713">
      <c r="A713" s="1">
        <v>712.0</v>
      </c>
      <c r="B713" s="1" t="s">
        <v>1909</v>
      </c>
      <c r="C713" s="1" t="s">
        <v>21</v>
      </c>
      <c r="K713" s="1">
        <v>150.0</v>
      </c>
      <c r="N713" s="5">
        <v>45539.0</v>
      </c>
      <c r="Q713" s="1" t="s">
        <v>561</v>
      </c>
    </row>
    <row r="714">
      <c r="A714" s="1">
        <v>713.0</v>
      </c>
      <c r="B714" s="1" t="s">
        <v>1910</v>
      </c>
      <c r="C714" s="1" t="s">
        <v>21</v>
      </c>
      <c r="K714" s="1">
        <v>30.0</v>
      </c>
      <c r="N714" s="5">
        <v>45367.0</v>
      </c>
      <c r="Q714" s="1" t="s">
        <v>1911</v>
      </c>
    </row>
    <row r="715">
      <c r="A715" s="1">
        <v>714.0</v>
      </c>
      <c r="B715" s="1" t="s">
        <v>1912</v>
      </c>
      <c r="C715" s="1" t="s">
        <v>21</v>
      </c>
      <c r="K715" s="1">
        <v>20.0</v>
      </c>
      <c r="N715" s="5">
        <v>45676.0</v>
      </c>
      <c r="Q715" s="1" t="s">
        <v>1913</v>
      </c>
    </row>
    <row r="716">
      <c r="A716" s="1">
        <v>715.0</v>
      </c>
      <c r="B716" s="1" t="s">
        <v>1914</v>
      </c>
      <c r="C716" s="1" t="s">
        <v>21</v>
      </c>
      <c r="K716" s="1">
        <v>10.0</v>
      </c>
      <c r="N716" s="5">
        <v>44006.0</v>
      </c>
      <c r="Q716" s="1" t="s">
        <v>1915</v>
      </c>
    </row>
    <row r="717">
      <c r="A717" s="1">
        <v>716.0</v>
      </c>
      <c r="B717" s="1" t="s">
        <v>1916</v>
      </c>
      <c r="C717" s="1" t="s">
        <v>21</v>
      </c>
      <c r="K717" s="1">
        <v>30.0</v>
      </c>
      <c r="N717" s="5">
        <v>45206.0</v>
      </c>
      <c r="Q717" s="1" t="s">
        <v>1917</v>
      </c>
    </row>
    <row r="718">
      <c r="A718" s="1">
        <v>717.0</v>
      </c>
      <c r="B718" s="1" t="s">
        <v>1918</v>
      </c>
      <c r="C718" s="1" t="s">
        <v>21</v>
      </c>
      <c r="K718" s="1">
        <v>30.0</v>
      </c>
      <c r="N718" s="5">
        <v>44702.0</v>
      </c>
      <c r="Q718" s="1" t="s">
        <v>1919</v>
      </c>
    </row>
    <row r="719">
      <c r="A719" s="1">
        <v>718.0</v>
      </c>
      <c r="B719" s="1" t="s">
        <v>1920</v>
      </c>
      <c r="C719" s="1" t="s">
        <v>21</v>
      </c>
      <c r="K719" s="1">
        <v>70.0</v>
      </c>
      <c r="N719" s="5">
        <v>44020.0</v>
      </c>
      <c r="Q719" s="1" t="s">
        <v>1921</v>
      </c>
    </row>
    <row r="720">
      <c r="A720" s="1">
        <v>719.0</v>
      </c>
      <c r="B720" s="1" t="s">
        <v>1922</v>
      </c>
      <c r="C720" s="1" t="s">
        <v>21</v>
      </c>
      <c r="K720" s="1">
        <v>900.0</v>
      </c>
      <c r="N720" s="5">
        <v>43873.0</v>
      </c>
      <c r="Q720" s="1" t="s">
        <v>1923</v>
      </c>
    </row>
    <row r="721">
      <c r="A721" s="1">
        <v>720.0</v>
      </c>
      <c r="B721" s="1" t="s">
        <v>1924</v>
      </c>
      <c r="C721" s="1" t="s">
        <v>21</v>
      </c>
      <c r="K721" s="1">
        <v>200.0</v>
      </c>
      <c r="N721" s="5">
        <v>44182.0</v>
      </c>
      <c r="Q721" s="1" t="s">
        <v>1925</v>
      </c>
    </row>
    <row r="722">
      <c r="A722" s="1">
        <v>721.0</v>
      </c>
      <c r="B722" s="1" t="s">
        <v>1926</v>
      </c>
      <c r="C722" s="1" t="s">
        <v>21</v>
      </c>
      <c r="K722" s="1">
        <v>40.0</v>
      </c>
      <c r="N722" s="5">
        <v>43899.0</v>
      </c>
      <c r="Q722" s="1" t="s">
        <v>1927</v>
      </c>
    </row>
    <row r="723">
      <c r="A723" s="1">
        <v>722.0</v>
      </c>
      <c r="B723" s="1" t="s">
        <v>1928</v>
      </c>
      <c r="C723" s="1" t="s">
        <v>21</v>
      </c>
      <c r="K723" s="1">
        <v>40.0</v>
      </c>
      <c r="N723" s="5">
        <v>45816.0</v>
      </c>
      <c r="Q723" s="1" t="s">
        <v>1929</v>
      </c>
    </row>
    <row r="724">
      <c r="A724" s="1">
        <v>723.0</v>
      </c>
      <c r="B724" s="1" t="s">
        <v>1930</v>
      </c>
      <c r="C724" s="1" t="s">
        <v>21</v>
      </c>
      <c r="K724" s="1">
        <v>100.0</v>
      </c>
      <c r="N724" s="5">
        <v>44322.0</v>
      </c>
      <c r="Q724" s="1" t="s">
        <v>1931</v>
      </c>
    </row>
    <row r="725">
      <c r="A725" s="1">
        <v>724.0</v>
      </c>
      <c r="B725" s="1" t="s">
        <v>1932</v>
      </c>
      <c r="C725" s="1" t="s">
        <v>21</v>
      </c>
      <c r="K725" s="1">
        <v>200.0</v>
      </c>
      <c r="N725" s="5">
        <v>43989.0</v>
      </c>
      <c r="Q725" s="1" t="s">
        <v>1933</v>
      </c>
    </row>
    <row r="726">
      <c r="A726" s="1">
        <v>725.0</v>
      </c>
      <c r="B726" s="1" t="s">
        <v>1934</v>
      </c>
      <c r="C726" s="1" t="s">
        <v>21</v>
      </c>
      <c r="N726" s="5">
        <v>44641.0</v>
      </c>
      <c r="Q726" s="1" t="s">
        <v>402</v>
      </c>
    </row>
    <row r="727">
      <c r="A727" s="1">
        <v>726.0</v>
      </c>
      <c r="B727" s="1" t="s">
        <v>1935</v>
      </c>
      <c r="C727" s="1" t="s">
        <v>21</v>
      </c>
      <c r="K727" s="1">
        <v>300.0</v>
      </c>
      <c r="N727" s="5">
        <v>44287.0</v>
      </c>
      <c r="Q727" s="1" t="s">
        <v>1936</v>
      </c>
    </row>
    <row r="728">
      <c r="A728" s="1">
        <v>727.0</v>
      </c>
      <c r="B728" s="1" t="s">
        <v>1937</v>
      </c>
      <c r="C728" s="1" t="s">
        <v>21</v>
      </c>
      <c r="K728" s="1">
        <v>20.0</v>
      </c>
      <c r="N728" s="5">
        <v>44716.0</v>
      </c>
      <c r="Q728" s="1" t="s">
        <v>1938</v>
      </c>
    </row>
    <row r="729">
      <c r="A729" s="1">
        <v>728.0</v>
      </c>
      <c r="B729" s="1" t="s">
        <v>1939</v>
      </c>
      <c r="C729" s="1" t="s">
        <v>21</v>
      </c>
      <c r="K729" s="1">
        <v>70.0</v>
      </c>
      <c r="N729" s="5">
        <v>44588.0</v>
      </c>
      <c r="Q729" s="1" t="s">
        <v>402</v>
      </c>
    </row>
    <row r="730">
      <c r="A730" s="1">
        <v>729.0</v>
      </c>
      <c r="B730" s="1" t="s">
        <v>1940</v>
      </c>
      <c r="C730" s="1" t="s">
        <v>21</v>
      </c>
      <c r="N730" s="5">
        <v>43864.0</v>
      </c>
      <c r="Q730" s="1" t="s">
        <v>402</v>
      </c>
    </row>
    <row r="731">
      <c r="A731" s="1">
        <v>730.0</v>
      </c>
      <c r="B731" s="1" t="s">
        <v>1941</v>
      </c>
      <c r="C731" s="1" t="s">
        <v>21</v>
      </c>
      <c r="K731" s="1">
        <v>350.0</v>
      </c>
      <c r="N731" s="5">
        <v>44274.0</v>
      </c>
      <c r="Q731" s="1" t="s">
        <v>1942</v>
      </c>
    </row>
    <row r="732">
      <c r="A732" s="1">
        <v>731.0</v>
      </c>
      <c r="B732" s="1" t="s">
        <v>1943</v>
      </c>
      <c r="C732" s="1" t="s">
        <v>21</v>
      </c>
      <c r="K732" s="1">
        <v>30.0</v>
      </c>
      <c r="N732" s="5">
        <v>45033.0</v>
      </c>
      <c r="Q732" s="1" t="s">
        <v>1944</v>
      </c>
    </row>
    <row r="733">
      <c r="A733" s="1">
        <v>732.0</v>
      </c>
      <c r="B733" s="1" t="s">
        <v>1945</v>
      </c>
      <c r="C733" s="1" t="s">
        <v>21</v>
      </c>
      <c r="K733" s="1">
        <v>30.0</v>
      </c>
      <c r="N733" s="5">
        <v>45398.0</v>
      </c>
      <c r="Q733" s="1" t="s">
        <v>1946</v>
      </c>
    </row>
    <row r="734">
      <c r="A734" s="1">
        <v>733.0</v>
      </c>
      <c r="B734" s="1" t="s">
        <v>1947</v>
      </c>
      <c r="C734" s="1" t="s">
        <v>21</v>
      </c>
      <c r="K734" s="1">
        <v>40.0</v>
      </c>
      <c r="N734" s="5">
        <v>43878.0</v>
      </c>
      <c r="Q734" s="1" t="s">
        <v>1948</v>
      </c>
    </row>
    <row r="735">
      <c r="A735" s="1">
        <v>734.0</v>
      </c>
      <c r="B735" s="1" t="s">
        <v>1949</v>
      </c>
      <c r="C735" s="1" t="s">
        <v>21</v>
      </c>
      <c r="K735" s="1">
        <v>70.0</v>
      </c>
      <c r="N735" s="5">
        <v>43940.0</v>
      </c>
      <c r="Q735" s="1" t="s">
        <v>402</v>
      </c>
    </row>
    <row r="736">
      <c r="A736" s="1">
        <v>735.0</v>
      </c>
      <c r="B736" s="1" t="s">
        <v>1950</v>
      </c>
      <c r="C736" s="1" t="s">
        <v>21</v>
      </c>
      <c r="K736" s="1">
        <v>20.0</v>
      </c>
      <c r="N736" s="5">
        <v>43846.0</v>
      </c>
      <c r="Q736" s="1" t="s">
        <v>1045</v>
      </c>
    </row>
    <row r="737">
      <c r="A737" s="1">
        <v>736.0</v>
      </c>
      <c r="B737" s="1" t="s">
        <v>1951</v>
      </c>
      <c r="C737" s="1" t="s">
        <v>21</v>
      </c>
      <c r="K737" s="1">
        <v>20.0</v>
      </c>
      <c r="N737" s="5">
        <v>45611.0</v>
      </c>
      <c r="Q737" s="1" t="s">
        <v>1952</v>
      </c>
    </row>
    <row r="738">
      <c r="A738" s="1">
        <v>737.0</v>
      </c>
      <c r="B738" s="1" t="s">
        <v>1953</v>
      </c>
      <c r="C738" s="1" t="s">
        <v>21</v>
      </c>
      <c r="K738" s="1">
        <v>50.0</v>
      </c>
      <c r="N738" s="5">
        <v>45387.0</v>
      </c>
      <c r="Q738" s="1" t="s">
        <v>1954</v>
      </c>
    </row>
    <row r="739">
      <c r="A739" s="1">
        <v>738.0</v>
      </c>
      <c r="B739" s="1" t="s">
        <v>1955</v>
      </c>
      <c r="C739" s="1" t="s">
        <v>21</v>
      </c>
      <c r="K739" s="1">
        <v>10.0</v>
      </c>
      <c r="N739" s="5">
        <v>44456.0</v>
      </c>
      <c r="Q739" s="1" t="s">
        <v>402</v>
      </c>
    </row>
    <row r="740">
      <c r="A740" s="1">
        <v>739.0</v>
      </c>
      <c r="B740" s="1" t="s">
        <v>1956</v>
      </c>
      <c r="C740" s="1" t="s">
        <v>21</v>
      </c>
      <c r="K740" s="1">
        <v>450.0</v>
      </c>
      <c r="N740" s="5">
        <v>44145.0</v>
      </c>
      <c r="Q740" s="1" t="s">
        <v>1957</v>
      </c>
    </row>
    <row r="741">
      <c r="A741" s="1">
        <v>740.0</v>
      </c>
      <c r="B741" s="1" t="s">
        <v>1958</v>
      </c>
      <c r="C741" s="1" t="s">
        <v>21</v>
      </c>
      <c r="K741" s="1">
        <v>30.0</v>
      </c>
      <c r="N741" s="5">
        <v>44423.0</v>
      </c>
      <c r="Q741" s="1" t="s">
        <v>1959</v>
      </c>
    </row>
    <row r="742">
      <c r="A742" s="1">
        <v>741.0</v>
      </c>
      <c r="B742" s="1" t="s">
        <v>1960</v>
      </c>
      <c r="C742" s="1" t="s">
        <v>21</v>
      </c>
      <c r="K742" s="1">
        <v>10.0</v>
      </c>
      <c r="N742" s="5">
        <v>44374.0</v>
      </c>
      <c r="Q742" s="1" t="s">
        <v>402</v>
      </c>
    </row>
    <row r="743">
      <c r="A743" s="1">
        <v>742.0</v>
      </c>
      <c r="B743" s="1" t="s">
        <v>1961</v>
      </c>
      <c r="C743" s="1" t="s">
        <v>21</v>
      </c>
      <c r="K743" s="1">
        <v>60.0</v>
      </c>
      <c r="N743" s="5">
        <v>44993.0</v>
      </c>
      <c r="Q743" s="1" t="s">
        <v>402</v>
      </c>
    </row>
    <row r="744">
      <c r="A744" s="1">
        <v>743.0</v>
      </c>
      <c r="B744" s="1" t="s">
        <v>1962</v>
      </c>
      <c r="C744" s="1" t="s">
        <v>21</v>
      </c>
      <c r="K744" s="1">
        <v>20.0</v>
      </c>
      <c r="N744" s="5">
        <v>44903.0</v>
      </c>
      <c r="Q744" s="1" t="s">
        <v>1963</v>
      </c>
    </row>
    <row r="745">
      <c r="A745" s="1">
        <v>744.0</v>
      </c>
      <c r="B745" s="1" t="s">
        <v>1964</v>
      </c>
      <c r="C745" s="1" t="s">
        <v>21</v>
      </c>
      <c r="K745" s="1">
        <v>150.0</v>
      </c>
      <c r="N745" s="5">
        <v>44270.0</v>
      </c>
      <c r="Q745" s="1" t="s">
        <v>1965</v>
      </c>
    </row>
    <row r="746">
      <c r="A746" s="1">
        <v>745.0</v>
      </c>
      <c r="B746" s="1" t="s">
        <v>1966</v>
      </c>
      <c r="C746" s="1" t="s">
        <v>21</v>
      </c>
      <c r="N746" s="5">
        <v>44137.0</v>
      </c>
      <c r="Q746" s="1" t="s">
        <v>402</v>
      </c>
    </row>
    <row r="747">
      <c r="A747" s="1">
        <v>746.0</v>
      </c>
      <c r="B747" s="1" t="s">
        <v>1967</v>
      </c>
      <c r="C747" s="1" t="s">
        <v>21</v>
      </c>
      <c r="K747" s="1">
        <v>20.0</v>
      </c>
      <c r="N747" s="5">
        <v>43864.0</v>
      </c>
      <c r="Q747" s="1" t="s">
        <v>1968</v>
      </c>
    </row>
    <row r="748">
      <c r="A748" s="1">
        <v>747.0</v>
      </c>
      <c r="B748" s="1" t="s">
        <v>1969</v>
      </c>
      <c r="C748" s="1" t="s">
        <v>21</v>
      </c>
      <c r="K748" s="1">
        <v>70.0</v>
      </c>
      <c r="N748" s="5">
        <v>45171.0</v>
      </c>
      <c r="Q748" s="1" t="s">
        <v>1970</v>
      </c>
    </row>
    <row r="749">
      <c r="A749" s="1">
        <v>748.0</v>
      </c>
      <c r="B749" s="1" t="s">
        <v>1971</v>
      </c>
      <c r="C749" s="1" t="s">
        <v>21</v>
      </c>
      <c r="K749" s="1">
        <v>90.0</v>
      </c>
      <c r="N749" s="5">
        <v>44414.0</v>
      </c>
      <c r="Q749" s="1" t="s">
        <v>1972</v>
      </c>
    </row>
    <row r="750">
      <c r="A750" s="1">
        <v>749.0</v>
      </c>
      <c r="B750" s="1" t="s">
        <v>1973</v>
      </c>
      <c r="C750" s="1" t="s">
        <v>21</v>
      </c>
      <c r="K750" s="1">
        <v>30.0</v>
      </c>
      <c r="N750" s="5">
        <v>44902.0</v>
      </c>
      <c r="Q750" s="1" t="s">
        <v>1974</v>
      </c>
    </row>
    <row r="751">
      <c r="A751" s="1">
        <v>750.0</v>
      </c>
      <c r="B751" s="1" t="s">
        <v>83</v>
      </c>
      <c r="C751" s="1" t="s">
        <v>21</v>
      </c>
      <c r="D751" s="1">
        <v>0.0</v>
      </c>
      <c r="H751" s="1" t="s">
        <v>84</v>
      </c>
      <c r="I751" s="4">
        <v>46237.517233796294</v>
      </c>
      <c r="K751" s="1">
        <v>70.0</v>
      </c>
      <c r="N751" s="5">
        <v>44298.0</v>
      </c>
      <c r="Q751" s="1" t="s">
        <v>86</v>
      </c>
    </row>
    <row r="752">
      <c r="A752" s="1">
        <v>751.0</v>
      </c>
      <c r="B752" s="1" t="s">
        <v>1975</v>
      </c>
      <c r="C752" s="1" t="s">
        <v>21</v>
      </c>
      <c r="N752" s="5">
        <v>45750.0</v>
      </c>
      <c r="Q752" s="1" t="s">
        <v>1976</v>
      </c>
    </row>
    <row r="753">
      <c r="A753" s="1">
        <v>752.0</v>
      </c>
      <c r="B753" s="1" t="s">
        <v>1977</v>
      </c>
      <c r="C753" s="1" t="s">
        <v>21</v>
      </c>
      <c r="K753" s="1">
        <v>100.0</v>
      </c>
      <c r="N753" s="5">
        <v>43967.0</v>
      </c>
      <c r="Q753" s="1" t="s">
        <v>1978</v>
      </c>
    </row>
    <row r="754">
      <c r="A754" s="1">
        <v>753.0</v>
      </c>
      <c r="B754" s="1" t="s">
        <v>1979</v>
      </c>
      <c r="C754" s="1" t="s">
        <v>21</v>
      </c>
      <c r="K754" s="1">
        <v>20.0</v>
      </c>
      <c r="N754" s="5">
        <v>45481.0</v>
      </c>
      <c r="Q754" s="1" t="s">
        <v>1980</v>
      </c>
    </row>
    <row r="755">
      <c r="A755" s="1">
        <v>754.0</v>
      </c>
      <c r="B755" s="1" t="s">
        <v>1981</v>
      </c>
      <c r="C755" s="1" t="s">
        <v>21</v>
      </c>
      <c r="K755" s="1">
        <v>90.0</v>
      </c>
      <c r="N755" s="5">
        <v>44696.0</v>
      </c>
      <c r="Q755" s="1" t="s">
        <v>1982</v>
      </c>
    </row>
    <row r="756">
      <c r="A756" s="1">
        <v>755.0</v>
      </c>
      <c r="B756" s="1" t="s">
        <v>1983</v>
      </c>
      <c r="C756" s="1" t="s">
        <v>21</v>
      </c>
      <c r="N756" s="5">
        <v>44968.0</v>
      </c>
      <c r="Q756" s="1" t="s">
        <v>402</v>
      </c>
    </row>
    <row r="757">
      <c r="A757" s="1">
        <v>756.0</v>
      </c>
      <c r="B757" s="1" t="s">
        <v>1984</v>
      </c>
      <c r="C757" s="1" t="s">
        <v>21</v>
      </c>
      <c r="K757" s="1">
        <v>40.0</v>
      </c>
      <c r="N757" s="5">
        <v>45011.0</v>
      </c>
      <c r="Q757" s="1" t="s">
        <v>1985</v>
      </c>
    </row>
    <row r="758">
      <c r="A758" s="1">
        <v>757.0</v>
      </c>
      <c r="B758" s="1" t="s">
        <v>1986</v>
      </c>
      <c r="C758" s="1" t="s">
        <v>21</v>
      </c>
      <c r="K758" s="1">
        <v>10.0</v>
      </c>
      <c r="N758" s="5">
        <v>45750.0</v>
      </c>
      <c r="Q758" s="1" t="s">
        <v>1987</v>
      </c>
    </row>
    <row r="759">
      <c r="A759" s="1">
        <v>758.0</v>
      </c>
      <c r="B759" s="1" t="s">
        <v>1988</v>
      </c>
      <c r="C759" s="1" t="s">
        <v>21</v>
      </c>
      <c r="K759" s="1">
        <v>100.0</v>
      </c>
      <c r="N759" s="5">
        <v>44645.0</v>
      </c>
      <c r="Q759" s="1" t="s">
        <v>1342</v>
      </c>
    </row>
    <row r="760">
      <c r="A760" s="1">
        <v>759.0</v>
      </c>
      <c r="B760" s="1" t="s">
        <v>1989</v>
      </c>
      <c r="C760" s="1" t="s">
        <v>21</v>
      </c>
      <c r="K760" s="1">
        <v>300.0</v>
      </c>
      <c r="N760" s="5">
        <v>45319.0</v>
      </c>
      <c r="Q760" s="1" t="s">
        <v>1990</v>
      </c>
    </row>
    <row r="761">
      <c r="A761" s="1">
        <v>760.0</v>
      </c>
      <c r="B761" s="1" t="s">
        <v>1991</v>
      </c>
      <c r="C761" s="1" t="s">
        <v>21</v>
      </c>
      <c r="K761" s="1">
        <v>40.0</v>
      </c>
      <c r="N761" s="5">
        <v>44361.0</v>
      </c>
      <c r="Q761" s="1" t="s">
        <v>1992</v>
      </c>
    </row>
    <row r="762">
      <c r="A762" s="1">
        <v>761.0</v>
      </c>
      <c r="B762" s="1" t="s">
        <v>1993</v>
      </c>
      <c r="C762" s="1" t="s">
        <v>21</v>
      </c>
      <c r="N762" s="5">
        <v>44655.0</v>
      </c>
      <c r="Q762" s="1" t="s">
        <v>402</v>
      </c>
    </row>
    <row r="763">
      <c r="A763" s="1">
        <v>762.0</v>
      </c>
      <c r="B763" s="1" t="s">
        <v>1994</v>
      </c>
      <c r="C763" s="1" t="s">
        <v>21</v>
      </c>
      <c r="K763" s="1">
        <v>40.0</v>
      </c>
      <c r="N763" s="5">
        <v>44710.0</v>
      </c>
      <c r="Q763" s="1" t="s">
        <v>1995</v>
      </c>
    </row>
    <row r="764">
      <c r="A764" s="1">
        <v>763.0</v>
      </c>
      <c r="B764" s="1" t="s">
        <v>1996</v>
      </c>
      <c r="C764" s="1" t="s">
        <v>21</v>
      </c>
      <c r="K764" s="1">
        <v>100.0</v>
      </c>
      <c r="N764" s="5">
        <v>44029.0</v>
      </c>
      <c r="Q764" s="1" t="s">
        <v>1997</v>
      </c>
    </row>
    <row r="765">
      <c r="A765" s="1">
        <v>764.0</v>
      </c>
      <c r="B765" s="1" t="s">
        <v>1998</v>
      </c>
      <c r="C765" s="1" t="s">
        <v>21</v>
      </c>
      <c r="K765" s="1">
        <v>20.0</v>
      </c>
      <c r="N765" s="5">
        <v>45686.0</v>
      </c>
      <c r="Q765" s="1" t="s">
        <v>1999</v>
      </c>
    </row>
    <row r="766">
      <c r="A766" s="1">
        <v>765.0</v>
      </c>
      <c r="B766" s="1" t="s">
        <v>2000</v>
      </c>
      <c r="C766" s="1" t="s">
        <v>21</v>
      </c>
      <c r="K766" s="1">
        <v>10.0</v>
      </c>
      <c r="N766" s="5">
        <v>45298.0</v>
      </c>
      <c r="Q766" s="1" t="s">
        <v>2001</v>
      </c>
    </row>
    <row r="767">
      <c r="A767" s="1">
        <v>766.0</v>
      </c>
      <c r="B767" s="1" t="s">
        <v>2002</v>
      </c>
      <c r="C767" s="1" t="s">
        <v>21</v>
      </c>
      <c r="K767" s="1">
        <v>10.0</v>
      </c>
      <c r="N767" s="5">
        <v>44845.0</v>
      </c>
      <c r="Q767" s="1" t="s">
        <v>2003</v>
      </c>
    </row>
    <row r="768">
      <c r="A768" s="1">
        <v>767.0</v>
      </c>
      <c r="B768" s="1" t="s">
        <v>2004</v>
      </c>
      <c r="C768" s="1" t="s">
        <v>21</v>
      </c>
      <c r="K768" s="1">
        <v>200.0</v>
      </c>
      <c r="N768" s="5">
        <v>44210.0</v>
      </c>
      <c r="Q768" s="1" t="s">
        <v>2005</v>
      </c>
    </row>
    <row r="769">
      <c r="A769" s="1">
        <v>768.0</v>
      </c>
      <c r="B769" s="1" t="s">
        <v>2006</v>
      </c>
      <c r="C769" s="1" t="s">
        <v>21</v>
      </c>
      <c r="K769" s="1">
        <v>50.0</v>
      </c>
      <c r="N769" s="5">
        <v>44196.0</v>
      </c>
      <c r="Q769" s="1" t="s">
        <v>1342</v>
      </c>
    </row>
    <row r="770">
      <c r="A770" s="1">
        <v>769.0</v>
      </c>
      <c r="B770" s="1" t="s">
        <v>2007</v>
      </c>
      <c r="C770" s="1" t="s">
        <v>21</v>
      </c>
      <c r="N770" s="5">
        <v>44886.0</v>
      </c>
      <c r="Q770" s="1" t="s">
        <v>402</v>
      </c>
    </row>
    <row r="771">
      <c r="A771" s="1">
        <v>770.0</v>
      </c>
      <c r="B771" s="1" t="s">
        <v>2008</v>
      </c>
      <c r="C771" s="1" t="s">
        <v>21</v>
      </c>
      <c r="K771" s="1">
        <v>90.0</v>
      </c>
      <c r="N771" s="5">
        <v>44777.0</v>
      </c>
      <c r="Q771" s="1" t="s">
        <v>2009</v>
      </c>
    </row>
    <row r="772">
      <c r="A772" s="1">
        <v>771.0</v>
      </c>
      <c r="B772" s="1" t="s">
        <v>2010</v>
      </c>
      <c r="C772" s="1" t="s">
        <v>21</v>
      </c>
      <c r="K772" s="1">
        <v>350.0</v>
      </c>
      <c r="N772" s="5">
        <v>43893.0</v>
      </c>
      <c r="Q772" s="1" t="s">
        <v>2011</v>
      </c>
    </row>
    <row r="773">
      <c r="A773" s="1">
        <v>772.0</v>
      </c>
      <c r="B773" s="1" t="s">
        <v>2012</v>
      </c>
      <c r="C773" s="1" t="s">
        <v>21</v>
      </c>
      <c r="K773" s="1">
        <v>60.0</v>
      </c>
      <c r="N773" s="5">
        <v>44301.0</v>
      </c>
      <c r="Q773" s="1" t="s">
        <v>402</v>
      </c>
    </row>
    <row r="774">
      <c r="A774" s="1">
        <v>773.0</v>
      </c>
      <c r="B774" s="1" t="s">
        <v>2013</v>
      </c>
      <c r="C774" s="1" t="s">
        <v>21</v>
      </c>
      <c r="N774" s="5">
        <v>46101.0</v>
      </c>
      <c r="Q774" s="1" t="s">
        <v>2014</v>
      </c>
    </row>
    <row r="775">
      <c r="A775" s="1">
        <v>774.0</v>
      </c>
      <c r="B775" s="1" t="s">
        <v>2015</v>
      </c>
      <c r="C775" s="1" t="s">
        <v>21</v>
      </c>
      <c r="K775" s="1">
        <v>20.0</v>
      </c>
      <c r="N775" s="5">
        <v>45290.0</v>
      </c>
      <c r="Q775" s="1" t="s">
        <v>1317</v>
      </c>
    </row>
    <row r="776">
      <c r="A776" s="1">
        <v>775.0</v>
      </c>
      <c r="B776" s="1" t="s">
        <v>2016</v>
      </c>
      <c r="C776" s="1" t="s">
        <v>21</v>
      </c>
      <c r="K776" s="1">
        <v>100.0</v>
      </c>
      <c r="N776" s="5">
        <v>43992.0</v>
      </c>
      <c r="Q776" s="1" t="s">
        <v>2017</v>
      </c>
    </row>
    <row r="777">
      <c r="A777" s="1">
        <v>776.0</v>
      </c>
      <c r="B777" s="1" t="s">
        <v>2018</v>
      </c>
      <c r="C777" s="1" t="s">
        <v>21</v>
      </c>
      <c r="K777" s="1">
        <v>150.0</v>
      </c>
      <c r="N777" s="5">
        <v>45414.0</v>
      </c>
      <c r="Q777" s="1" t="s">
        <v>2019</v>
      </c>
    </row>
    <row r="778">
      <c r="A778" s="1">
        <v>777.0</v>
      </c>
      <c r="B778" s="1" t="s">
        <v>2020</v>
      </c>
      <c r="C778" s="1" t="s">
        <v>21</v>
      </c>
      <c r="K778" s="1">
        <v>40.0</v>
      </c>
      <c r="N778" s="5">
        <v>44637.0</v>
      </c>
      <c r="Q778" s="1" t="s">
        <v>2021</v>
      </c>
    </row>
    <row r="779">
      <c r="A779" s="1">
        <v>778.0</v>
      </c>
      <c r="B779" s="1" t="s">
        <v>2022</v>
      </c>
      <c r="C779" s="1" t="s">
        <v>21</v>
      </c>
      <c r="K779" s="1">
        <v>10.0</v>
      </c>
      <c r="N779" s="5">
        <v>44555.0</v>
      </c>
      <c r="Q779" s="1" t="s">
        <v>2023</v>
      </c>
    </row>
    <row r="780">
      <c r="A780" s="1">
        <v>779.0</v>
      </c>
      <c r="B780" s="1" t="s">
        <v>2024</v>
      </c>
      <c r="C780" s="1" t="s">
        <v>21</v>
      </c>
      <c r="K780" s="1">
        <v>40.0</v>
      </c>
      <c r="N780" s="5">
        <v>45527.0</v>
      </c>
      <c r="Q780" s="1" t="s">
        <v>2025</v>
      </c>
    </row>
    <row r="781">
      <c r="A781" s="1">
        <v>780.0</v>
      </c>
      <c r="B781" s="1" t="s">
        <v>2026</v>
      </c>
      <c r="C781" s="1" t="s">
        <v>21</v>
      </c>
      <c r="K781" s="1">
        <v>100.0</v>
      </c>
      <c r="N781" s="5">
        <v>44291.0</v>
      </c>
      <c r="Q781" s="1" t="s">
        <v>2027</v>
      </c>
    </row>
    <row r="782">
      <c r="A782" s="1">
        <v>781.0</v>
      </c>
      <c r="B782" s="1" t="s">
        <v>2028</v>
      </c>
      <c r="C782" s="1" t="s">
        <v>21</v>
      </c>
      <c r="N782" s="5">
        <v>45763.0</v>
      </c>
      <c r="Q782" s="1" t="s">
        <v>2029</v>
      </c>
    </row>
    <row r="783">
      <c r="A783" s="1">
        <v>782.0</v>
      </c>
      <c r="B783" s="1" t="s">
        <v>2030</v>
      </c>
      <c r="C783" s="1" t="s">
        <v>21</v>
      </c>
      <c r="K783" s="1">
        <v>80.0</v>
      </c>
      <c r="N783" s="5">
        <v>45363.0</v>
      </c>
      <c r="Q783" s="1" t="s">
        <v>2031</v>
      </c>
    </row>
    <row r="784">
      <c r="A784" s="1">
        <v>783.0</v>
      </c>
      <c r="B784" s="1" t="s">
        <v>2032</v>
      </c>
      <c r="C784" s="1" t="s">
        <v>21</v>
      </c>
      <c r="K784" s="1">
        <v>40.0</v>
      </c>
      <c r="N784" s="5">
        <v>43954.0</v>
      </c>
      <c r="Q784" s="1" t="s">
        <v>2033</v>
      </c>
    </row>
    <row r="785">
      <c r="A785" s="1">
        <v>784.0</v>
      </c>
      <c r="B785" s="1" t="s">
        <v>2034</v>
      </c>
      <c r="C785" s="1" t="s">
        <v>21</v>
      </c>
      <c r="N785" s="5">
        <v>43847.0</v>
      </c>
      <c r="Q785" s="1" t="s">
        <v>402</v>
      </c>
    </row>
    <row r="786">
      <c r="A786" s="1">
        <v>785.0</v>
      </c>
      <c r="B786" s="1" t="s">
        <v>2035</v>
      </c>
      <c r="C786" s="1" t="s">
        <v>21</v>
      </c>
      <c r="K786" s="1">
        <v>30.0</v>
      </c>
      <c r="N786" s="5">
        <v>45583.0</v>
      </c>
      <c r="Q786" s="1" t="s">
        <v>2036</v>
      </c>
    </row>
    <row r="787">
      <c r="A787" s="1">
        <v>786.0</v>
      </c>
      <c r="B787" s="1" t="s">
        <v>2037</v>
      </c>
      <c r="C787" s="1" t="s">
        <v>21</v>
      </c>
      <c r="K787" s="1">
        <v>30.0</v>
      </c>
      <c r="N787" s="5">
        <v>45331.0</v>
      </c>
      <c r="Q787" s="1" t="s">
        <v>2038</v>
      </c>
    </row>
    <row r="788">
      <c r="A788" s="1">
        <v>787.0</v>
      </c>
      <c r="B788" s="1" t="s">
        <v>2039</v>
      </c>
      <c r="C788" s="1" t="s">
        <v>21</v>
      </c>
      <c r="K788" s="1">
        <v>100.0</v>
      </c>
      <c r="N788" s="5">
        <v>43854.0</v>
      </c>
      <c r="Q788" s="1" t="s">
        <v>2040</v>
      </c>
    </row>
    <row r="789">
      <c r="A789" s="1">
        <v>788.0</v>
      </c>
      <c r="B789" s="1" t="s">
        <v>2041</v>
      </c>
      <c r="C789" s="1" t="s">
        <v>21</v>
      </c>
      <c r="K789" s="1">
        <v>10.0</v>
      </c>
      <c r="N789" s="5">
        <v>44400.0</v>
      </c>
      <c r="Q789" s="1" t="s">
        <v>402</v>
      </c>
    </row>
    <row r="790">
      <c r="A790" s="1">
        <v>789.0</v>
      </c>
      <c r="B790" s="1" t="s">
        <v>2042</v>
      </c>
      <c r="C790" s="1" t="s">
        <v>21</v>
      </c>
      <c r="K790" s="1">
        <v>50.0</v>
      </c>
      <c r="N790" s="5">
        <v>45722.0</v>
      </c>
      <c r="Q790" s="1" t="s">
        <v>2043</v>
      </c>
    </row>
    <row r="791">
      <c r="A791" s="1">
        <v>790.0</v>
      </c>
      <c r="B791" s="1" t="s">
        <v>2044</v>
      </c>
      <c r="C791" s="1" t="s">
        <v>21</v>
      </c>
      <c r="K791" s="1">
        <v>70.0</v>
      </c>
      <c r="N791" s="5">
        <v>45591.0</v>
      </c>
      <c r="Q791" s="1" t="s">
        <v>2045</v>
      </c>
    </row>
    <row r="792">
      <c r="A792" s="1">
        <v>791.0</v>
      </c>
      <c r="B792" s="1" t="s">
        <v>2046</v>
      </c>
      <c r="C792" s="1" t="s">
        <v>21</v>
      </c>
      <c r="K792" s="1">
        <v>40.0</v>
      </c>
      <c r="N792" s="5">
        <v>44414.0</v>
      </c>
      <c r="Q792" s="1" t="s">
        <v>402</v>
      </c>
    </row>
    <row r="793">
      <c r="A793" s="1">
        <v>792.0</v>
      </c>
      <c r="B793" s="1" t="s">
        <v>2047</v>
      </c>
      <c r="C793" s="1" t="s">
        <v>21</v>
      </c>
      <c r="K793" s="1">
        <v>100.0</v>
      </c>
      <c r="N793" s="5">
        <v>44512.0</v>
      </c>
      <c r="Q793" s="1" t="s">
        <v>2048</v>
      </c>
    </row>
    <row r="794">
      <c r="A794" s="1">
        <v>793.0</v>
      </c>
      <c r="B794" s="1" t="s">
        <v>2049</v>
      </c>
      <c r="C794" s="1" t="s">
        <v>21</v>
      </c>
      <c r="N794" s="5">
        <v>44325.0</v>
      </c>
      <c r="Q794" s="1" t="s">
        <v>402</v>
      </c>
    </row>
    <row r="795">
      <c r="A795" s="1">
        <v>794.0</v>
      </c>
      <c r="B795" s="1" t="s">
        <v>2050</v>
      </c>
      <c r="C795" s="1" t="s">
        <v>21</v>
      </c>
      <c r="K795" s="1">
        <v>70.0</v>
      </c>
      <c r="N795" s="5">
        <v>43868.0</v>
      </c>
      <c r="Q795" s="1" t="s">
        <v>2051</v>
      </c>
    </row>
    <row r="796">
      <c r="A796" s="1">
        <v>795.0</v>
      </c>
      <c r="B796" s="1" t="s">
        <v>2052</v>
      </c>
      <c r="C796" s="1" t="s">
        <v>21</v>
      </c>
      <c r="K796" s="1">
        <v>60.0</v>
      </c>
      <c r="N796" s="5">
        <v>45463.0</v>
      </c>
      <c r="Q796" s="1" t="s">
        <v>2053</v>
      </c>
    </row>
    <row r="797">
      <c r="A797" s="1">
        <v>796.0</v>
      </c>
      <c r="B797" s="1" t="s">
        <v>2054</v>
      </c>
      <c r="C797" s="1" t="s">
        <v>21</v>
      </c>
      <c r="K797" s="1">
        <v>50.0</v>
      </c>
      <c r="N797" s="5">
        <v>44658.0</v>
      </c>
      <c r="Q797" s="1" t="s">
        <v>2055</v>
      </c>
    </row>
    <row r="798">
      <c r="A798" s="1">
        <v>797.0</v>
      </c>
      <c r="B798" s="1" t="s">
        <v>2056</v>
      </c>
      <c r="C798" s="1" t="s">
        <v>21</v>
      </c>
      <c r="N798" s="5">
        <v>44335.0</v>
      </c>
      <c r="Q798" s="1" t="s">
        <v>402</v>
      </c>
    </row>
    <row r="799">
      <c r="A799" s="1">
        <v>798.0</v>
      </c>
      <c r="B799" s="1" t="s">
        <v>2057</v>
      </c>
      <c r="C799" s="1" t="s">
        <v>21</v>
      </c>
      <c r="K799" s="1">
        <v>250.0</v>
      </c>
      <c r="N799" s="5">
        <v>43867.0</v>
      </c>
      <c r="Q799" s="1" t="s">
        <v>2058</v>
      </c>
    </row>
    <row r="800">
      <c r="A800" s="1">
        <v>799.0</v>
      </c>
      <c r="B800" s="1" t="s">
        <v>2059</v>
      </c>
      <c r="C800" s="1" t="s">
        <v>21</v>
      </c>
      <c r="K800" s="1">
        <v>350.0</v>
      </c>
      <c r="N800" s="5">
        <v>44058.0</v>
      </c>
      <c r="Q800" s="1" t="s">
        <v>2060</v>
      </c>
    </row>
    <row r="801">
      <c r="A801" s="1">
        <v>800.0</v>
      </c>
      <c r="B801" s="1" t="s">
        <v>2061</v>
      </c>
      <c r="C801" s="1" t="s">
        <v>21</v>
      </c>
      <c r="K801" s="1">
        <v>150.0</v>
      </c>
      <c r="N801" s="5">
        <v>44417.0</v>
      </c>
      <c r="Q801" s="1" t="s">
        <v>2062</v>
      </c>
    </row>
    <row r="802">
      <c r="A802" s="1">
        <v>801.0</v>
      </c>
      <c r="B802" s="1" t="s">
        <v>2063</v>
      </c>
      <c r="C802" s="1" t="s">
        <v>21</v>
      </c>
      <c r="K802" s="1">
        <v>10.0</v>
      </c>
      <c r="N802" s="5">
        <v>45861.0</v>
      </c>
      <c r="Q802" s="1" t="s">
        <v>2064</v>
      </c>
    </row>
    <row r="803">
      <c r="A803" s="1">
        <v>802.0</v>
      </c>
      <c r="B803" s="1" t="s">
        <v>2065</v>
      </c>
      <c r="C803" s="1" t="s">
        <v>21</v>
      </c>
      <c r="N803" s="5">
        <v>44076.0</v>
      </c>
      <c r="Q803" s="1" t="s">
        <v>402</v>
      </c>
    </row>
    <row r="804">
      <c r="A804" s="1">
        <v>803.0</v>
      </c>
      <c r="B804" s="1" t="s">
        <v>2066</v>
      </c>
      <c r="C804" s="1" t="s">
        <v>21</v>
      </c>
      <c r="K804" s="1">
        <v>150.0</v>
      </c>
      <c r="N804" s="5">
        <v>45192.0</v>
      </c>
      <c r="Q804" s="1" t="s">
        <v>2067</v>
      </c>
    </row>
    <row r="805">
      <c r="A805" s="1">
        <v>804.0</v>
      </c>
      <c r="B805" s="1" t="s">
        <v>2068</v>
      </c>
      <c r="C805" s="1" t="s">
        <v>21</v>
      </c>
      <c r="K805" s="1">
        <v>10.0</v>
      </c>
      <c r="N805" s="5">
        <v>45683.0</v>
      </c>
      <c r="Q805" s="1" t="s">
        <v>2069</v>
      </c>
    </row>
    <row r="806">
      <c r="A806" s="1">
        <v>805.0</v>
      </c>
      <c r="B806" s="1" t="s">
        <v>2070</v>
      </c>
      <c r="C806" s="1" t="s">
        <v>21</v>
      </c>
      <c r="K806" s="1">
        <v>50.0</v>
      </c>
      <c r="N806" s="5">
        <v>44770.0</v>
      </c>
      <c r="Q806" s="1" t="s">
        <v>2071</v>
      </c>
    </row>
    <row r="807">
      <c r="A807" s="1">
        <v>806.0</v>
      </c>
      <c r="B807" s="1" t="s">
        <v>2072</v>
      </c>
      <c r="C807" s="1" t="s">
        <v>21</v>
      </c>
      <c r="K807" s="1">
        <v>30.0</v>
      </c>
      <c r="N807" s="5">
        <v>44802.0</v>
      </c>
      <c r="Q807" s="1" t="s">
        <v>402</v>
      </c>
    </row>
    <row r="808">
      <c r="A808" s="1">
        <v>807.0</v>
      </c>
      <c r="B808" s="1" t="s">
        <v>2073</v>
      </c>
      <c r="C808" s="1" t="s">
        <v>21</v>
      </c>
      <c r="K808" s="1">
        <v>70.0</v>
      </c>
      <c r="N808" s="5">
        <v>43999.0</v>
      </c>
      <c r="Q808" s="1" t="s">
        <v>2074</v>
      </c>
    </row>
    <row r="809">
      <c r="A809" s="1">
        <v>808.0</v>
      </c>
      <c r="B809" s="1" t="s">
        <v>2075</v>
      </c>
      <c r="C809" s="1" t="s">
        <v>21</v>
      </c>
      <c r="K809" s="1">
        <v>30.0</v>
      </c>
      <c r="N809" s="5">
        <v>46005.0</v>
      </c>
      <c r="Q809" s="1" t="s">
        <v>2076</v>
      </c>
    </row>
    <row r="810">
      <c r="A810" s="1">
        <v>809.0</v>
      </c>
      <c r="B810" s="1" t="s">
        <v>2077</v>
      </c>
      <c r="C810" s="1" t="s">
        <v>21</v>
      </c>
      <c r="K810" s="1">
        <v>30.0</v>
      </c>
      <c r="N810" s="5">
        <v>44289.0</v>
      </c>
      <c r="Q810" s="1" t="s">
        <v>2078</v>
      </c>
    </row>
    <row r="811">
      <c r="A811" s="1">
        <v>810.0</v>
      </c>
      <c r="B811" s="1" t="s">
        <v>2079</v>
      </c>
      <c r="C811" s="1" t="s">
        <v>21</v>
      </c>
      <c r="K811" s="1">
        <v>80.0</v>
      </c>
      <c r="N811" s="5">
        <v>45389.0</v>
      </c>
      <c r="Q811" s="1" t="s">
        <v>2080</v>
      </c>
    </row>
    <row r="812">
      <c r="A812" s="1">
        <v>811.0</v>
      </c>
      <c r="B812" s="1" t="s">
        <v>2081</v>
      </c>
      <c r="C812" s="1" t="s">
        <v>21</v>
      </c>
      <c r="N812" s="5">
        <v>43917.0</v>
      </c>
      <c r="Q812" s="1" t="s">
        <v>402</v>
      </c>
    </row>
    <row r="813">
      <c r="A813" s="1">
        <v>812.0</v>
      </c>
      <c r="B813" s="1" t="s">
        <v>2082</v>
      </c>
      <c r="C813" s="1" t="s">
        <v>21</v>
      </c>
      <c r="K813" s="1">
        <v>500.0</v>
      </c>
      <c r="N813" s="5">
        <v>43843.0</v>
      </c>
      <c r="Q813" s="1" t="s">
        <v>2083</v>
      </c>
    </row>
    <row r="814">
      <c r="A814" s="1">
        <v>813.0</v>
      </c>
      <c r="B814" s="1" t="s">
        <v>2084</v>
      </c>
      <c r="C814" s="1" t="s">
        <v>21</v>
      </c>
      <c r="K814" s="1">
        <v>60.0</v>
      </c>
      <c r="N814" s="5">
        <v>44742.0</v>
      </c>
      <c r="Q814" s="1" t="s">
        <v>2085</v>
      </c>
    </row>
    <row r="815">
      <c r="A815" s="1">
        <v>814.0</v>
      </c>
      <c r="B815" s="1" t="s">
        <v>2086</v>
      </c>
      <c r="C815" s="1" t="s">
        <v>21</v>
      </c>
      <c r="K815" s="1">
        <v>150.0</v>
      </c>
      <c r="N815" s="5">
        <v>44275.0</v>
      </c>
      <c r="Q815" s="1" t="s">
        <v>2087</v>
      </c>
    </row>
    <row r="816">
      <c r="A816" s="1">
        <v>815.0</v>
      </c>
      <c r="B816" s="1" t="s">
        <v>2088</v>
      </c>
      <c r="C816" s="1" t="s">
        <v>21</v>
      </c>
      <c r="K816" s="1">
        <v>70.0</v>
      </c>
      <c r="N816" s="5">
        <v>43924.0</v>
      </c>
      <c r="Q816" s="1" t="s">
        <v>2089</v>
      </c>
    </row>
    <row r="817">
      <c r="A817" s="1">
        <v>816.0</v>
      </c>
      <c r="B817" s="1" t="s">
        <v>2090</v>
      </c>
      <c r="C817" s="1" t="s">
        <v>21</v>
      </c>
      <c r="K817" s="1">
        <v>350.0</v>
      </c>
      <c r="N817" s="5">
        <v>44196.0</v>
      </c>
      <c r="Q817" s="1" t="s">
        <v>2091</v>
      </c>
    </row>
    <row r="818">
      <c r="A818" s="1">
        <v>817.0</v>
      </c>
      <c r="B818" s="1" t="s">
        <v>2092</v>
      </c>
      <c r="C818" s="1" t="s">
        <v>21</v>
      </c>
      <c r="K818" s="1">
        <v>80.0</v>
      </c>
      <c r="N818" s="5">
        <v>44635.0</v>
      </c>
      <c r="Q818" s="1" t="s">
        <v>2093</v>
      </c>
    </row>
    <row r="819">
      <c r="A819" s="1">
        <v>818.0</v>
      </c>
      <c r="B819" s="1" t="s">
        <v>2094</v>
      </c>
      <c r="C819" s="1" t="s">
        <v>21</v>
      </c>
      <c r="K819" s="1">
        <v>50.0</v>
      </c>
      <c r="N819" s="5">
        <v>43986.0</v>
      </c>
      <c r="Q819" s="1" t="s">
        <v>2095</v>
      </c>
    </row>
    <row r="820">
      <c r="A820" s="1">
        <v>819.0</v>
      </c>
      <c r="B820" s="1" t="s">
        <v>2096</v>
      </c>
      <c r="C820" s="1" t="s">
        <v>21</v>
      </c>
      <c r="K820" s="1">
        <v>10.0</v>
      </c>
      <c r="N820" s="5">
        <v>45362.0</v>
      </c>
      <c r="Q820" s="1" t="s">
        <v>1045</v>
      </c>
    </row>
    <row r="821">
      <c r="A821" s="1">
        <v>820.0</v>
      </c>
      <c r="B821" s="1" t="s">
        <v>2097</v>
      </c>
      <c r="C821" s="1" t="s">
        <v>21</v>
      </c>
      <c r="K821" s="1">
        <v>10.0</v>
      </c>
      <c r="N821" s="5">
        <v>44701.0</v>
      </c>
      <c r="Q821" s="1" t="s">
        <v>2098</v>
      </c>
    </row>
    <row r="822">
      <c r="A822" s="1">
        <v>821.0</v>
      </c>
      <c r="B822" s="1" t="s">
        <v>2099</v>
      </c>
      <c r="C822" s="1" t="s">
        <v>21</v>
      </c>
      <c r="N822" s="5">
        <v>44125.0</v>
      </c>
      <c r="Q822" s="1" t="s">
        <v>402</v>
      </c>
    </row>
    <row r="823">
      <c r="A823" s="1">
        <v>822.0</v>
      </c>
      <c r="B823" s="1" t="s">
        <v>2100</v>
      </c>
      <c r="C823" s="1" t="s">
        <v>21</v>
      </c>
      <c r="N823" s="5">
        <v>45261.0</v>
      </c>
      <c r="Q823" s="1" t="s">
        <v>402</v>
      </c>
    </row>
    <row r="824">
      <c r="A824" s="1">
        <v>823.0</v>
      </c>
      <c r="B824" s="1" t="s">
        <v>2101</v>
      </c>
      <c r="C824" s="1" t="s">
        <v>21</v>
      </c>
      <c r="K824" s="1">
        <v>10.0</v>
      </c>
      <c r="N824" s="5">
        <v>44071.0</v>
      </c>
      <c r="Q824" s="1" t="s">
        <v>2102</v>
      </c>
    </row>
    <row r="825">
      <c r="A825" s="1">
        <v>824.0</v>
      </c>
      <c r="B825" s="1" t="s">
        <v>2103</v>
      </c>
      <c r="C825" s="1" t="s">
        <v>21</v>
      </c>
      <c r="K825" s="1">
        <v>70.0</v>
      </c>
      <c r="N825" s="5">
        <v>44700.0</v>
      </c>
      <c r="Q825" s="1" t="s">
        <v>2104</v>
      </c>
    </row>
    <row r="826">
      <c r="A826" s="1">
        <v>825.0</v>
      </c>
      <c r="B826" s="1" t="s">
        <v>2105</v>
      </c>
      <c r="C826" s="1" t="s">
        <v>21</v>
      </c>
      <c r="K826" s="1">
        <v>70.0</v>
      </c>
      <c r="N826" s="5">
        <v>44490.0</v>
      </c>
      <c r="Q826" s="1" t="s">
        <v>1657</v>
      </c>
    </row>
    <row r="827">
      <c r="A827" s="1">
        <v>826.0</v>
      </c>
      <c r="B827" s="1" t="s">
        <v>2106</v>
      </c>
      <c r="C827" s="1" t="s">
        <v>21</v>
      </c>
      <c r="K827" s="1">
        <v>10.0</v>
      </c>
      <c r="N827" s="5">
        <v>44447.0</v>
      </c>
      <c r="Q827" s="1" t="s">
        <v>1045</v>
      </c>
    </row>
    <row r="828">
      <c r="A828" s="1">
        <v>827.0</v>
      </c>
      <c r="B828" s="1" t="s">
        <v>2107</v>
      </c>
      <c r="C828" s="1" t="s">
        <v>21</v>
      </c>
      <c r="N828" s="5">
        <v>44608.0</v>
      </c>
      <c r="Q828" s="1" t="s">
        <v>402</v>
      </c>
    </row>
    <row r="829">
      <c r="A829" s="1">
        <v>828.0</v>
      </c>
      <c r="B829" s="1" t="s">
        <v>2108</v>
      </c>
      <c r="C829" s="1" t="s">
        <v>21</v>
      </c>
      <c r="K829" s="1">
        <v>20.0</v>
      </c>
      <c r="N829" s="5">
        <v>45132.0</v>
      </c>
      <c r="Q829" s="1" t="s">
        <v>402</v>
      </c>
    </row>
    <row r="830">
      <c r="A830" s="1">
        <v>829.0</v>
      </c>
      <c r="B830" s="1" t="s">
        <v>2109</v>
      </c>
      <c r="C830" s="1" t="s">
        <v>21</v>
      </c>
      <c r="N830" s="5">
        <v>44373.0</v>
      </c>
      <c r="Q830" s="1" t="s">
        <v>402</v>
      </c>
    </row>
    <row r="831">
      <c r="A831" s="1">
        <v>830.0</v>
      </c>
      <c r="B831" s="1" t="s">
        <v>2110</v>
      </c>
      <c r="C831" s="1" t="s">
        <v>21</v>
      </c>
      <c r="K831" s="1">
        <v>30.0</v>
      </c>
      <c r="N831" s="5">
        <v>45115.0</v>
      </c>
      <c r="Q831" s="1" t="s">
        <v>2111</v>
      </c>
    </row>
    <row r="832">
      <c r="A832" s="1">
        <v>831.0</v>
      </c>
      <c r="B832" s="1" t="s">
        <v>2112</v>
      </c>
      <c r="C832" s="1" t="s">
        <v>21</v>
      </c>
      <c r="K832" s="1">
        <v>350.0</v>
      </c>
      <c r="N832" s="5">
        <v>44597.0</v>
      </c>
      <c r="Q832" s="1" t="s">
        <v>2113</v>
      </c>
    </row>
    <row r="833">
      <c r="A833" s="1">
        <v>832.0</v>
      </c>
      <c r="B833" s="1" t="s">
        <v>2114</v>
      </c>
      <c r="C833" s="1" t="s">
        <v>21</v>
      </c>
      <c r="K833" s="1">
        <v>10.0</v>
      </c>
      <c r="N833" s="5">
        <v>44845.0</v>
      </c>
      <c r="Q833" s="1" t="s">
        <v>2115</v>
      </c>
    </row>
    <row r="834">
      <c r="A834" s="1">
        <v>833.0</v>
      </c>
      <c r="B834" s="1" t="s">
        <v>2116</v>
      </c>
      <c r="C834" s="1" t="s">
        <v>21</v>
      </c>
      <c r="K834" s="1">
        <v>70.0</v>
      </c>
      <c r="N834" s="5">
        <v>44666.0</v>
      </c>
      <c r="Q834" s="1" t="s">
        <v>2117</v>
      </c>
    </row>
    <row r="835">
      <c r="A835" s="1">
        <v>834.0</v>
      </c>
      <c r="B835" s="1" t="s">
        <v>2118</v>
      </c>
      <c r="C835" s="1" t="s">
        <v>21</v>
      </c>
      <c r="K835" s="1">
        <v>20.0</v>
      </c>
      <c r="N835" s="5">
        <v>45401.0</v>
      </c>
      <c r="Q835" s="1" t="s">
        <v>496</v>
      </c>
    </row>
    <row r="836">
      <c r="A836" s="1">
        <v>835.0</v>
      </c>
      <c r="B836" s="1" t="s">
        <v>2119</v>
      </c>
      <c r="C836" s="1" t="s">
        <v>21</v>
      </c>
      <c r="K836" s="1">
        <v>100.0</v>
      </c>
      <c r="N836" s="5">
        <v>44283.0</v>
      </c>
      <c r="Q836" s="1" t="s">
        <v>2120</v>
      </c>
    </row>
    <row r="837">
      <c r="A837" s="1">
        <v>836.0</v>
      </c>
      <c r="B837" s="1" t="s">
        <v>2121</v>
      </c>
      <c r="C837" s="1" t="s">
        <v>21</v>
      </c>
      <c r="K837" s="1">
        <v>10.0</v>
      </c>
      <c r="N837" s="5">
        <v>45360.0</v>
      </c>
      <c r="Q837" s="1" t="s">
        <v>2122</v>
      </c>
    </row>
    <row r="838">
      <c r="A838" s="1">
        <v>837.0</v>
      </c>
      <c r="B838" s="1" t="s">
        <v>2123</v>
      </c>
      <c r="C838" s="1" t="s">
        <v>21</v>
      </c>
      <c r="N838" s="5">
        <v>44404.0</v>
      </c>
      <c r="Q838" s="1" t="s">
        <v>646</v>
      </c>
    </row>
    <row r="839">
      <c r="A839" s="1">
        <v>838.0</v>
      </c>
      <c r="B839" s="1" t="s">
        <v>2124</v>
      </c>
      <c r="C839" s="1" t="s">
        <v>21</v>
      </c>
      <c r="K839" s="1">
        <v>10.0</v>
      </c>
      <c r="N839" s="5">
        <v>45145.0</v>
      </c>
      <c r="Q839" s="1" t="s">
        <v>646</v>
      </c>
    </row>
    <row r="840">
      <c r="A840" s="1">
        <v>839.0</v>
      </c>
      <c r="B840" s="1" t="s">
        <v>2125</v>
      </c>
      <c r="C840" s="1" t="s">
        <v>21</v>
      </c>
      <c r="K840" s="1">
        <v>10.0</v>
      </c>
      <c r="N840" s="5">
        <v>43994.0</v>
      </c>
      <c r="Q840" s="1" t="s">
        <v>2126</v>
      </c>
    </row>
    <row r="841">
      <c r="A841" s="1">
        <v>840.0</v>
      </c>
      <c r="B841" s="1" t="s">
        <v>2127</v>
      </c>
      <c r="C841" s="1" t="s">
        <v>21</v>
      </c>
      <c r="K841" s="1">
        <v>20.0</v>
      </c>
      <c r="N841" s="5">
        <v>45482.0</v>
      </c>
      <c r="Q841" s="1" t="s">
        <v>2128</v>
      </c>
    </row>
    <row r="842">
      <c r="A842" s="1">
        <v>841.0</v>
      </c>
      <c r="B842" s="1" t="s">
        <v>2129</v>
      </c>
      <c r="C842" s="1" t="s">
        <v>21</v>
      </c>
      <c r="N842" s="5">
        <v>44568.0</v>
      </c>
      <c r="Q842" s="1" t="s">
        <v>402</v>
      </c>
    </row>
    <row r="843">
      <c r="A843" s="1">
        <v>842.0</v>
      </c>
      <c r="B843" s="1" t="s">
        <v>2130</v>
      </c>
      <c r="C843" s="1" t="s">
        <v>21</v>
      </c>
      <c r="N843" s="5">
        <v>43919.0</v>
      </c>
      <c r="Q843" s="1" t="s">
        <v>402</v>
      </c>
    </row>
    <row r="844">
      <c r="A844" s="1">
        <v>843.0</v>
      </c>
      <c r="B844" s="1" t="s">
        <v>2131</v>
      </c>
      <c r="C844" s="1" t="s">
        <v>21</v>
      </c>
      <c r="N844" s="5">
        <v>44833.0</v>
      </c>
      <c r="Q844" s="1" t="s">
        <v>402</v>
      </c>
    </row>
    <row r="845">
      <c r="A845" s="1">
        <v>844.0</v>
      </c>
      <c r="B845" s="1" t="s">
        <v>2132</v>
      </c>
      <c r="C845" s="1" t="s">
        <v>21</v>
      </c>
      <c r="K845" s="1">
        <v>10.0</v>
      </c>
      <c r="N845" s="5">
        <v>45672.0</v>
      </c>
      <c r="Q845" s="1" t="s">
        <v>2133</v>
      </c>
    </row>
    <row r="846">
      <c r="A846" s="1">
        <v>845.0</v>
      </c>
      <c r="B846" s="1" t="s">
        <v>2134</v>
      </c>
      <c r="C846" s="1" t="s">
        <v>21</v>
      </c>
      <c r="N846" s="5">
        <v>44601.0</v>
      </c>
      <c r="Q846" s="1" t="s">
        <v>402</v>
      </c>
    </row>
    <row r="847">
      <c r="A847" s="1">
        <v>846.0</v>
      </c>
      <c r="B847" s="1" t="s">
        <v>2135</v>
      </c>
      <c r="C847" s="1" t="s">
        <v>21</v>
      </c>
      <c r="N847" s="5">
        <v>43880.0</v>
      </c>
      <c r="Q847" s="1" t="s">
        <v>402</v>
      </c>
    </row>
    <row r="848">
      <c r="A848" s="1">
        <v>847.0</v>
      </c>
      <c r="B848" s="1" t="s">
        <v>2136</v>
      </c>
      <c r="C848" s="1" t="s">
        <v>21</v>
      </c>
      <c r="K848" s="1">
        <v>10.0</v>
      </c>
      <c r="N848" s="5">
        <v>45945.0</v>
      </c>
      <c r="Q848" s="1" t="s">
        <v>2137</v>
      </c>
    </row>
    <row r="849">
      <c r="A849" s="1">
        <v>848.0</v>
      </c>
      <c r="B849" s="1" t="s">
        <v>2138</v>
      </c>
      <c r="C849" s="1" t="s">
        <v>21</v>
      </c>
      <c r="K849" s="1">
        <v>300.0</v>
      </c>
      <c r="N849" s="5">
        <v>45298.0</v>
      </c>
      <c r="Q849" s="1" t="s">
        <v>2139</v>
      </c>
    </row>
    <row r="850">
      <c r="A850" s="1">
        <v>849.0</v>
      </c>
      <c r="B850" s="1" t="s">
        <v>2140</v>
      </c>
      <c r="C850" s="1" t="s">
        <v>21</v>
      </c>
      <c r="K850" s="1">
        <v>450.0</v>
      </c>
      <c r="N850" s="5">
        <v>43893.0</v>
      </c>
      <c r="Q850" s="1" t="s">
        <v>2141</v>
      </c>
    </row>
    <row r="851">
      <c r="A851" s="1">
        <v>850.0</v>
      </c>
      <c r="B851" s="1" t="s">
        <v>2142</v>
      </c>
      <c r="C851" s="1" t="s">
        <v>21</v>
      </c>
      <c r="K851" s="1">
        <v>20.0</v>
      </c>
      <c r="N851" s="5">
        <v>45621.0</v>
      </c>
      <c r="Q851" s="1" t="s">
        <v>2143</v>
      </c>
    </row>
    <row r="852">
      <c r="A852" s="1">
        <v>851.0</v>
      </c>
      <c r="B852" s="1" t="s">
        <v>2144</v>
      </c>
      <c r="C852" s="1" t="s">
        <v>21</v>
      </c>
      <c r="N852" s="5">
        <v>44409.0</v>
      </c>
      <c r="Q852" s="1" t="s">
        <v>402</v>
      </c>
    </row>
    <row r="853">
      <c r="A853" s="1">
        <v>852.0</v>
      </c>
      <c r="B853" s="1" t="s">
        <v>2145</v>
      </c>
      <c r="C853" s="1" t="s">
        <v>21</v>
      </c>
      <c r="N853" s="5">
        <v>44610.0</v>
      </c>
      <c r="Q853" s="1" t="s">
        <v>402</v>
      </c>
    </row>
    <row r="854">
      <c r="A854" s="1">
        <v>853.0</v>
      </c>
      <c r="B854" s="1" t="s">
        <v>2146</v>
      </c>
      <c r="C854" s="1" t="s">
        <v>21</v>
      </c>
      <c r="K854" s="1">
        <v>40.0</v>
      </c>
      <c r="N854" s="5">
        <v>45696.0</v>
      </c>
      <c r="Q854" s="1" t="s">
        <v>2147</v>
      </c>
    </row>
    <row r="855">
      <c r="A855" s="1">
        <v>854.0</v>
      </c>
      <c r="B855" s="1" t="s">
        <v>2148</v>
      </c>
      <c r="C855" s="1" t="s">
        <v>21</v>
      </c>
      <c r="K855" s="1">
        <v>900.0</v>
      </c>
      <c r="N855" s="5">
        <v>43864.0</v>
      </c>
      <c r="Q855" s="1" t="s">
        <v>2149</v>
      </c>
    </row>
    <row r="856">
      <c r="A856" s="1">
        <v>855.0</v>
      </c>
      <c r="B856" s="1" t="s">
        <v>2150</v>
      </c>
      <c r="C856" s="1" t="s">
        <v>21</v>
      </c>
      <c r="K856" s="1">
        <v>150.0</v>
      </c>
      <c r="N856" s="5">
        <v>44742.0</v>
      </c>
      <c r="Q856" s="1" t="s">
        <v>2151</v>
      </c>
    </row>
    <row r="857">
      <c r="A857" s="1">
        <v>856.0</v>
      </c>
      <c r="B857" s="1" t="s">
        <v>2152</v>
      </c>
      <c r="C857" s="1" t="s">
        <v>21</v>
      </c>
      <c r="K857" s="1">
        <v>40.0</v>
      </c>
      <c r="N857" s="5">
        <v>44824.0</v>
      </c>
      <c r="Q857" s="1" t="s">
        <v>2153</v>
      </c>
    </row>
    <row r="858">
      <c r="A858" s="1">
        <v>857.0</v>
      </c>
      <c r="B858" s="1" t="s">
        <v>2154</v>
      </c>
      <c r="C858" s="1" t="s">
        <v>21</v>
      </c>
      <c r="K858" s="1">
        <v>150.0</v>
      </c>
      <c r="N858" s="5">
        <v>45263.0</v>
      </c>
      <c r="Q858" s="1" t="s">
        <v>2155</v>
      </c>
    </row>
    <row r="859">
      <c r="A859" s="1">
        <v>858.0</v>
      </c>
      <c r="B859" s="1" t="s">
        <v>2156</v>
      </c>
      <c r="C859" s="1" t="s">
        <v>21</v>
      </c>
      <c r="K859" s="1">
        <v>100.0</v>
      </c>
      <c r="N859" s="5">
        <v>44633.0</v>
      </c>
      <c r="Q859" s="1" t="s">
        <v>2157</v>
      </c>
    </row>
    <row r="860">
      <c r="A860" s="1">
        <v>859.0</v>
      </c>
      <c r="B860" s="1" t="s">
        <v>2158</v>
      </c>
      <c r="C860" s="1" t="s">
        <v>21</v>
      </c>
      <c r="K860" s="1">
        <v>40.0</v>
      </c>
      <c r="N860" s="5">
        <v>43347.0</v>
      </c>
      <c r="Q860" s="1" t="s">
        <v>2159</v>
      </c>
    </row>
    <row r="861">
      <c r="A861" s="1">
        <v>860.0</v>
      </c>
      <c r="B861" s="1" t="s">
        <v>2160</v>
      </c>
      <c r="C861" s="1" t="s">
        <v>21</v>
      </c>
      <c r="K861" s="1">
        <v>40.0</v>
      </c>
      <c r="N861" s="5">
        <v>44917.0</v>
      </c>
      <c r="Q861" s="1" t="s">
        <v>2161</v>
      </c>
    </row>
    <row r="862">
      <c r="A862" s="1">
        <v>861.0</v>
      </c>
      <c r="B862" s="1" t="s">
        <v>2162</v>
      </c>
      <c r="C862" s="1" t="s">
        <v>21</v>
      </c>
      <c r="N862" s="5">
        <v>44788.0</v>
      </c>
      <c r="Q862" s="1" t="s">
        <v>402</v>
      </c>
    </row>
    <row r="863">
      <c r="A863" s="1">
        <v>862.0</v>
      </c>
      <c r="B863" s="1" t="s">
        <v>2163</v>
      </c>
      <c r="C863" s="1" t="s">
        <v>21</v>
      </c>
      <c r="N863" s="5">
        <v>44248.0</v>
      </c>
      <c r="Q863" s="1" t="s">
        <v>402</v>
      </c>
    </row>
    <row r="864">
      <c r="A864" s="1">
        <v>863.0</v>
      </c>
      <c r="B864" s="1" t="s">
        <v>2164</v>
      </c>
      <c r="C864" s="1" t="s">
        <v>21</v>
      </c>
      <c r="N864" s="5">
        <v>44766.0</v>
      </c>
      <c r="Q864" s="1" t="s">
        <v>402</v>
      </c>
    </row>
    <row r="865">
      <c r="A865" s="1">
        <v>864.0</v>
      </c>
      <c r="B865" s="1" t="s">
        <v>2165</v>
      </c>
      <c r="C865" s="1" t="s">
        <v>21</v>
      </c>
      <c r="K865" s="1">
        <v>10.0</v>
      </c>
      <c r="N865" s="5">
        <v>44251.0</v>
      </c>
      <c r="Q865" s="1" t="s">
        <v>2033</v>
      </c>
    </row>
    <row r="866">
      <c r="A866" s="1">
        <v>865.0</v>
      </c>
      <c r="B866" s="1" t="s">
        <v>2166</v>
      </c>
      <c r="C866" s="1" t="s">
        <v>21</v>
      </c>
      <c r="N866" s="5">
        <v>45319.0</v>
      </c>
      <c r="Q866" s="1" t="s">
        <v>2167</v>
      </c>
    </row>
    <row r="867">
      <c r="A867" s="1">
        <v>866.0</v>
      </c>
      <c r="B867" s="1" t="s">
        <v>2168</v>
      </c>
      <c r="C867" s="1" t="s">
        <v>21</v>
      </c>
      <c r="K867" s="1">
        <v>60.0</v>
      </c>
      <c r="N867" s="5">
        <v>43847.0</v>
      </c>
      <c r="Q867" s="1" t="s">
        <v>1851</v>
      </c>
    </row>
    <row r="868">
      <c r="A868" s="1">
        <v>867.0</v>
      </c>
      <c r="B868" s="1" t="s">
        <v>2169</v>
      </c>
      <c r="C868" s="1" t="s">
        <v>21</v>
      </c>
      <c r="K868" s="1">
        <v>150.0</v>
      </c>
      <c r="N868" s="5">
        <v>44695.0</v>
      </c>
      <c r="Q868" s="1" t="s">
        <v>2170</v>
      </c>
    </row>
    <row r="869">
      <c r="A869" s="1">
        <v>868.0</v>
      </c>
      <c r="B869" s="1" t="s">
        <v>2171</v>
      </c>
      <c r="C869" s="1" t="s">
        <v>21</v>
      </c>
      <c r="N869" s="5">
        <v>45431.0</v>
      </c>
      <c r="Q869" s="1" t="s">
        <v>600</v>
      </c>
    </row>
    <row r="870">
      <c r="A870" s="1">
        <v>869.0</v>
      </c>
      <c r="B870" s="1" t="s">
        <v>58</v>
      </c>
      <c r="C870" s="1" t="s">
        <v>21</v>
      </c>
      <c r="K870" s="1">
        <v>90.0</v>
      </c>
      <c r="N870" s="5">
        <v>44948.0</v>
      </c>
      <c r="Q870" s="1" t="s">
        <v>61</v>
      </c>
    </row>
    <row r="871">
      <c r="A871" s="1">
        <v>870.0</v>
      </c>
      <c r="B871" s="1" t="s">
        <v>2172</v>
      </c>
      <c r="C871" s="1" t="s">
        <v>21</v>
      </c>
      <c r="F871" s="1">
        <v>0.3</v>
      </c>
      <c r="K871" s="1">
        <v>30.0</v>
      </c>
      <c r="N871" s="5">
        <v>44002.0</v>
      </c>
      <c r="O871" s="1" t="s">
        <v>292</v>
      </c>
      <c r="P871" s="1" t="s">
        <v>29</v>
      </c>
      <c r="Q871" s="1" t="s">
        <v>2173</v>
      </c>
      <c r="S871" s="1" t="s">
        <v>46</v>
      </c>
    </row>
    <row r="872">
      <c r="A872" s="1">
        <v>871.0</v>
      </c>
      <c r="B872" s="1" t="s">
        <v>2174</v>
      </c>
      <c r="C872" s="1" t="s">
        <v>21</v>
      </c>
      <c r="N872" s="5">
        <v>44543.0</v>
      </c>
      <c r="Q872" s="1" t="s">
        <v>402</v>
      </c>
    </row>
    <row r="873">
      <c r="A873" s="1">
        <v>872.0</v>
      </c>
      <c r="B873" s="1" t="s">
        <v>2175</v>
      </c>
      <c r="C873" s="1" t="s">
        <v>21</v>
      </c>
      <c r="K873" s="1">
        <v>20.0</v>
      </c>
      <c r="N873" s="5">
        <v>45741.0</v>
      </c>
      <c r="Q873" s="1" t="s">
        <v>2176</v>
      </c>
    </row>
    <row r="874">
      <c r="A874" s="1">
        <v>873.0</v>
      </c>
      <c r="B874" s="1" t="s">
        <v>2177</v>
      </c>
      <c r="C874" s="1" t="s">
        <v>21</v>
      </c>
      <c r="N874" s="5">
        <v>45471.0</v>
      </c>
      <c r="Q874" s="1" t="s">
        <v>402</v>
      </c>
    </row>
    <row r="875">
      <c r="A875" s="1">
        <v>874.0</v>
      </c>
      <c r="B875" s="1" t="s">
        <v>2178</v>
      </c>
      <c r="C875" s="1" t="s">
        <v>21</v>
      </c>
      <c r="K875" s="1">
        <v>50.0</v>
      </c>
      <c r="N875" s="5">
        <v>44657.0</v>
      </c>
      <c r="Q875" s="1" t="s">
        <v>2179</v>
      </c>
    </row>
    <row r="876">
      <c r="A876" s="1">
        <v>875.0</v>
      </c>
      <c r="B876" s="1" t="s">
        <v>2180</v>
      </c>
      <c r="C876" s="1" t="s">
        <v>21</v>
      </c>
      <c r="N876" s="5">
        <v>44314.0</v>
      </c>
      <c r="Q876" s="1" t="s">
        <v>402</v>
      </c>
    </row>
    <row r="877">
      <c r="A877" s="1">
        <v>876.0</v>
      </c>
      <c r="B877" s="1" t="s">
        <v>2181</v>
      </c>
      <c r="C877" s="1" t="s">
        <v>21</v>
      </c>
      <c r="K877" s="1">
        <v>150.0</v>
      </c>
      <c r="N877" s="5">
        <v>45441.0</v>
      </c>
      <c r="Q877" s="1" t="s">
        <v>2182</v>
      </c>
    </row>
    <row r="878">
      <c r="A878" s="1">
        <v>877.0</v>
      </c>
      <c r="B878" s="1" t="s">
        <v>2183</v>
      </c>
      <c r="C878" s="1" t="s">
        <v>21</v>
      </c>
      <c r="K878" s="1">
        <v>300.0</v>
      </c>
      <c r="N878" s="5">
        <v>43961.0</v>
      </c>
      <c r="Q878" s="1" t="s">
        <v>2184</v>
      </c>
    </row>
    <row r="879">
      <c r="A879" s="1">
        <v>878.0</v>
      </c>
      <c r="B879" s="1" t="s">
        <v>2185</v>
      </c>
      <c r="C879" s="1" t="s">
        <v>21</v>
      </c>
      <c r="K879" s="1">
        <v>20.0</v>
      </c>
      <c r="N879" s="5">
        <v>44964.0</v>
      </c>
      <c r="Q879" s="1" t="s">
        <v>2186</v>
      </c>
    </row>
    <row r="880">
      <c r="A880" s="1">
        <v>879.0</v>
      </c>
      <c r="B880" s="1" t="s">
        <v>2187</v>
      </c>
      <c r="C880" s="1" t="s">
        <v>21</v>
      </c>
      <c r="K880" s="1">
        <v>20.0</v>
      </c>
      <c r="N880" s="5">
        <v>45039.0</v>
      </c>
      <c r="Q880" s="1" t="s">
        <v>2188</v>
      </c>
    </row>
    <row r="881">
      <c r="A881" s="1">
        <v>880.0</v>
      </c>
      <c r="B881" s="1" t="s">
        <v>2189</v>
      </c>
      <c r="C881" s="1" t="s">
        <v>21</v>
      </c>
      <c r="N881" s="5">
        <v>45344.0</v>
      </c>
      <c r="Q881" s="1" t="s">
        <v>2190</v>
      </c>
    </row>
    <row r="882">
      <c r="A882" s="1">
        <v>881.0</v>
      </c>
      <c r="B882" s="1" t="s">
        <v>2191</v>
      </c>
      <c r="C882" s="1" t="s">
        <v>21</v>
      </c>
      <c r="K882" s="1">
        <v>50.0</v>
      </c>
      <c r="N882" s="5">
        <v>45114.0</v>
      </c>
      <c r="Q882" s="1" t="s">
        <v>2192</v>
      </c>
    </row>
    <row r="883">
      <c r="A883" s="1">
        <v>882.0</v>
      </c>
      <c r="B883" s="1" t="s">
        <v>2193</v>
      </c>
      <c r="C883" s="1" t="s">
        <v>21</v>
      </c>
      <c r="K883" s="1">
        <v>60.0</v>
      </c>
      <c r="N883" s="5">
        <v>43935.0</v>
      </c>
      <c r="Q883" s="1" t="s">
        <v>729</v>
      </c>
    </row>
    <row r="884">
      <c r="A884" s="1">
        <v>883.0</v>
      </c>
      <c r="B884" s="1" t="s">
        <v>2194</v>
      </c>
      <c r="C884" s="1" t="s">
        <v>21</v>
      </c>
      <c r="K884" s="1">
        <v>20.0</v>
      </c>
      <c r="N884" s="5">
        <v>45224.0</v>
      </c>
      <c r="Q884" s="1" t="s">
        <v>2195</v>
      </c>
    </row>
    <row r="885">
      <c r="A885" s="1">
        <v>884.0</v>
      </c>
      <c r="B885" s="1" t="s">
        <v>2196</v>
      </c>
      <c r="C885" s="1" t="s">
        <v>21</v>
      </c>
      <c r="K885" s="1">
        <v>50.0</v>
      </c>
      <c r="N885" s="5">
        <v>44488.0</v>
      </c>
      <c r="Q885" s="1" t="s">
        <v>2197</v>
      </c>
    </row>
    <row r="886">
      <c r="A886" s="1">
        <v>885.0</v>
      </c>
      <c r="B886" s="1" t="s">
        <v>2198</v>
      </c>
      <c r="C886" s="1" t="s">
        <v>21</v>
      </c>
      <c r="K886" s="1">
        <v>200.0</v>
      </c>
      <c r="N886" s="5">
        <v>43981.0</v>
      </c>
      <c r="Q886" s="1" t="s">
        <v>2199</v>
      </c>
    </row>
    <row r="887">
      <c r="A887" s="1">
        <v>886.0</v>
      </c>
      <c r="B887" s="1" t="s">
        <v>2200</v>
      </c>
      <c r="C887" s="1" t="s">
        <v>21</v>
      </c>
      <c r="N887" s="5">
        <v>45371.0</v>
      </c>
      <c r="Q887" s="1" t="s">
        <v>496</v>
      </c>
    </row>
    <row r="888">
      <c r="A888" s="1">
        <v>887.0</v>
      </c>
      <c r="B888" s="1" t="s">
        <v>2201</v>
      </c>
      <c r="C888" s="1" t="s">
        <v>21</v>
      </c>
      <c r="K888" s="1">
        <v>100.0</v>
      </c>
      <c r="N888" s="5">
        <v>45090.0</v>
      </c>
      <c r="Q888" s="1" t="s">
        <v>2202</v>
      </c>
    </row>
    <row r="889">
      <c r="A889" s="1">
        <v>888.0</v>
      </c>
      <c r="B889" s="1" t="s">
        <v>2203</v>
      </c>
      <c r="C889" s="1" t="s">
        <v>21</v>
      </c>
      <c r="K889" s="1">
        <v>200.0</v>
      </c>
      <c r="N889" s="5">
        <v>44603.0</v>
      </c>
      <c r="Q889" s="1" t="s">
        <v>2204</v>
      </c>
    </row>
    <row r="890">
      <c r="A890" s="1">
        <v>889.0</v>
      </c>
      <c r="B890" s="1" t="s">
        <v>2205</v>
      </c>
      <c r="C890" s="1" t="s">
        <v>21</v>
      </c>
      <c r="K890" s="1">
        <v>30.0</v>
      </c>
      <c r="N890" s="5">
        <v>45167.0</v>
      </c>
      <c r="Q890" s="1" t="s">
        <v>2206</v>
      </c>
    </row>
    <row r="891">
      <c r="A891" s="1">
        <v>890.0</v>
      </c>
      <c r="B891" s="1" t="s">
        <v>2207</v>
      </c>
      <c r="C891" s="1" t="s">
        <v>21</v>
      </c>
      <c r="K891" s="1">
        <v>100.0</v>
      </c>
      <c r="N891" s="5">
        <v>44763.0</v>
      </c>
      <c r="Q891" s="1" t="s">
        <v>2208</v>
      </c>
    </row>
    <row r="892">
      <c r="A892" s="1">
        <v>891.0</v>
      </c>
      <c r="B892" s="1" t="s">
        <v>2209</v>
      </c>
      <c r="C892" s="1" t="s">
        <v>21</v>
      </c>
      <c r="K892" s="1">
        <v>10.0</v>
      </c>
      <c r="N892" s="5">
        <v>44423.0</v>
      </c>
      <c r="Q892" s="1" t="s">
        <v>2210</v>
      </c>
    </row>
    <row r="893">
      <c r="A893" s="1">
        <v>892.0</v>
      </c>
      <c r="B893" s="1" t="s">
        <v>2211</v>
      </c>
      <c r="C893" s="1" t="s">
        <v>21</v>
      </c>
      <c r="N893" s="5">
        <v>44503.0</v>
      </c>
      <c r="Q893" s="1" t="s">
        <v>402</v>
      </c>
    </row>
    <row r="894">
      <c r="A894" s="1">
        <v>893.0</v>
      </c>
      <c r="B894" s="1" t="s">
        <v>2212</v>
      </c>
      <c r="C894" s="1" t="s">
        <v>21</v>
      </c>
      <c r="K894" s="1">
        <v>20.0</v>
      </c>
      <c r="N894" s="5">
        <v>45525.0</v>
      </c>
      <c r="Q894" s="1" t="s">
        <v>2213</v>
      </c>
    </row>
    <row r="895">
      <c r="A895" s="1">
        <v>894.0</v>
      </c>
      <c r="B895" s="1" t="s">
        <v>2214</v>
      </c>
      <c r="C895" s="1" t="s">
        <v>21</v>
      </c>
      <c r="K895" s="1">
        <v>30.0</v>
      </c>
      <c r="N895" s="5">
        <v>45070.0</v>
      </c>
      <c r="Q895" s="1" t="s">
        <v>2215</v>
      </c>
    </row>
    <row r="896">
      <c r="A896" s="1">
        <v>895.0</v>
      </c>
      <c r="B896" s="1" t="s">
        <v>2216</v>
      </c>
      <c r="C896" s="1" t="s">
        <v>21</v>
      </c>
      <c r="K896" s="1">
        <v>30.0</v>
      </c>
      <c r="N896" s="5">
        <v>44078.0</v>
      </c>
      <c r="Q896" s="1" t="s">
        <v>2217</v>
      </c>
    </row>
    <row r="897">
      <c r="A897" s="1">
        <v>896.0</v>
      </c>
      <c r="B897" s="1" t="s">
        <v>2218</v>
      </c>
      <c r="C897" s="1" t="s">
        <v>21</v>
      </c>
      <c r="N897" s="5">
        <v>45939.0</v>
      </c>
      <c r="Q897" s="1" t="s">
        <v>2219</v>
      </c>
    </row>
    <row r="898">
      <c r="A898" s="1">
        <v>897.0</v>
      </c>
      <c r="B898" s="1" t="s">
        <v>2220</v>
      </c>
      <c r="C898" s="1" t="s">
        <v>21</v>
      </c>
      <c r="K898" s="1">
        <v>50.0</v>
      </c>
      <c r="N898" s="5">
        <v>43960.0</v>
      </c>
      <c r="Q898" s="1" t="s">
        <v>2221</v>
      </c>
    </row>
    <row r="899">
      <c r="A899" s="1">
        <v>898.0</v>
      </c>
      <c r="B899" s="1" t="s">
        <v>2222</v>
      </c>
      <c r="C899" s="1" t="s">
        <v>21</v>
      </c>
      <c r="N899" s="5">
        <v>44304.0</v>
      </c>
      <c r="Q899" s="1" t="s">
        <v>646</v>
      </c>
    </row>
    <row r="900">
      <c r="A900" s="1">
        <v>899.0</v>
      </c>
      <c r="B900" s="1" t="s">
        <v>2223</v>
      </c>
      <c r="C900" s="1" t="s">
        <v>21</v>
      </c>
      <c r="K900" s="1">
        <v>40.0</v>
      </c>
      <c r="N900" s="5">
        <v>44184.0</v>
      </c>
      <c r="Q900" s="1" t="s">
        <v>2033</v>
      </c>
    </row>
    <row r="901">
      <c r="A901" s="1">
        <v>900.0</v>
      </c>
      <c r="B901" s="1" t="s">
        <v>2224</v>
      </c>
      <c r="C901" s="1" t="s">
        <v>21</v>
      </c>
      <c r="K901" s="1">
        <v>30.0</v>
      </c>
      <c r="N901" s="5">
        <v>44406.0</v>
      </c>
      <c r="Q901" s="1" t="s">
        <v>2225</v>
      </c>
    </row>
    <row r="902">
      <c r="A902" s="1">
        <v>901.0</v>
      </c>
      <c r="B902" s="1" t="s">
        <v>2226</v>
      </c>
      <c r="C902" s="1" t="s">
        <v>21</v>
      </c>
      <c r="N902" s="5">
        <v>44633.0</v>
      </c>
      <c r="Q902" s="1" t="s">
        <v>402</v>
      </c>
    </row>
    <row r="903">
      <c r="A903" s="1">
        <v>902.0</v>
      </c>
      <c r="B903" s="1" t="s">
        <v>2227</v>
      </c>
      <c r="C903" s="1" t="s">
        <v>21</v>
      </c>
      <c r="F903" s="1">
        <v>0.35</v>
      </c>
      <c r="K903" s="1">
        <v>200.0</v>
      </c>
      <c r="N903" s="5">
        <v>43936.0</v>
      </c>
      <c r="O903" s="1" t="s">
        <v>292</v>
      </c>
      <c r="P903" s="1" t="s">
        <v>29</v>
      </c>
      <c r="Q903" s="1" t="s">
        <v>2228</v>
      </c>
      <c r="S903" s="1" t="s">
        <v>319</v>
      </c>
    </row>
    <row r="904">
      <c r="A904" s="1">
        <v>903.0</v>
      </c>
      <c r="B904" s="1" t="s">
        <v>2229</v>
      </c>
      <c r="C904" s="1" t="s">
        <v>21</v>
      </c>
      <c r="K904" s="1">
        <v>50.0</v>
      </c>
      <c r="N904" s="5">
        <v>45184.0</v>
      </c>
      <c r="Q904" s="1" t="s">
        <v>476</v>
      </c>
    </row>
    <row r="905">
      <c r="A905" s="1">
        <v>904.0</v>
      </c>
      <c r="B905" s="1" t="s">
        <v>2230</v>
      </c>
      <c r="C905" s="1" t="s">
        <v>21</v>
      </c>
      <c r="K905" s="1">
        <v>50.0</v>
      </c>
      <c r="N905" s="5">
        <v>44483.0</v>
      </c>
      <c r="Q905" s="1" t="s">
        <v>646</v>
      </c>
    </row>
    <row r="906">
      <c r="A906" s="1">
        <v>905.0</v>
      </c>
      <c r="B906" s="1" t="s">
        <v>2231</v>
      </c>
      <c r="C906" s="1" t="s">
        <v>21</v>
      </c>
      <c r="K906" s="1">
        <v>10.0</v>
      </c>
      <c r="N906" s="5">
        <v>44127.0</v>
      </c>
      <c r="Q906" s="1" t="s">
        <v>2232</v>
      </c>
    </row>
    <row r="907">
      <c r="A907" s="1">
        <v>906.0</v>
      </c>
      <c r="B907" s="1" t="s">
        <v>2233</v>
      </c>
      <c r="C907" s="1" t="s">
        <v>21</v>
      </c>
      <c r="K907" s="1">
        <v>100.0</v>
      </c>
      <c r="N907" s="5">
        <v>44932.0</v>
      </c>
      <c r="Q907" s="1" t="s">
        <v>662</v>
      </c>
    </row>
    <row r="908">
      <c r="A908" s="1">
        <v>907.0</v>
      </c>
      <c r="B908" s="1" t="s">
        <v>2234</v>
      </c>
      <c r="C908" s="1" t="s">
        <v>21</v>
      </c>
      <c r="N908" s="5">
        <v>45031.0</v>
      </c>
      <c r="Q908" s="1" t="s">
        <v>2235</v>
      </c>
    </row>
    <row r="909">
      <c r="A909" s="1">
        <v>908.0</v>
      </c>
      <c r="B909" s="1" t="s">
        <v>2236</v>
      </c>
      <c r="C909" s="1" t="s">
        <v>21</v>
      </c>
      <c r="K909" s="1">
        <v>900.0</v>
      </c>
      <c r="N909" s="5">
        <v>43919.0</v>
      </c>
      <c r="Q909" s="1" t="s">
        <v>2237</v>
      </c>
    </row>
    <row r="910">
      <c r="A910" s="1">
        <v>909.0</v>
      </c>
      <c r="B910" s="1" t="s">
        <v>2238</v>
      </c>
      <c r="C910" s="1" t="s">
        <v>21</v>
      </c>
      <c r="K910" s="1">
        <v>150.0</v>
      </c>
      <c r="N910" s="5">
        <v>45757.0</v>
      </c>
      <c r="Q910" s="1" t="s">
        <v>2239</v>
      </c>
    </row>
    <row r="911">
      <c r="A911" s="1">
        <v>910.0</v>
      </c>
      <c r="B911" s="1" t="s">
        <v>2240</v>
      </c>
      <c r="C911" s="1" t="s">
        <v>21</v>
      </c>
      <c r="K911" s="1">
        <v>40.0</v>
      </c>
      <c r="N911" s="5">
        <v>45055.0</v>
      </c>
      <c r="Q911" s="1" t="s">
        <v>2241</v>
      </c>
    </row>
    <row r="912">
      <c r="A912" s="1">
        <v>911.0</v>
      </c>
      <c r="B912" s="1" t="s">
        <v>2242</v>
      </c>
      <c r="C912" s="1" t="s">
        <v>21</v>
      </c>
      <c r="K912" s="1">
        <v>20.0</v>
      </c>
      <c r="N912" s="5">
        <v>45121.0</v>
      </c>
      <c r="Q912" s="1" t="s">
        <v>2243</v>
      </c>
    </row>
    <row r="913">
      <c r="A913" s="1">
        <v>912.0</v>
      </c>
      <c r="B913" s="1" t="s">
        <v>2244</v>
      </c>
      <c r="C913" s="1" t="s">
        <v>21</v>
      </c>
      <c r="K913" s="1">
        <v>150.0</v>
      </c>
      <c r="N913" s="5">
        <v>44194.0</v>
      </c>
      <c r="Q913" s="1" t="s">
        <v>2245</v>
      </c>
    </row>
    <row r="914">
      <c r="A914" s="1">
        <v>913.0</v>
      </c>
      <c r="B914" s="1" t="s">
        <v>2246</v>
      </c>
      <c r="C914" s="1" t="s">
        <v>21</v>
      </c>
      <c r="K914" s="1">
        <v>30.0</v>
      </c>
      <c r="N914" s="5">
        <v>45334.0</v>
      </c>
      <c r="Q914" s="1" t="s">
        <v>402</v>
      </c>
    </row>
    <row r="915">
      <c r="A915" s="1">
        <v>914.0</v>
      </c>
      <c r="B915" s="1" t="s">
        <v>2247</v>
      </c>
      <c r="C915" s="1" t="s">
        <v>21</v>
      </c>
      <c r="K915" s="1">
        <v>20.0</v>
      </c>
      <c r="N915" s="5">
        <v>43872.0</v>
      </c>
      <c r="Q915" s="1" t="s">
        <v>402</v>
      </c>
    </row>
    <row r="916">
      <c r="A916" s="1">
        <v>915.0</v>
      </c>
      <c r="B916" s="1" t="s">
        <v>2248</v>
      </c>
      <c r="C916" s="1" t="s">
        <v>21</v>
      </c>
      <c r="N916" s="5">
        <v>45314.0</v>
      </c>
      <c r="Q916" s="1" t="s">
        <v>402</v>
      </c>
    </row>
    <row r="917">
      <c r="A917" s="1">
        <v>916.0</v>
      </c>
      <c r="B917" s="1" t="s">
        <v>2249</v>
      </c>
      <c r="C917" s="1" t="s">
        <v>21</v>
      </c>
      <c r="K917" s="1">
        <v>100.0</v>
      </c>
      <c r="N917" s="5">
        <v>44054.0</v>
      </c>
      <c r="Q917" s="1" t="s">
        <v>1045</v>
      </c>
    </row>
    <row r="918">
      <c r="A918" s="1">
        <v>917.0</v>
      </c>
      <c r="B918" s="1" t="s">
        <v>2250</v>
      </c>
      <c r="C918" s="1" t="s">
        <v>21</v>
      </c>
      <c r="K918" s="1">
        <v>350.0</v>
      </c>
      <c r="N918" s="5">
        <v>44445.0</v>
      </c>
      <c r="Q918" s="1" t="s">
        <v>2251</v>
      </c>
    </row>
    <row r="919">
      <c r="A919" s="1">
        <v>918.0</v>
      </c>
      <c r="B919" s="1" t="s">
        <v>2252</v>
      </c>
      <c r="C919" s="1" t="s">
        <v>21</v>
      </c>
      <c r="K919" s="1">
        <v>30.0</v>
      </c>
      <c r="N919" s="5">
        <v>45289.0</v>
      </c>
      <c r="Q919" s="1" t="s">
        <v>646</v>
      </c>
    </row>
    <row r="920">
      <c r="A920" s="1">
        <v>919.0</v>
      </c>
      <c r="B920" s="1" t="s">
        <v>2253</v>
      </c>
      <c r="C920" s="1" t="s">
        <v>21</v>
      </c>
      <c r="K920" s="1">
        <v>100.0</v>
      </c>
      <c r="N920" s="5">
        <v>45166.0</v>
      </c>
      <c r="Q920" s="1" t="s">
        <v>2254</v>
      </c>
    </row>
    <row r="921">
      <c r="A921" s="1">
        <v>920.0</v>
      </c>
      <c r="B921" s="1" t="s">
        <v>2255</v>
      </c>
      <c r="C921" s="1" t="s">
        <v>21</v>
      </c>
      <c r="N921" s="5">
        <v>44378.0</v>
      </c>
      <c r="Q921" s="1" t="s">
        <v>402</v>
      </c>
    </row>
    <row r="922">
      <c r="A922" s="1">
        <v>921.0</v>
      </c>
      <c r="B922" s="1" t="s">
        <v>2256</v>
      </c>
      <c r="C922" s="1" t="s">
        <v>21</v>
      </c>
      <c r="K922" s="1">
        <v>20.0</v>
      </c>
      <c r="N922" s="5">
        <v>45715.0</v>
      </c>
      <c r="Q922" s="1" t="s">
        <v>2257</v>
      </c>
    </row>
    <row r="923">
      <c r="A923" s="1">
        <v>922.0</v>
      </c>
      <c r="B923" s="1" t="s">
        <v>2258</v>
      </c>
      <c r="C923" s="1" t="s">
        <v>21</v>
      </c>
      <c r="K923" s="1">
        <v>30.0</v>
      </c>
      <c r="N923" s="5">
        <v>44348.0</v>
      </c>
      <c r="Q923" s="1" t="s">
        <v>2259</v>
      </c>
    </row>
    <row r="924">
      <c r="A924" s="1">
        <v>923.0</v>
      </c>
      <c r="B924" s="1" t="s">
        <v>2260</v>
      </c>
      <c r="C924" s="1" t="s">
        <v>21</v>
      </c>
      <c r="N924" s="5">
        <v>43909.0</v>
      </c>
      <c r="Q924" s="1" t="s">
        <v>402</v>
      </c>
    </row>
    <row r="925">
      <c r="A925" s="1">
        <v>924.0</v>
      </c>
      <c r="B925" s="1" t="s">
        <v>2261</v>
      </c>
      <c r="C925" s="1" t="s">
        <v>21</v>
      </c>
      <c r="K925" s="1">
        <v>50.0</v>
      </c>
      <c r="N925" s="5">
        <v>44969.0</v>
      </c>
      <c r="Q925" s="1" t="s">
        <v>2262</v>
      </c>
    </row>
    <row r="926">
      <c r="A926" s="1">
        <v>925.0</v>
      </c>
      <c r="B926" s="1" t="s">
        <v>2263</v>
      </c>
      <c r="C926" s="1" t="s">
        <v>21</v>
      </c>
      <c r="K926" s="1">
        <v>40.0</v>
      </c>
      <c r="N926" s="5">
        <v>44833.0</v>
      </c>
      <c r="Q926" s="1" t="s">
        <v>2264</v>
      </c>
    </row>
    <row r="927">
      <c r="A927" s="1">
        <v>926.0</v>
      </c>
      <c r="B927" s="1" t="s">
        <v>2265</v>
      </c>
      <c r="C927" s="1" t="s">
        <v>21</v>
      </c>
      <c r="K927" s="1">
        <v>20.0</v>
      </c>
      <c r="N927" s="5">
        <v>45682.0</v>
      </c>
      <c r="Q927" s="1" t="s">
        <v>2266</v>
      </c>
    </row>
    <row r="928">
      <c r="A928" s="1">
        <v>927.0</v>
      </c>
      <c r="B928" s="1" t="s">
        <v>2267</v>
      </c>
      <c r="C928" s="1" t="s">
        <v>21</v>
      </c>
      <c r="K928" s="1">
        <v>60.0</v>
      </c>
      <c r="N928" s="5">
        <v>45350.0</v>
      </c>
      <c r="Q928" s="1" t="s">
        <v>2268</v>
      </c>
    </row>
    <row r="929">
      <c r="A929" s="1">
        <v>928.0</v>
      </c>
      <c r="B929" s="1" t="s">
        <v>2269</v>
      </c>
      <c r="C929" s="1" t="s">
        <v>21</v>
      </c>
      <c r="K929" s="1">
        <v>60.0</v>
      </c>
      <c r="N929" s="5">
        <v>44337.0</v>
      </c>
      <c r="Q929" s="1" t="s">
        <v>2270</v>
      </c>
    </row>
    <row r="930">
      <c r="A930" s="1">
        <v>929.0</v>
      </c>
      <c r="B930" s="1" t="s">
        <v>2271</v>
      </c>
      <c r="C930" s="1" t="s">
        <v>21</v>
      </c>
      <c r="K930" s="1">
        <v>10.0</v>
      </c>
      <c r="N930" s="5">
        <v>45034.0</v>
      </c>
      <c r="Q930" s="1" t="s">
        <v>2272</v>
      </c>
    </row>
    <row r="931">
      <c r="A931" s="1">
        <v>930.0</v>
      </c>
      <c r="B931" s="1" t="s">
        <v>2273</v>
      </c>
      <c r="C931" s="1" t="s">
        <v>21</v>
      </c>
      <c r="N931" s="5">
        <v>45092.0</v>
      </c>
      <c r="Q931" s="1" t="s">
        <v>402</v>
      </c>
    </row>
    <row r="932">
      <c r="A932" s="1">
        <v>931.0</v>
      </c>
      <c r="B932" s="1" t="s">
        <v>2274</v>
      </c>
      <c r="C932" s="1" t="s">
        <v>21</v>
      </c>
      <c r="N932" s="5">
        <v>45203.0</v>
      </c>
      <c r="Q932" s="1" t="s">
        <v>2275</v>
      </c>
    </row>
    <row r="933">
      <c r="A933" s="1">
        <v>932.0</v>
      </c>
      <c r="B933" s="1" t="s">
        <v>88</v>
      </c>
      <c r="C933" s="1" t="s">
        <v>21</v>
      </c>
      <c r="D933" s="1">
        <v>0.0</v>
      </c>
      <c r="H933" s="1" t="s">
        <v>89</v>
      </c>
      <c r="I933" s="4">
        <v>46237.51724537037</v>
      </c>
      <c r="K933" s="1">
        <v>80.0</v>
      </c>
      <c r="N933" s="5">
        <v>45644.0</v>
      </c>
      <c r="Q933" s="1" t="s">
        <v>93</v>
      </c>
    </row>
    <row r="934">
      <c r="A934" s="1">
        <v>933.0</v>
      </c>
      <c r="B934" s="1" t="s">
        <v>2276</v>
      </c>
      <c r="C934" s="1" t="s">
        <v>21</v>
      </c>
      <c r="K934" s="1">
        <v>30.0</v>
      </c>
      <c r="N934" s="5">
        <v>45703.0</v>
      </c>
      <c r="Q934" s="1" t="s">
        <v>2277</v>
      </c>
    </row>
    <row r="935">
      <c r="A935" s="1">
        <v>934.0</v>
      </c>
      <c r="B935" s="1" t="s">
        <v>2278</v>
      </c>
      <c r="C935" s="1" t="s">
        <v>21</v>
      </c>
      <c r="N935" s="5">
        <v>44321.0</v>
      </c>
      <c r="Q935" s="1" t="s">
        <v>402</v>
      </c>
    </row>
    <row r="936">
      <c r="A936" s="1">
        <v>935.0</v>
      </c>
      <c r="B936" s="1" t="s">
        <v>2279</v>
      </c>
      <c r="C936" s="1" t="s">
        <v>21</v>
      </c>
      <c r="K936" s="1">
        <v>80.0</v>
      </c>
      <c r="N936" s="5">
        <v>43950.0</v>
      </c>
      <c r="Q936" s="1" t="s">
        <v>2280</v>
      </c>
    </row>
    <row r="937">
      <c r="A937" s="1">
        <v>936.0</v>
      </c>
      <c r="B937" s="1" t="s">
        <v>2281</v>
      </c>
      <c r="C937" s="1" t="s">
        <v>21</v>
      </c>
      <c r="K937" s="1">
        <v>150.0</v>
      </c>
      <c r="N937" s="5">
        <v>44229.0</v>
      </c>
      <c r="Q937" s="1" t="s">
        <v>2282</v>
      </c>
    </row>
    <row r="938">
      <c r="A938" s="1">
        <v>937.0</v>
      </c>
      <c r="B938" s="1" t="s">
        <v>2283</v>
      </c>
      <c r="C938" s="1" t="s">
        <v>21</v>
      </c>
      <c r="K938" s="1">
        <v>10.0</v>
      </c>
      <c r="N938" s="5">
        <v>44103.0</v>
      </c>
      <c r="Q938" s="1" t="s">
        <v>2284</v>
      </c>
    </row>
    <row r="939">
      <c r="A939" s="1">
        <v>938.0</v>
      </c>
      <c r="B939" s="1" t="s">
        <v>2285</v>
      </c>
      <c r="C939" s="1" t="s">
        <v>21</v>
      </c>
      <c r="N939" s="5">
        <v>45446.0</v>
      </c>
      <c r="Q939" s="1" t="s">
        <v>2286</v>
      </c>
    </row>
    <row r="940">
      <c r="A940" s="1">
        <v>939.0</v>
      </c>
      <c r="B940" s="1" t="s">
        <v>2287</v>
      </c>
      <c r="C940" s="1" t="s">
        <v>21</v>
      </c>
      <c r="K940" s="1">
        <v>90.0</v>
      </c>
      <c r="N940" s="5">
        <v>44815.0</v>
      </c>
      <c r="Q940" s="1" t="s">
        <v>2288</v>
      </c>
    </row>
    <row r="941">
      <c r="A941" s="1">
        <v>940.0</v>
      </c>
      <c r="B941" s="1" t="s">
        <v>2289</v>
      </c>
      <c r="C941" s="1" t="s">
        <v>21</v>
      </c>
      <c r="K941" s="1">
        <v>40.0</v>
      </c>
      <c r="N941" s="5">
        <v>45727.0</v>
      </c>
      <c r="Q941" s="1" t="s">
        <v>2290</v>
      </c>
    </row>
    <row r="942">
      <c r="A942" s="1">
        <v>941.0</v>
      </c>
      <c r="B942" s="1" t="s">
        <v>2291</v>
      </c>
      <c r="C942" s="1" t="s">
        <v>21</v>
      </c>
      <c r="K942" s="1">
        <v>20.0</v>
      </c>
      <c r="N942" s="5">
        <v>44266.0</v>
      </c>
      <c r="Q942" s="1" t="s">
        <v>2292</v>
      </c>
    </row>
    <row r="943">
      <c r="A943" s="1">
        <v>942.0</v>
      </c>
      <c r="B943" s="1" t="s">
        <v>2293</v>
      </c>
      <c r="C943" s="1" t="s">
        <v>21</v>
      </c>
      <c r="K943" s="1">
        <v>10.0</v>
      </c>
      <c r="N943" s="5">
        <v>44504.0</v>
      </c>
      <c r="Q943" s="1" t="s">
        <v>402</v>
      </c>
    </row>
    <row r="944">
      <c r="A944" s="1">
        <v>943.0</v>
      </c>
      <c r="B944" s="1" t="s">
        <v>2294</v>
      </c>
      <c r="C944" s="1" t="s">
        <v>21</v>
      </c>
      <c r="K944" s="1">
        <v>30.0</v>
      </c>
      <c r="N944" s="5">
        <v>44330.0</v>
      </c>
      <c r="Q944" s="1" t="s">
        <v>402</v>
      </c>
    </row>
    <row r="945">
      <c r="A945" s="1">
        <v>944.0</v>
      </c>
      <c r="B945" s="1" t="s">
        <v>2295</v>
      </c>
      <c r="C945" s="1" t="s">
        <v>21</v>
      </c>
      <c r="K945" s="1">
        <v>200.0</v>
      </c>
      <c r="N945" s="5">
        <v>43959.0</v>
      </c>
      <c r="Q945" s="1" t="s">
        <v>2296</v>
      </c>
    </row>
    <row r="946">
      <c r="A946" s="1">
        <v>945.0</v>
      </c>
      <c r="B946" s="1" t="s">
        <v>2297</v>
      </c>
      <c r="C946" s="1" t="s">
        <v>21</v>
      </c>
      <c r="K946" s="1">
        <v>300.0</v>
      </c>
      <c r="N946" s="5">
        <v>43857.0</v>
      </c>
      <c r="Q946" s="1" t="s">
        <v>2298</v>
      </c>
    </row>
    <row r="947">
      <c r="A947" s="1">
        <v>946.0</v>
      </c>
      <c r="B947" s="1" t="s">
        <v>2299</v>
      </c>
      <c r="C947" s="1" t="s">
        <v>21</v>
      </c>
      <c r="K947" s="1">
        <v>70.0</v>
      </c>
      <c r="N947" s="5">
        <v>44321.0</v>
      </c>
      <c r="Q947" s="1" t="s">
        <v>2300</v>
      </c>
    </row>
    <row r="948">
      <c r="A948" s="1">
        <v>947.0</v>
      </c>
      <c r="B948" s="1" t="s">
        <v>2301</v>
      </c>
      <c r="C948" s="1" t="s">
        <v>21</v>
      </c>
      <c r="K948" s="1">
        <v>400.0</v>
      </c>
      <c r="N948" s="5">
        <v>43841.0</v>
      </c>
      <c r="Q948" s="1" t="s">
        <v>2302</v>
      </c>
    </row>
    <row r="949">
      <c r="A949" s="1">
        <v>948.0</v>
      </c>
      <c r="B949" s="1" t="s">
        <v>2303</v>
      </c>
      <c r="C949" s="1" t="s">
        <v>21</v>
      </c>
      <c r="K949" s="1">
        <v>10.0</v>
      </c>
      <c r="N949" s="5">
        <v>45033.0</v>
      </c>
      <c r="Q949" s="1" t="s">
        <v>2304</v>
      </c>
    </row>
    <row r="950">
      <c r="A950" s="1">
        <v>949.0</v>
      </c>
      <c r="B950" s="1" t="s">
        <v>2305</v>
      </c>
      <c r="C950" s="1" t="s">
        <v>21</v>
      </c>
      <c r="K950" s="1">
        <v>500.0</v>
      </c>
      <c r="N950" s="5">
        <v>44606.0</v>
      </c>
      <c r="Q950" s="1" t="s">
        <v>2306</v>
      </c>
    </row>
    <row r="951">
      <c r="A951" s="1">
        <v>950.0</v>
      </c>
      <c r="B951" s="1" t="s">
        <v>2307</v>
      </c>
      <c r="C951" s="1" t="s">
        <v>21</v>
      </c>
      <c r="K951" s="1">
        <v>350.0</v>
      </c>
      <c r="N951" s="5">
        <v>44558.0</v>
      </c>
      <c r="Q951" s="1" t="s">
        <v>2308</v>
      </c>
    </row>
    <row r="952">
      <c r="A952" s="1">
        <v>951.0</v>
      </c>
      <c r="B952" s="1" t="s">
        <v>2309</v>
      </c>
      <c r="C952" s="1" t="s">
        <v>21</v>
      </c>
      <c r="N952" s="5">
        <v>44700.0</v>
      </c>
      <c r="Q952" s="1" t="s">
        <v>402</v>
      </c>
    </row>
    <row r="953">
      <c r="A953" s="1">
        <v>952.0</v>
      </c>
      <c r="B953" s="1" t="s">
        <v>2310</v>
      </c>
      <c r="C953" s="1" t="s">
        <v>21</v>
      </c>
      <c r="K953" s="1">
        <v>200.0</v>
      </c>
      <c r="N953" s="5">
        <v>44301.0</v>
      </c>
      <c r="Q953" s="1" t="s">
        <v>2311</v>
      </c>
    </row>
    <row r="954">
      <c r="A954" s="1">
        <v>953.0</v>
      </c>
      <c r="B954" s="1" t="s">
        <v>2312</v>
      </c>
      <c r="C954" s="1" t="s">
        <v>21</v>
      </c>
      <c r="K954" s="1">
        <v>150.0</v>
      </c>
      <c r="N954" s="5">
        <v>44126.0</v>
      </c>
      <c r="Q954" s="1" t="s">
        <v>2313</v>
      </c>
    </row>
    <row r="955">
      <c r="A955" s="1">
        <v>954.0</v>
      </c>
      <c r="B955" s="1" t="s">
        <v>2314</v>
      </c>
      <c r="C955" s="1" t="s">
        <v>21</v>
      </c>
      <c r="K955" s="1">
        <v>100.0</v>
      </c>
      <c r="N955" s="5">
        <v>44231.0</v>
      </c>
      <c r="Q955" s="1" t="s">
        <v>2315</v>
      </c>
    </row>
    <row r="956">
      <c r="A956" s="1">
        <v>955.0</v>
      </c>
      <c r="B956" s="1" t="s">
        <v>2316</v>
      </c>
      <c r="C956" s="1" t="s">
        <v>21</v>
      </c>
      <c r="K956" s="1">
        <v>40.0</v>
      </c>
      <c r="N956" s="5">
        <v>45426.0</v>
      </c>
      <c r="Q956" s="1" t="s">
        <v>2317</v>
      </c>
    </row>
    <row r="957">
      <c r="A957" s="1">
        <v>956.0</v>
      </c>
      <c r="B957" s="1" t="s">
        <v>2318</v>
      </c>
      <c r="C957" s="1" t="s">
        <v>21</v>
      </c>
      <c r="K957" s="1">
        <v>10.0</v>
      </c>
      <c r="N957" s="5">
        <v>44037.0</v>
      </c>
      <c r="Q957" s="1" t="s">
        <v>2319</v>
      </c>
    </row>
    <row r="958">
      <c r="A958" s="1">
        <v>957.0</v>
      </c>
      <c r="B958" s="1" t="s">
        <v>2320</v>
      </c>
      <c r="C958" s="1" t="s">
        <v>21</v>
      </c>
      <c r="K958" s="1">
        <v>20.0</v>
      </c>
      <c r="N958" s="5">
        <v>45396.0</v>
      </c>
      <c r="Q958" s="1" t="s">
        <v>2321</v>
      </c>
    </row>
    <row r="959">
      <c r="A959" s="1">
        <v>958.0</v>
      </c>
      <c r="B959" s="1" t="s">
        <v>2322</v>
      </c>
      <c r="C959" s="1" t="s">
        <v>21</v>
      </c>
      <c r="K959" s="1">
        <v>40.0</v>
      </c>
      <c r="N959" s="5">
        <v>44103.0</v>
      </c>
      <c r="Q959" s="1" t="s">
        <v>2323</v>
      </c>
    </row>
    <row r="960">
      <c r="A960" s="1">
        <v>959.0</v>
      </c>
      <c r="B960" s="1" t="s">
        <v>2324</v>
      </c>
      <c r="C960" s="1" t="s">
        <v>21</v>
      </c>
      <c r="K960" s="1">
        <v>200.0</v>
      </c>
      <c r="N960" s="5">
        <v>44199.0</v>
      </c>
      <c r="Q960" s="1" t="s">
        <v>2325</v>
      </c>
    </row>
    <row r="961">
      <c r="A961" s="1">
        <v>960.0</v>
      </c>
      <c r="B961" s="1" t="s">
        <v>2326</v>
      </c>
      <c r="C961" s="1" t="s">
        <v>21</v>
      </c>
      <c r="N961" s="5">
        <v>44614.0</v>
      </c>
      <c r="Q961" s="1" t="s">
        <v>402</v>
      </c>
    </row>
    <row r="962">
      <c r="A962" s="1">
        <v>961.0</v>
      </c>
      <c r="B962" s="1" t="s">
        <v>2327</v>
      </c>
      <c r="C962" s="1" t="s">
        <v>21</v>
      </c>
      <c r="K962" s="1">
        <v>10.0</v>
      </c>
      <c r="N962" s="5">
        <v>44934.0</v>
      </c>
      <c r="Q962" s="1" t="s">
        <v>729</v>
      </c>
    </row>
    <row r="963">
      <c r="A963" s="1">
        <v>962.0</v>
      </c>
      <c r="B963" s="1" t="s">
        <v>2328</v>
      </c>
      <c r="C963" s="1" t="s">
        <v>21</v>
      </c>
      <c r="K963" s="1">
        <v>300.0</v>
      </c>
      <c r="N963" s="5">
        <v>43866.0</v>
      </c>
      <c r="Q963" s="1" t="s">
        <v>2329</v>
      </c>
    </row>
    <row r="964">
      <c r="A964" s="1">
        <v>963.0</v>
      </c>
      <c r="B964" s="1" t="s">
        <v>2330</v>
      </c>
      <c r="C964" s="1" t="s">
        <v>21</v>
      </c>
      <c r="K964" s="1">
        <v>20.0</v>
      </c>
      <c r="N964" s="5">
        <v>45547.0</v>
      </c>
      <c r="Q964" s="1" t="s">
        <v>2331</v>
      </c>
    </row>
    <row r="965">
      <c r="A965" s="1">
        <v>964.0</v>
      </c>
      <c r="B965" s="1" t="s">
        <v>2332</v>
      </c>
      <c r="C965" s="1" t="s">
        <v>21</v>
      </c>
      <c r="K965" s="1">
        <v>40.0</v>
      </c>
      <c r="N965" s="5">
        <v>45096.0</v>
      </c>
      <c r="Q965" s="1" t="s">
        <v>2333</v>
      </c>
    </row>
    <row r="966">
      <c r="A966" s="1">
        <v>965.0</v>
      </c>
      <c r="B966" s="1" t="s">
        <v>2334</v>
      </c>
      <c r="C966" s="1" t="s">
        <v>21</v>
      </c>
      <c r="K966" s="1">
        <v>200.0</v>
      </c>
      <c r="N966" s="5">
        <v>44575.0</v>
      </c>
      <c r="Q966" s="1" t="s">
        <v>2335</v>
      </c>
    </row>
    <row r="967">
      <c r="A967" s="1">
        <v>966.0</v>
      </c>
      <c r="B967" s="1" t="s">
        <v>2336</v>
      </c>
      <c r="C967" s="1" t="s">
        <v>21</v>
      </c>
      <c r="K967" s="1">
        <v>200.0</v>
      </c>
      <c r="N967" s="5">
        <v>44796.0</v>
      </c>
      <c r="Q967" s="1" t="s">
        <v>2337</v>
      </c>
    </row>
    <row r="968">
      <c r="A968" s="1">
        <v>967.0</v>
      </c>
      <c r="B968" s="1" t="s">
        <v>2338</v>
      </c>
      <c r="C968" s="1" t="s">
        <v>21</v>
      </c>
      <c r="K968" s="1">
        <v>90.0</v>
      </c>
      <c r="N968" s="5">
        <v>45127.0</v>
      </c>
      <c r="Q968" s="1" t="s">
        <v>2339</v>
      </c>
    </row>
    <row r="969">
      <c r="A969" s="1">
        <v>968.0</v>
      </c>
      <c r="B969" s="1" t="s">
        <v>2340</v>
      </c>
      <c r="C969" s="1" t="s">
        <v>21</v>
      </c>
      <c r="K969" s="1">
        <v>300.0</v>
      </c>
      <c r="N969" s="5">
        <v>43909.0</v>
      </c>
      <c r="Q969" s="1" t="s">
        <v>2341</v>
      </c>
    </row>
    <row r="970">
      <c r="A970" s="1">
        <v>969.0</v>
      </c>
      <c r="B970" s="1" t="s">
        <v>2342</v>
      </c>
      <c r="C970" s="1" t="s">
        <v>21</v>
      </c>
      <c r="N970" s="5">
        <v>45534.0</v>
      </c>
      <c r="Q970" s="1" t="s">
        <v>2343</v>
      </c>
    </row>
    <row r="971">
      <c r="A971" s="1">
        <v>970.0</v>
      </c>
      <c r="B971" s="1" t="s">
        <v>2344</v>
      </c>
      <c r="C971" s="1" t="s">
        <v>21</v>
      </c>
      <c r="K971" s="1">
        <v>500.0</v>
      </c>
      <c r="N971" s="5">
        <v>42514.0</v>
      </c>
      <c r="Q971" s="1" t="s">
        <v>2345</v>
      </c>
    </row>
    <row r="972">
      <c r="A972" s="1">
        <v>971.0</v>
      </c>
      <c r="B972" s="1" t="s">
        <v>2346</v>
      </c>
      <c r="C972" s="1" t="s">
        <v>21</v>
      </c>
      <c r="K972" s="1">
        <v>150.0</v>
      </c>
      <c r="N972" s="5">
        <v>45220.0</v>
      </c>
      <c r="Q972" s="1" t="s">
        <v>2347</v>
      </c>
    </row>
    <row r="973">
      <c r="A973" s="1">
        <v>972.0</v>
      </c>
      <c r="B973" s="1" t="s">
        <v>2348</v>
      </c>
      <c r="C973" s="1" t="s">
        <v>21</v>
      </c>
      <c r="K973" s="1">
        <v>50.0</v>
      </c>
      <c r="N973" s="5">
        <v>44941.0</v>
      </c>
      <c r="Q973" s="1" t="s">
        <v>2349</v>
      </c>
    </row>
    <row r="974">
      <c r="A974" s="1">
        <v>973.0</v>
      </c>
      <c r="B974" s="1" t="s">
        <v>2350</v>
      </c>
      <c r="C974" s="1" t="s">
        <v>21</v>
      </c>
      <c r="K974" s="1">
        <v>40.0</v>
      </c>
      <c r="N974" s="5">
        <v>44962.0</v>
      </c>
      <c r="Q974" s="1" t="s">
        <v>402</v>
      </c>
    </row>
    <row r="975">
      <c r="A975" s="1">
        <v>974.0</v>
      </c>
      <c r="B975" s="1" t="s">
        <v>2351</v>
      </c>
      <c r="C975" s="1" t="s">
        <v>21</v>
      </c>
      <c r="K975" s="1">
        <v>40.0</v>
      </c>
      <c r="N975" s="5">
        <v>45458.0</v>
      </c>
      <c r="Q975" s="1" t="s">
        <v>2352</v>
      </c>
    </row>
    <row r="976">
      <c r="A976" s="1">
        <v>975.0</v>
      </c>
      <c r="B976" s="1" t="s">
        <v>2353</v>
      </c>
      <c r="C976" s="1" t="s">
        <v>21</v>
      </c>
      <c r="K976" s="1">
        <v>30.0</v>
      </c>
      <c r="N976" s="5">
        <v>43915.0</v>
      </c>
      <c r="Q976" s="1" t="s">
        <v>2354</v>
      </c>
    </row>
    <row r="977">
      <c r="A977" s="1">
        <v>976.0</v>
      </c>
      <c r="B977" s="1" t="s">
        <v>2355</v>
      </c>
      <c r="C977" s="1" t="s">
        <v>21</v>
      </c>
      <c r="K977" s="1">
        <v>600.0</v>
      </c>
      <c r="N977" s="5">
        <v>43542.0</v>
      </c>
      <c r="Q977" s="1" t="s">
        <v>2356</v>
      </c>
    </row>
    <row r="978">
      <c r="A978" s="1">
        <v>977.0</v>
      </c>
      <c r="B978" s="1" t="s">
        <v>2357</v>
      </c>
      <c r="C978" s="1" t="s">
        <v>21</v>
      </c>
      <c r="N978" s="5">
        <v>44025.0</v>
      </c>
      <c r="Q978" s="1" t="s">
        <v>402</v>
      </c>
    </row>
    <row r="979">
      <c r="A979" s="1">
        <v>978.0</v>
      </c>
      <c r="B979" s="1" t="s">
        <v>2358</v>
      </c>
      <c r="C979" s="1" t="s">
        <v>21</v>
      </c>
      <c r="K979" s="1">
        <v>200.0</v>
      </c>
      <c r="N979" s="5">
        <v>44400.0</v>
      </c>
      <c r="Q979" s="1" t="s">
        <v>2359</v>
      </c>
    </row>
    <row r="980">
      <c r="A980" s="1">
        <v>979.0</v>
      </c>
      <c r="B980" s="1" t="s">
        <v>2360</v>
      </c>
      <c r="C980" s="1" t="s">
        <v>21</v>
      </c>
      <c r="K980" s="1">
        <v>350.0</v>
      </c>
      <c r="N980" s="5">
        <v>44043.0</v>
      </c>
      <c r="Q980" s="1" t="s">
        <v>2361</v>
      </c>
    </row>
    <row r="981">
      <c r="A981" s="1">
        <v>980.0</v>
      </c>
      <c r="B981" s="1" t="s">
        <v>2362</v>
      </c>
      <c r="C981" s="1" t="s">
        <v>21</v>
      </c>
      <c r="K981" s="1">
        <v>40.0</v>
      </c>
      <c r="N981" s="5">
        <v>45290.0</v>
      </c>
      <c r="Q981" s="1" t="s">
        <v>2363</v>
      </c>
    </row>
    <row r="982">
      <c r="A982" s="1">
        <v>981.0</v>
      </c>
      <c r="B982" s="1" t="s">
        <v>2364</v>
      </c>
      <c r="C982" s="1" t="s">
        <v>21</v>
      </c>
      <c r="K982" s="1">
        <v>10.0</v>
      </c>
      <c r="N982" s="5">
        <v>44037.0</v>
      </c>
      <c r="Q982" s="1" t="s">
        <v>402</v>
      </c>
    </row>
    <row r="983">
      <c r="A983" s="1">
        <v>982.0</v>
      </c>
      <c r="B983" s="1" t="s">
        <v>2365</v>
      </c>
      <c r="C983" s="1" t="s">
        <v>21</v>
      </c>
      <c r="K983" s="1">
        <v>150.0</v>
      </c>
      <c r="N983" s="5">
        <v>44807.0</v>
      </c>
      <c r="Q983" s="1" t="s">
        <v>2366</v>
      </c>
    </row>
    <row r="984">
      <c r="A984" s="1">
        <v>983.0</v>
      </c>
      <c r="B984" s="1" t="s">
        <v>2367</v>
      </c>
      <c r="C984" s="1" t="s">
        <v>21</v>
      </c>
      <c r="K984" s="1">
        <v>250.0</v>
      </c>
      <c r="N984" s="5">
        <v>45135.0</v>
      </c>
      <c r="Q984" s="1" t="s">
        <v>2368</v>
      </c>
    </row>
    <row r="985">
      <c r="A985" s="1">
        <v>984.0</v>
      </c>
      <c r="B985" s="1" t="s">
        <v>63</v>
      </c>
      <c r="C985" s="1" t="s">
        <v>21</v>
      </c>
      <c r="K985" s="1">
        <v>40.0</v>
      </c>
      <c r="N985" s="5">
        <v>45156.0</v>
      </c>
      <c r="Q985" s="1" t="s">
        <v>68</v>
      </c>
    </row>
    <row r="986">
      <c r="A986" s="1">
        <v>985.0</v>
      </c>
      <c r="B986" s="1" t="s">
        <v>2369</v>
      </c>
      <c r="C986" s="1" t="s">
        <v>21</v>
      </c>
      <c r="K986" s="1">
        <v>1200.0</v>
      </c>
      <c r="N986" s="5">
        <v>43017.0</v>
      </c>
      <c r="Q986" s="1" t="s">
        <v>2370</v>
      </c>
    </row>
    <row r="987">
      <c r="A987" s="1">
        <v>986.0</v>
      </c>
      <c r="B987" s="1" t="s">
        <v>2371</v>
      </c>
      <c r="C987" s="1" t="s">
        <v>21</v>
      </c>
      <c r="K987" s="1">
        <v>10.0</v>
      </c>
      <c r="N987" s="5">
        <v>44505.0</v>
      </c>
      <c r="Q987" s="1" t="s">
        <v>2372</v>
      </c>
    </row>
    <row r="988">
      <c r="A988" s="1">
        <v>987.0</v>
      </c>
      <c r="B988" s="1" t="s">
        <v>2373</v>
      </c>
      <c r="C988" s="1" t="s">
        <v>21</v>
      </c>
      <c r="K988" s="1">
        <v>80.0</v>
      </c>
      <c r="N988" s="5">
        <v>44333.0</v>
      </c>
      <c r="Q988" s="1" t="s">
        <v>496</v>
      </c>
    </row>
    <row r="989">
      <c r="A989" s="1">
        <v>988.0</v>
      </c>
      <c r="B989" s="1" t="s">
        <v>2374</v>
      </c>
      <c r="C989" s="1" t="s">
        <v>21</v>
      </c>
      <c r="K989" s="1">
        <v>30.0</v>
      </c>
      <c r="N989" s="5">
        <v>44851.0</v>
      </c>
      <c r="Q989" s="1" t="s">
        <v>2375</v>
      </c>
    </row>
    <row r="990">
      <c r="A990" s="1">
        <v>989.0</v>
      </c>
      <c r="B990" s="1" t="s">
        <v>2376</v>
      </c>
      <c r="C990" s="1" t="s">
        <v>21</v>
      </c>
      <c r="K990" s="1">
        <v>30.0</v>
      </c>
      <c r="N990" s="5">
        <v>45105.0</v>
      </c>
      <c r="Q990" s="1" t="s">
        <v>402</v>
      </c>
    </row>
    <row r="991">
      <c r="A991" s="1">
        <v>990.0</v>
      </c>
      <c r="B991" s="1" t="s">
        <v>2377</v>
      </c>
      <c r="C991" s="1" t="s">
        <v>21</v>
      </c>
      <c r="K991" s="1">
        <v>20.0</v>
      </c>
      <c r="N991" s="5">
        <v>45606.0</v>
      </c>
      <c r="Q991" s="1" t="s">
        <v>2378</v>
      </c>
    </row>
    <row r="992">
      <c r="A992" s="1">
        <v>991.0</v>
      </c>
      <c r="B992" s="1" t="s">
        <v>2379</v>
      </c>
      <c r="C992" s="1" t="s">
        <v>21</v>
      </c>
      <c r="K992" s="1">
        <v>1300.0</v>
      </c>
      <c r="N992" s="5">
        <v>43968.0</v>
      </c>
      <c r="Q992" s="1" t="s">
        <v>2380</v>
      </c>
    </row>
    <row r="993">
      <c r="A993" s="1">
        <v>992.0</v>
      </c>
      <c r="B993" s="1" t="s">
        <v>2381</v>
      </c>
      <c r="C993" s="1" t="s">
        <v>21</v>
      </c>
      <c r="K993" s="1">
        <v>90.0</v>
      </c>
      <c r="N993" s="5">
        <v>45402.0</v>
      </c>
      <c r="Q993" s="1" t="s">
        <v>2382</v>
      </c>
    </row>
    <row r="994">
      <c r="A994" s="1">
        <v>993.0</v>
      </c>
      <c r="B994" s="1" t="s">
        <v>2383</v>
      </c>
      <c r="C994" s="1" t="s">
        <v>21</v>
      </c>
      <c r="N994" s="5">
        <v>44513.0</v>
      </c>
      <c r="Q994" s="1" t="s">
        <v>402</v>
      </c>
    </row>
    <row r="995">
      <c r="A995" s="1">
        <v>994.0</v>
      </c>
      <c r="B995" s="1" t="s">
        <v>2384</v>
      </c>
      <c r="C995" s="1" t="s">
        <v>21</v>
      </c>
      <c r="N995" s="5">
        <v>45324.0</v>
      </c>
      <c r="Q995" s="1" t="s">
        <v>2385</v>
      </c>
    </row>
    <row r="996">
      <c r="A996" s="1">
        <v>995.0</v>
      </c>
      <c r="B996" s="1" t="s">
        <v>2386</v>
      </c>
      <c r="C996" s="1" t="s">
        <v>21</v>
      </c>
      <c r="K996" s="1">
        <v>40.0</v>
      </c>
      <c r="N996" s="5">
        <v>45375.0</v>
      </c>
      <c r="Q996" s="1" t="s">
        <v>2387</v>
      </c>
    </row>
    <row r="997">
      <c r="A997" s="1">
        <v>996.0</v>
      </c>
      <c r="B997" s="1" t="s">
        <v>2388</v>
      </c>
      <c r="C997" s="1" t="s">
        <v>21</v>
      </c>
      <c r="K997" s="1">
        <v>10.0</v>
      </c>
      <c r="N997" s="5">
        <v>44386.0</v>
      </c>
      <c r="Q997" s="1" t="s">
        <v>2389</v>
      </c>
    </row>
    <row r="998">
      <c r="A998" s="1">
        <v>997.0</v>
      </c>
      <c r="B998" s="1" t="s">
        <v>2390</v>
      </c>
      <c r="C998" s="1" t="s">
        <v>21</v>
      </c>
      <c r="K998" s="1">
        <v>10.0</v>
      </c>
      <c r="N998" s="5">
        <v>44848.0</v>
      </c>
      <c r="Q998" s="1" t="s">
        <v>2391</v>
      </c>
    </row>
    <row r="999">
      <c r="A999" s="1">
        <v>998.0</v>
      </c>
      <c r="B999" s="1" t="s">
        <v>2392</v>
      </c>
      <c r="C999" s="1" t="s">
        <v>21</v>
      </c>
      <c r="K999" s="1">
        <v>30.0</v>
      </c>
      <c r="N999" s="5">
        <v>45642.0</v>
      </c>
      <c r="Q999" s="1" t="s">
        <v>2393</v>
      </c>
    </row>
    <row r="1000">
      <c r="A1000" s="1">
        <v>999.0</v>
      </c>
      <c r="B1000" s="1" t="s">
        <v>2394</v>
      </c>
      <c r="C1000" s="1" t="s">
        <v>21</v>
      </c>
      <c r="K1000" s="1">
        <v>100.0</v>
      </c>
      <c r="N1000" s="5">
        <v>44679.0</v>
      </c>
      <c r="Q1000" s="1" t="s">
        <v>2395</v>
      </c>
    </row>
    <row r="1001">
      <c r="A1001" s="1">
        <v>1000.0</v>
      </c>
      <c r="B1001" s="1" t="s">
        <v>2396</v>
      </c>
      <c r="C1001" s="1" t="s">
        <v>21</v>
      </c>
      <c r="K1001" s="1">
        <v>30.0</v>
      </c>
      <c r="N1001" s="5">
        <v>44310.0</v>
      </c>
      <c r="Q1001" s="1" t="s">
        <v>2397</v>
      </c>
    </row>
    <row r="1002">
      <c r="A1002" s="1">
        <v>1001.0</v>
      </c>
      <c r="B1002" s="1" t="s">
        <v>2398</v>
      </c>
      <c r="C1002" s="1" t="s">
        <v>21</v>
      </c>
      <c r="K1002" s="1">
        <v>150.0</v>
      </c>
      <c r="N1002" s="5">
        <v>44712.0</v>
      </c>
      <c r="Q1002" s="1" t="s">
        <v>2399</v>
      </c>
    </row>
    <row r="1003">
      <c r="A1003" s="1">
        <v>1002.0</v>
      </c>
      <c r="B1003" s="1" t="s">
        <v>2400</v>
      </c>
      <c r="C1003" s="1" t="s">
        <v>21</v>
      </c>
      <c r="K1003" s="1">
        <v>40.0</v>
      </c>
      <c r="N1003" s="5">
        <v>44259.0</v>
      </c>
      <c r="Q1003" s="1" t="s">
        <v>2401</v>
      </c>
    </row>
    <row r="1004">
      <c r="A1004" s="1">
        <v>1003.0</v>
      </c>
      <c r="B1004" s="1" t="s">
        <v>2402</v>
      </c>
      <c r="C1004" s="1" t="s">
        <v>21</v>
      </c>
      <c r="K1004" s="1">
        <v>70.0</v>
      </c>
      <c r="N1004" s="5">
        <v>43977.0</v>
      </c>
      <c r="Q1004" s="1" t="s">
        <v>2403</v>
      </c>
    </row>
    <row r="1005">
      <c r="A1005" s="1">
        <v>1004.0</v>
      </c>
      <c r="B1005" s="1" t="s">
        <v>2404</v>
      </c>
      <c r="C1005" s="1" t="s">
        <v>21</v>
      </c>
      <c r="K1005" s="1">
        <v>30.0</v>
      </c>
      <c r="N1005" s="5">
        <v>44547.0</v>
      </c>
      <c r="Q1005" s="1" t="s">
        <v>2333</v>
      </c>
    </row>
    <row r="1006">
      <c r="A1006" s="1">
        <v>1005.0</v>
      </c>
      <c r="B1006" s="1" t="s">
        <v>2405</v>
      </c>
      <c r="C1006" s="1" t="s">
        <v>21</v>
      </c>
      <c r="K1006" s="1">
        <v>50.0</v>
      </c>
      <c r="N1006" s="5">
        <v>45202.0</v>
      </c>
      <c r="Q1006" s="1" t="s">
        <v>759</v>
      </c>
    </row>
    <row r="1007">
      <c r="A1007" s="1">
        <v>1006.0</v>
      </c>
      <c r="B1007" s="1" t="s">
        <v>2406</v>
      </c>
      <c r="C1007" s="1" t="s">
        <v>21</v>
      </c>
      <c r="K1007" s="1">
        <v>350.0</v>
      </c>
      <c r="N1007" s="5">
        <v>44073.0</v>
      </c>
      <c r="Q1007" s="1" t="s">
        <v>2407</v>
      </c>
    </row>
    <row r="1008">
      <c r="A1008" s="1">
        <v>1007.0</v>
      </c>
      <c r="B1008" s="1" t="s">
        <v>2408</v>
      </c>
      <c r="C1008" s="1" t="s">
        <v>21</v>
      </c>
      <c r="K1008" s="1">
        <v>20.0</v>
      </c>
      <c r="N1008" s="5">
        <v>44812.0</v>
      </c>
      <c r="Q1008" s="1" t="s">
        <v>1765</v>
      </c>
    </row>
    <row r="1009">
      <c r="A1009" s="1">
        <v>1008.0</v>
      </c>
      <c r="B1009" s="1" t="s">
        <v>2409</v>
      </c>
      <c r="C1009" s="1" t="s">
        <v>21</v>
      </c>
      <c r="N1009" s="5">
        <v>44901.0</v>
      </c>
      <c r="Q1009" s="1" t="s">
        <v>402</v>
      </c>
    </row>
    <row r="1010">
      <c r="A1010" s="1">
        <v>1009.0</v>
      </c>
      <c r="B1010" s="1" t="s">
        <v>2410</v>
      </c>
      <c r="C1010" s="1" t="s">
        <v>21</v>
      </c>
      <c r="N1010" s="5">
        <v>43745.0</v>
      </c>
      <c r="Q1010" s="1" t="s">
        <v>2385</v>
      </c>
    </row>
    <row r="1011">
      <c r="A1011" s="1">
        <v>1010.0</v>
      </c>
      <c r="B1011" s="1" t="s">
        <v>2411</v>
      </c>
      <c r="C1011" s="1" t="s">
        <v>21</v>
      </c>
      <c r="K1011" s="1">
        <v>500.0</v>
      </c>
      <c r="N1011" s="5">
        <v>44344.0</v>
      </c>
      <c r="Q1011" s="1" t="s">
        <v>2412</v>
      </c>
    </row>
    <row r="1012">
      <c r="A1012" s="1">
        <v>1011.0</v>
      </c>
      <c r="B1012" s="1" t="s">
        <v>2413</v>
      </c>
      <c r="C1012" s="1" t="s">
        <v>21</v>
      </c>
      <c r="K1012" s="1">
        <v>30.0</v>
      </c>
      <c r="N1012" s="5">
        <v>45432.0</v>
      </c>
      <c r="Q1012" s="1" t="s">
        <v>2414</v>
      </c>
    </row>
    <row r="1013">
      <c r="A1013" s="1">
        <v>1012.0</v>
      </c>
      <c r="B1013" s="1" t="s">
        <v>2415</v>
      </c>
      <c r="C1013" s="1" t="s">
        <v>21</v>
      </c>
      <c r="K1013" s="1">
        <v>150.0</v>
      </c>
      <c r="N1013" s="5">
        <v>43484.0</v>
      </c>
      <c r="Q1013" s="1" t="s">
        <v>2416</v>
      </c>
    </row>
    <row r="1014">
      <c r="A1014" s="1">
        <v>1013.0</v>
      </c>
      <c r="B1014" s="1" t="s">
        <v>2417</v>
      </c>
      <c r="C1014" s="1" t="s">
        <v>21</v>
      </c>
      <c r="K1014" s="1">
        <v>20.0</v>
      </c>
      <c r="N1014" s="5">
        <v>44742.0</v>
      </c>
      <c r="Q1014" s="1" t="s">
        <v>2418</v>
      </c>
    </row>
    <row r="1015">
      <c r="A1015" s="1">
        <v>1014.0</v>
      </c>
      <c r="B1015" s="1" t="s">
        <v>2419</v>
      </c>
      <c r="C1015" s="1" t="s">
        <v>21</v>
      </c>
      <c r="K1015" s="1">
        <v>100.0</v>
      </c>
      <c r="N1015" s="5">
        <v>44653.0</v>
      </c>
      <c r="Q1015" s="1" t="s">
        <v>2420</v>
      </c>
    </row>
    <row r="1016">
      <c r="A1016" s="1">
        <v>1015.0</v>
      </c>
      <c r="B1016" s="1" t="s">
        <v>2421</v>
      </c>
      <c r="C1016" s="1" t="s">
        <v>21</v>
      </c>
      <c r="N1016" s="5">
        <v>45222.0</v>
      </c>
      <c r="Q1016" s="1" t="s">
        <v>402</v>
      </c>
    </row>
    <row r="1017">
      <c r="A1017" s="1">
        <v>1016.0</v>
      </c>
      <c r="B1017" s="1" t="s">
        <v>2422</v>
      </c>
      <c r="C1017" s="1" t="s">
        <v>21</v>
      </c>
      <c r="N1017" s="5">
        <v>44644.0</v>
      </c>
      <c r="Q1017" s="1" t="s">
        <v>402</v>
      </c>
    </row>
    <row r="1018">
      <c r="A1018" s="1">
        <v>1017.0</v>
      </c>
      <c r="B1018" s="1" t="s">
        <v>2423</v>
      </c>
      <c r="C1018" s="1" t="s">
        <v>21</v>
      </c>
      <c r="N1018" s="5">
        <v>44594.0</v>
      </c>
      <c r="Q1018" s="1" t="s">
        <v>402</v>
      </c>
    </row>
    <row r="1019">
      <c r="A1019" s="1">
        <v>1018.0</v>
      </c>
      <c r="B1019" s="1" t="s">
        <v>2424</v>
      </c>
      <c r="C1019" s="1" t="s">
        <v>21</v>
      </c>
      <c r="N1019" s="5">
        <v>44711.0</v>
      </c>
      <c r="Q1019" s="1" t="s">
        <v>402</v>
      </c>
    </row>
    <row r="1020">
      <c r="A1020" s="1">
        <v>1019.0</v>
      </c>
      <c r="B1020" s="1" t="s">
        <v>2425</v>
      </c>
      <c r="C1020" s="1" t="s">
        <v>21</v>
      </c>
      <c r="K1020" s="1">
        <v>20.0</v>
      </c>
      <c r="N1020" s="5">
        <v>45001.0</v>
      </c>
      <c r="Q1020" s="1" t="s">
        <v>980</v>
      </c>
    </row>
    <row r="1021">
      <c r="A1021" s="1">
        <v>1020.0</v>
      </c>
      <c r="B1021" s="1" t="s">
        <v>2426</v>
      </c>
      <c r="C1021" s="1" t="s">
        <v>21</v>
      </c>
      <c r="K1021" s="1">
        <v>50.0</v>
      </c>
      <c r="N1021" s="5">
        <v>45563.0</v>
      </c>
      <c r="Q1021" s="1" t="s">
        <v>2427</v>
      </c>
    </row>
    <row r="1022">
      <c r="A1022" s="1">
        <v>1021.0</v>
      </c>
      <c r="B1022" s="1" t="s">
        <v>2428</v>
      </c>
      <c r="C1022" s="1" t="s">
        <v>21</v>
      </c>
      <c r="K1022" s="1">
        <v>10.0</v>
      </c>
      <c r="N1022" s="5">
        <v>45926.0</v>
      </c>
      <c r="Q1022" s="1" t="s">
        <v>2429</v>
      </c>
    </row>
    <row r="1023">
      <c r="A1023" s="1">
        <v>1022.0</v>
      </c>
      <c r="B1023" s="1" t="s">
        <v>2430</v>
      </c>
      <c r="C1023" s="1" t="s">
        <v>21</v>
      </c>
      <c r="K1023" s="1">
        <v>10.0</v>
      </c>
      <c r="N1023" s="5">
        <v>45413.0</v>
      </c>
      <c r="Q1023" s="1" t="s">
        <v>759</v>
      </c>
    </row>
    <row r="1024">
      <c r="A1024" s="1">
        <v>1023.0</v>
      </c>
      <c r="B1024" s="1" t="s">
        <v>2431</v>
      </c>
      <c r="C1024" s="1" t="s">
        <v>21</v>
      </c>
      <c r="K1024" s="1">
        <v>1800.0</v>
      </c>
      <c r="N1024" s="5">
        <v>43845.0</v>
      </c>
      <c r="Q1024" s="1" t="s">
        <v>2432</v>
      </c>
    </row>
    <row r="1025">
      <c r="A1025" s="1">
        <v>1024.0</v>
      </c>
      <c r="B1025" s="1" t="s">
        <v>2433</v>
      </c>
      <c r="C1025" s="1" t="s">
        <v>21</v>
      </c>
      <c r="K1025" s="1">
        <v>20.0</v>
      </c>
      <c r="N1025" s="5">
        <v>45623.0</v>
      </c>
      <c r="Q1025" s="1" t="s">
        <v>2434</v>
      </c>
    </row>
    <row r="1026">
      <c r="A1026" s="1">
        <v>1025.0</v>
      </c>
      <c r="B1026" s="1" t="s">
        <v>2435</v>
      </c>
      <c r="C1026" s="1" t="s">
        <v>21</v>
      </c>
      <c r="K1026" s="1">
        <v>30.0</v>
      </c>
      <c r="N1026" s="5">
        <v>44783.0</v>
      </c>
      <c r="Q1026" s="1" t="s">
        <v>2436</v>
      </c>
    </row>
    <row r="1027">
      <c r="A1027" s="1">
        <v>1026.0</v>
      </c>
      <c r="B1027" s="1" t="s">
        <v>2437</v>
      </c>
      <c r="C1027" s="1" t="s">
        <v>21</v>
      </c>
      <c r="K1027" s="1">
        <v>300.0</v>
      </c>
      <c r="N1027" s="5">
        <v>44158.0</v>
      </c>
      <c r="Q1027" s="1" t="s">
        <v>2438</v>
      </c>
    </row>
    <row r="1028">
      <c r="A1028" s="1">
        <v>1027.0</v>
      </c>
      <c r="B1028" s="1" t="s">
        <v>2439</v>
      </c>
      <c r="C1028" s="1" t="s">
        <v>21</v>
      </c>
      <c r="K1028" s="1">
        <v>20.0</v>
      </c>
      <c r="N1028" s="5">
        <v>43853.0</v>
      </c>
      <c r="Q1028" s="1" t="s">
        <v>2440</v>
      </c>
    </row>
    <row r="1029">
      <c r="A1029" s="1">
        <v>1028.0</v>
      </c>
      <c r="B1029" s="1" t="s">
        <v>2441</v>
      </c>
      <c r="C1029" s="1" t="s">
        <v>21</v>
      </c>
      <c r="K1029" s="1">
        <v>700.0</v>
      </c>
      <c r="N1029" s="5">
        <v>44384.0</v>
      </c>
      <c r="Q1029" s="1" t="s">
        <v>2442</v>
      </c>
    </row>
    <row r="1030">
      <c r="A1030" s="1">
        <v>1029.0</v>
      </c>
      <c r="B1030" s="1" t="s">
        <v>2443</v>
      </c>
      <c r="C1030" s="1" t="s">
        <v>21</v>
      </c>
      <c r="K1030" s="1">
        <v>400.0</v>
      </c>
      <c r="N1030" s="5">
        <v>44282.0</v>
      </c>
      <c r="Q1030" s="1" t="s">
        <v>2444</v>
      </c>
    </row>
    <row r="1031">
      <c r="A1031" s="1">
        <v>1030.0</v>
      </c>
      <c r="B1031" s="1" t="s">
        <v>2445</v>
      </c>
      <c r="C1031" s="1" t="s">
        <v>21</v>
      </c>
      <c r="K1031" s="1">
        <v>20.0</v>
      </c>
      <c r="N1031" s="5">
        <v>44172.0</v>
      </c>
      <c r="Q1031" s="1" t="s">
        <v>402</v>
      </c>
    </row>
    <row r="1032">
      <c r="A1032" s="1">
        <v>1031.0</v>
      </c>
      <c r="B1032" s="1" t="s">
        <v>2446</v>
      </c>
      <c r="C1032" s="1" t="s">
        <v>21</v>
      </c>
      <c r="N1032" s="5">
        <v>43911.0</v>
      </c>
      <c r="Q1032" s="1" t="s">
        <v>402</v>
      </c>
    </row>
    <row r="1033">
      <c r="A1033" s="1">
        <v>1032.0</v>
      </c>
      <c r="B1033" s="1" t="s">
        <v>2447</v>
      </c>
      <c r="C1033" s="1" t="s">
        <v>21</v>
      </c>
      <c r="K1033" s="1">
        <v>50.0</v>
      </c>
      <c r="N1033" s="5">
        <v>45268.0</v>
      </c>
      <c r="Q1033" s="1" t="s">
        <v>529</v>
      </c>
    </row>
    <row r="1034">
      <c r="A1034" s="1">
        <v>1033.0</v>
      </c>
      <c r="B1034" s="1" t="s">
        <v>2448</v>
      </c>
      <c r="C1034" s="1" t="s">
        <v>21</v>
      </c>
      <c r="K1034" s="1">
        <v>10.0</v>
      </c>
      <c r="N1034" s="5">
        <v>44197.0</v>
      </c>
      <c r="Q1034" s="1" t="s">
        <v>2449</v>
      </c>
    </row>
    <row r="1035">
      <c r="A1035" s="1">
        <v>1034.0</v>
      </c>
      <c r="B1035" s="1" t="s">
        <v>2450</v>
      </c>
      <c r="C1035" s="1" t="s">
        <v>21</v>
      </c>
      <c r="K1035" s="1">
        <v>80.0</v>
      </c>
      <c r="N1035" s="5">
        <v>45755.0</v>
      </c>
      <c r="Q1035" s="1" t="s">
        <v>2451</v>
      </c>
    </row>
    <row r="1036">
      <c r="A1036" s="1">
        <v>1035.0</v>
      </c>
      <c r="B1036" s="1" t="s">
        <v>2452</v>
      </c>
      <c r="C1036" s="1" t="s">
        <v>21</v>
      </c>
      <c r="K1036" s="1">
        <v>10.0</v>
      </c>
      <c r="N1036" s="5">
        <v>45089.0</v>
      </c>
      <c r="Q1036" s="1" t="s">
        <v>402</v>
      </c>
    </row>
    <row r="1037">
      <c r="A1037" s="1">
        <v>1036.0</v>
      </c>
      <c r="B1037" s="1" t="s">
        <v>2453</v>
      </c>
      <c r="C1037" s="1" t="s">
        <v>21</v>
      </c>
      <c r="K1037" s="1">
        <v>30.0</v>
      </c>
      <c r="N1037" s="5">
        <v>44620.0</v>
      </c>
      <c r="Q1037" s="1" t="s">
        <v>2454</v>
      </c>
    </row>
    <row r="1038">
      <c r="A1038" s="1">
        <v>1037.0</v>
      </c>
      <c r="B1038" s="1" t="s">
        <v>2455</v>
      </c>
      <c r="C1038" s="1" t="s">
        <v>21</v>
      </c>
      <c r="K1038" s="1">
        <v>50.0</v>
      </c>
      <c r="N1038" s="5">
        <v>45529.0</v>
      </c>
      <c r="Q1038" s="1" t="s">
        <v>2456</v>
      </c>
    </row>
    <row r="1039">
      <c r="A1039" s="1">
        <v>1038.0</v>
      </c>
      <c r="B1039" s="1" t="s">
        <v>2457</v>
      </c>
      <c r="C1039" s="1" t="s">
        <v>21</v>
      </c>
      <c r="F1039" s="1">
        <v>0.7</v>
      </c>
      <c r="K1039" s="1">
        <v>1800.0</v>
      </c>
      <c r="N1039" s="5">
        <v>43128.0</v>
      </c>
      <c r="O1039" s="1" t="s">
        <v>27</v>
      </c>
      <c r="P1039" s="1" t="s">
        <v>29</v>
      </c>
      <c r="Q1039" s="1" t="s">
        <v>2458</v>
      </c>
      <c r="S1039" s="1" t="s">
        <v>46</v>
      </c>
    </row>
    <row r="1040">
      <c r="A1040" s="1">
        <v>1039.0</v>
      </c>
      <c r="B1040" s="1" t="s">
        <v>2459</v>
      </c>
      <c r="C1040" s="1" t="s">
        <v>21</v>
      </c>
      <c r="K1040" s="1">
        <v>40.0</v>
      </c>
      <c r="N1040" s="5">
        <v>44780.0</v>
      </c>
      <c r="Q1040" s="1" t="s">
        <v>2460</v>
      </c>
    </row>
    <row r="1041">
      <c r="A1041" s="1">
        <v>1040.0</v>
      </c>
      <c r="B1041" s="1" t="s">
        <v>2461</v>
      </c>
      <c r="C1041" s="1" t="s">
        <v>21</v>
      </c>
      <c r="K1041" s="1">
        <v>30.0</v>
      </c>
      <c r="N1041" s="5">
        <v>45644.0</v>
      </c>
      <c r="Q1041" s="1" t="s">
        <v>2462</v>
      </c>
    </row>
    <row r="1042">
      <c r="A1042" s="1">
        <v>1041.0</v>
      </c>
      <c r="B1042" s="1" t="s">
        <v>2463</v>
      </c>
      <c r="C1042" s="1" t="s">
        <v>21</v>
      </c>
      <c r="K1042" s="1">
        <v>200.0</v>
      </c>
      <c r="N1042" s="5">
        <v>45261.0</v>
      </c>
      <c r="Q1042" s="1" t="s">
        <v>2464</v>
      </c>
    </row>
    <row r="1043">
      <c r="N1043" s="5"/>
    </row>
    <row r="1044">
      <c r="N1044" s="5"/>
    </row>
    <row r="1045">
      <c r="N1045" s="5"/>
    </row>
    <row r="1046">
      <c r="N1046" s="5"/>
    </row>
    <row r="1047">
      <c r="N1047" s="5"/>
    </row>
    <row r="1048">
      <c r="N1048" s="5"/>
    </row>
    <row r="1049">
      <c r="N1049" s="5"/>
    </row>
    <row r="1050">
      <c r="N1050" s="5"/>
    </row>
    <row r="1051">
      <c r="N1051" s="5"/>
    </row>
    <row r="1052">
      <c r="N1052" s="5"/>
    </row>
    <row r="1053">
      <c r="N1053" s="5"/>
    </row>
    <row r="1054">
      <c r="N1054" s="5"/>
    </row>
    <row r="1055">
      <c r="N1055" s="5"/>
    </row>
    <row r="1056">
      <c r="N1056" s="5"/>
    </row>
    <row r="1057">
      <c r="N1057" s="5"/>
    </row>
    <row r="1058">
      <c r="N1058" s="5"/>
    </row>
    <row r="1059">
      <c r="N1059" s="5"/>
    </row>
    <row r="1060">
      <c r="N1060" s="5"/>
    </row>
    <row r="1061">
      <c r="N1061" s="5"/>
    </row>
    <row r="1062">
      <c r="N1062" s="5"/>
    </row>
    <row r="1063">
      <c r="N1063" s="5"/>
    </row>
    <row r="1064">
      <c r="N1064" s="5"/>
    </row>
    <row r="1065">
      <c r="N1065" s="5"/>
    </row>
    <row r="1066">
      <c r="N1066" s="5"/>
    </row>
    <row r="1067">
      <c r="N1067" s="5"/>
    </row>
    <row r="1068">
      <c r="N1068" s="5"/>
    </row>
    <row r="1069">
      <c r="N1069" s="5"/>
    </row>
    <row r="1070">
      <c r="N1070" s="5"/>
    </row>
    <row r="1071">
      <c r="N1071" s="5"/>
    </row>
    <row r="1072">
      <c r="N1072" s="5"/>
    </row>
    <row r="1073">
      <c r="N1073" s="5"/>
    </row>
    <row r="1074">
      <c r="N1074" s="5"/>
    </row>
    <row r="1075">
      <c r="N1075" s="5"/>
    </row>
    <row r="1076">
      <c r="N1076" s="5"/>
    </row>
    <row r="1077">
      <c r="N1077" s="5"/>
    </row>
    <row r="1078">
      <c r="N1078" s="5"/>
    </row>
    <row r="1079">
      <c r="N1079" s="5"/>
    </row>
    <row r="1080">
      <c r="N1080" s="5"/>
    </row>
    <row r="1081">
      <c r="N1081" s="5"/>
    </row>
    <row r="1082">
      <c r="N1082" s="5"/>
    </row>
    <row r="1083">
      <c r="N1083" s="5"/>
    </row>
    <row r="1084">
      <c r="N1084" s="5"/>
    </row>
    <row r="1085">
      <c r="N1085" s="5"/>
    </row>
    <row r="1086">
      <c r="N1086" s="5"/>
    </row>
    <row r="1087">
      <c r="N1087" s="5"/>
    </row>
    <row r="1088">
      <c r="N1088" s="5"/>
    </row>
    <row r="1089">
      <c r="N1089" s="5"/>
    </row>
    <row r="1090">
      <c r="N1090" s="5"/>
    </row>
    <row r="1091">
      <c r="N1091" s="5"/>
    </row>
    <row r="1092">
      <c r="N1092" s="5"/>
    </row>
    <row r="1093">
      <c r="N1093" s="5"/>
    </row>
    <row r="1094">
      <c r="N1094" s="5"/>
    </row>
    <row r="1095">
      <c r="N1095" s="5"/>
    </row>
    <row r="1096">
      <c r="N1096" s="5"/>
    </row>
    <row r="1097">
      <c r="N1097" s="5"/>
    </row>
    <row r="1098">
      <c r="N1098" s="5"/>
    </row>
    <row r="1099">
      <c r="N1099" s="5"/>
    </row>
    <row r="1100">
      <c r="N1100" s="5"/>
    </row>
    <row r="1101">
      <c r="N1101" s="5"/>
    </row>
    <row r="1102">
      <c r="N1102" s="5"/>
    </row>
    <row r="1103">
      <c r="N1103" s="5"/>
    </row>
    <row r="1104">
      <c r="N1104" s="5"/>
    </row>
    <row r="1105">
      <c r="N1105" s="5"/>
    </row>
    <row r="1106">
      <c r="N1106" s="5"/>
    </row>
    <row r="1107">
      <c r="N1107" s="5"/>
    </row>
    <row r="1108">
      <c r="N1108" s="5"/>
    </row>
    <row r="1109">
      <c r="N1109" s="5"/>
    </row>
    <row r="1110">
      <c r="N1110" s="5"/>
    </row>
    <row r="1111">
      <c r="N1111" s="5"/>
    </row>
    <row r="1112">
      <c r="N1112" s="5"/>
    </row>
    <row r="1113">
      <c r="N1113" s="5"/>
    </row>
    <row r="1114">
      <c r="N1114" s="5"/>
    </row>
    <row r="1115">
      <c r="N1115" s="5"/>
    </row>
    <row r="1116">
      <c r="N1116" s="5"/>
    </row>
    <row r="1117">
      <c r="N1117" s="5"/>
    </row>
    <row r="1118">
      <c r="N1118" s="5"/>
    </row>
    <row r="1119">
      <c r="N1119" s="5"/>
    </row>
    <row r="1120">
      <c r="N1120" s="5"/>
    </row>
    <row r="1121">
      <c r="N1121" s="5"/>
    </row>
    <row r="1122">
      <c r="N1122" s="5"/>
    </row>
    <row r="1123">
      <c r="N1123" s="5"/>
    </row>
    <row r="1124">
      <c r="N1124" s="5"/>
    </row>
    <row r="1125">
      <c r="N1125" s="5"/>
    </row>
    <row r="1126">
      <c r="N1126" s="5"/>
    </row>
    <row r="1127">
      <c r="N1127" s="5"/>
    </row>
    <row r="1128">
      <c r="N1128" s="5"/>
    </row>
    <row r="1129">
      <c r="N1129" s="5"/>
    </row>
    <row r="1130">
      <c r="N1130" s="5"/>
    </row>
    <row r="1131">
      <c r="N1131" s="5"/>
    </row>
    <row r="1132">
      <c r="N1132" s="5"/>
    </row>
    <row r="1133">
      <c r="N1133" s="5"/>
    </row>
    <row r="1134">
      <c r="N1134" s="5"/>
    </row>
    <row r="1135">
      <c r="N1135" s="5"/>
    </row>
    <row r="1136">
      <c r="N1136" s="5"/>
    </row>
    <row r="1137">
      <c r="N1137" s="5"/>
    </row>
    <row r="1138">
      <c r="N1138" s="5"/>
    </row>
    <row r="1139">
      <c r="N1139" s="5"/>
    </row>
    <row r="1140">
      <c r="N1140" s="5"/>
    </row>
    <row r="1141">
      <c r="N1141" s="5"/>
    </row>
    <row r="1142">
      <c r="N1142" s="5"/>
    </row>
    <row r="1143">
      <c r="N1143" s="5"/>
    </row>
    <row r="1144">
      <c r="N1144" s="5"/>
    </row>
    <row r="1145">
      <c r="N1145" s="5"/>
    </row>
    <row r="1146">
      <c r="N1146" s="5"/>
    </row>
    <row r="1147">
      <c r="N1147" s="5"/>
    </row>
    <row r="1148">
      <c r="N1148" s="5"/>
    </row>
    <row r="1149">
      <c r="N1149" s="5"/>
    </row>
    <row r="1150">
      <c r="N1150" s="5"/>
    </row>
    <row r="1151">
      <c r="N1151" s="5"/>
    </row>
    <row r="1152">
      <c r="N1152" s="5"/>
    </row>
    <row r="1153">
      <c r="N1153" s="5"/>
    </row>
    <row r="1154">
      <c r="N1154" s="5"/>
    </row>
    <row r="1155">
      <c r="N1155" s="5"/>
    </row>
    <row r="1156">
      <c r="N1156" s="5"/>
    </row>
    <row r="1157">
      <c r="N1157" s="5"/>
    </row>
    <row r="1158">
      <c r="N1158" s="5"/>
    </row>
    <row r="1159">
      <c r="N1159" s="5"/>
    </row>
    <row r="1160">
      <c r="N1160" s="5"/>
    </row>
    <row r="1161">
      <c r="N1161" s="5"/>
    </row>
    <row r="1162">
      <c r="N1162" s="5"/>
    </row>
    <row r="1163">
      <c r="N1163" s="5"/>
    </row>
    <row r="1164">
      <c r="N1164" s="5"/>
    </row>
    <row r="1165">
      <c r="N1165" s="5"/>
    </row>
    <row r="1166">
      <c r="N1166" s="5"/>
    </row>
    <row r="1167">
      <c r="N1167" s="5"/>
    </row>
    <row r="1168">
      <c r="N1168" s="5"/>
    </row>
    <row r="1169">
      <c r="N1169" s="5"/>
    </row>
    <row r="1170">
      <c r="N1170" s="5"/>
    </row>
    <row r="1171">
      <c r="N1171" s="5"/>
    </row>
    <row r="1172">
      <c r="N1172" s="5"/>
    </row>
    <row r="1173">
      <c r="N1173" s="5"/>
    </row>
    <row r="1174">
      <c r="N1174" s="5"/>
    </row>
    <row r="1175">
      <c r="N1175" s="5"/>
    </row>
    <row r="1176">
      <c r="N1176" s="5"/>
    </row>
    <row r="1177">
      <c r="N1177" s="5"/>
    </row>
    <row r="1178">
      <c r="N1178" s="5"/>
    </row>
    <row r="1179">
      <c r="N1179" s="5"/>
    </row>
    <row r="1180">
      <c r="N1180" s="5"/>
    </row>
    <row r="1181">
      <c r="N1181" s="5"/>
    </row>
    <row r="1182">
      <c r="N1182" s="5"/>
    </row>
    <row r="1183">
      <c r="N1183" s="5"/>
    </row>
    <row r="1184">
      <c r="N1184" s="5"/>
    </row>
    <row r="1185">
      <c r="N1185" s="5"/>
    </row>
    <row r="1186">
      <c r="N1186" s="5"/>
    </row>
    <row r="1187">
      <c r="N1187" s="5"/>
    </row>
    <row r="1188">
      <c r="N1188" s="5"/>
    </row>
    <row r="1189">
      <c r="N1189" s="5"/>
    </row>
    <row r="1190">
      <c r="N1190" s="5"/>
    </row>
    <row r="1191">
      <c r="N1191" s="5"/>
    </row>
    <row r="1192">
      <c r="N1192" s="5"/>
    </row>
    <row r="1193">
      <c r="N1193" s="5"/>
    </row>
    <row r="1194">
      <c r="N1194" s="5"/>
    </row>
    <row r="1195">
      <c r="N1195" s="5"/>
    </row>
    <row r="1196">
      <c r="N1196" s="5"/>
    </row>
    <row r="1197">
      <c r="N1197" s="5"/>
    </row>
    <row r="1198">
      <c r="N1198" s="5"/>
    </row>
    <row r="1199">
      <c r="N1199" s="5"/>
    </row>
    <row r="1200">
      <c r="N1200" s="5"/>
    </row>
    <row r="1201">
      <c r="N1201" s="5"/>
    </row>
    <row r="1202">
      <c r="N1202" s="5"/>
    </row>
    <row r="1203">
      <c r="N1203" s="5"/>
    </row>
    <row r="1204">
      <c r="N1204" s="5"/>
    </row>
    <row r="1205">
      <c r="N1205" s="5"/>
    </row>
    <row r="1206">
      <c r="N1206" s="5"/>
    </row>
    <row r="1207">
      <c r="N1207" s="5"/>
    </row>
    <row r="1208">
      <c r="N1208" s="5"/>
    </row>
    <row r="1209">
      <c r="N1209" s="5"/>
    </row>
    <row r="1210">
      <c r="N1210" s="5"/>
    </row>
    <row r="1211">
      <c r="N1211" s="5"/>
    </row>
    <row r="1212">
      <c r="N1212" s="5"/>
    </row>
    <row r="1213">
      <c r="N1213" s="5"/>
    </row>
    <row r="1214">
      <c r="N1214" s="5"/>
    </row>
    <row r="1215">
      <c r="N1215" s="5"/>
    </row>
    <row r="1216">
      <c r="N1216" s="5"/>
    </row>
    <row r="1217">
      <c r="N1217" s="5"/>
    </row>
    <row r="1218">
      <c r="N1218" s="5"/>
    </row>
    <row r="1219">
      <c r="N1219" s="5"/>
    </row>
    <row r="1220">
      <c r="N1220" s="5"/>
    </row>
    <row r="1221">
      <c r="N1221" s="5"/>
    </row>
    <row r="1222">
      <c r="N1222" s="5"/>
    </row>
    <row r="1223">
      <c r="N1223" s="5"/>
    </row>
    <row r="1224">
      <c r="N1224" s="5"/>
    </row>
    <row r="1225">
      <c r="N1225" s="5"/>
    </row>
    <row r="1226">
      <c r="N1226" s="5"/>
    </row>
    <row r="1227">
      <c r="N1227" s="5"/>
    </row>
    <row r="1228">
      <c r="N1228" s="5"/>
    </row>
    <row r="1229">
      <c r="N1229" s="5"/>
    </row>
    <row r="1230">
      <c r="N1230" s="5"/>
    </row>
    <row r="1231">
      <c r="N1231" s="5"/>
    </row>
    <row r="1232">
      <c r="N1232" s="5"/>
    </row>
    <row r="1233">
      <c r="N1233" s="5"/>
    </row>
    <row r="1234">
      <c r="N1234" s="5"/>
    </row>
    <row r="1235">
      <c r="N1235" s="5"/>
    </row>
    <row r="1236">
      <c r="N1236" s="5"/>
    </row>
    <row r="1237">
      <c r="N1237" s="5"/>
    </row>
    <row r="1238">
      <c r="N1238" s="5"/>
    </row>
    <row r="1239">
      <c r="N1239" s="5"/>
    </row>
    <row r="1240">
      <c r="N1240" s="5"/>
    </row>
    <row r="1241">
      <c r="N1241" s="5"/>
    </row>
    <row r="1242">
      <c r="N1242" s="5"/>
    </row>
    <row r="1243">
      <c r="N1243" s="5"/>
    </row>
    <row r="1244">
      <c r="N1244" s="5"/>
    </row>
    <row r="1245">
      <c r="N1245" s="5"/>
    </row>
    <row r="1246">
      <c r="N1246" s="5"/>
    </row>
    <row r="1247">
      <c r="N1247" s="5"/>
    </row>
    <row r="1248">
      <c r="N1248" s="5"/>
    </row>
    <row r="1249">
      <c r="N1249" s="5"/>
    </row>
    <row r="1250">
      <c r="N1250" s="5"/>
    </row>
    <row r="1251">
      <c r="N1251" s="5"/>
    </row>
    <row r="1252">
      <c r="N1252" s="5"/>
    </row>
    <row r="1253">
      <c r="N1253" s="5"/>
    </row>
    <row r="1254">
      <c r="N1254" s="5"/>
    </row>
    <row r="1255">
      <c r="N1255" s="5"/>
    </row>
    <row r="1256">
      <c r="N1256" s="5"/>
    </row>
    <row r="1257">
      <c r="N1257" s="5"/>
    </row>
    <row r="1258">
      <c r="N1258" s="5"/>
    </row>
    <row r="1259">
      <c r="N1259" s="5"/>
    </row>
    <row r="1260">
      <c r="N1260" s="5"/>
    </row>
    <row r="1261">
      <c r="N1261" s="5"/>
    </row>
    <row r="1262">
      <c r="N1262" s="5"/>
    </row>
    <row r="1263">
      <c r="N1263" s="5"/>
    </row>
    <row r="1264">
      <c r="N1264" s="5"/>
    </row>
    <row r="1265">
      <c r="N1265" s="5"/>
    </row>
    <row r="1266">
      <c r="N1266" s="5"/>
    </row>
    <row r="1267">
      <c r="N1267" s="5"/>
    </row>
    <row r="1268">
      <c r="N1268" s="5"/>
    </row>
    <row r="1269">
      <c r="N1269" s="5"/>
    </row>
    <row r="1270">
      <c r="N1270" s="5"/>
    </row>
    <row r="1271">
      <c r="N1271" s="5"/>
    </row>
    <row r="1272">
      <c r="N1272" s="5"/>
    </row>
    <row r="1273">
      <c r="N1273" s="5"/>
    </row>
    <row r="1274">
      <c r="N1274" s="5"/>
    </row>
    <row r="1275">
      <c r="N1275" s="5"/>
    </row>
    <row r="1276">
      <c r="N1276" s="5"/>
    </row>
    <row r="1277">
      <c r="N1277" s="5"/>
    </row>
    <row r="1278">
      <c r="N1278" s="5"/>
    </row>
    <row r="1279">
      <c r="N1279" s="5"/>
    </row>
    <row r="1280">
      <c r="N1280" s="5"/>
    </row>
    <row r="1281">
      <c r="N1281" s="5"/>
    </row>
    <row r="1282">
      <c r="N1282" s="5"/>
    </row>
    <row r="1283">
      <c r="N1283" s="5"/>
    </row>
    <row r="1284">
      <c r="N1284" s="5"/>
    </row>
    <row r="1285">
      <c r="N1285" s="5"/>
    </row>
    <row r="1286">
      <c r="N1286" s="5"/>
    </row>
    <row r="1287">
      <c r="N1287" s="5"/>
    </row>
    <row r="1288">
      <c r="N1288" s="5"/>
    </row>
    <row r="1289">
      <c r="N1289" s="5"/>
    </row>
    <row r="1290">
      <c r="N1290" s="5"/>
    </row>
    <row r="1291">
      <c r="N1291" s="5"/>
    </row>
    <row r="1292">
      <c r="N1292" s="5"/>
    </row>
    <row r="1293">
      <c r="N1293" s="5"/>
    </row>
    <row r="1294">
      <c r="N1294" s="5"/>
    </row>
    <row r="1295">
      <c r="N1295" s="5"/>
    </row>
    <row r="1296">
      <c r="N1296" s="5"/>
    </row>
    <row r="1297">
      <c r="N1297" s="5"/>
    </row>
    <row r="1298">
      <c r="N1298" s="5"/>
    </row>
    <row r="1299">
      <c r="N1299" s="5"/>
    </row>
    <row r="1300">
      <c r="N1300" s="5"/>
    </row>
    <row r="1301">
      <c r="N1301" s="5"/>
    </row>
    <row r="1302">
      <c r="N1302" s="5"/>
    </row>
    <row r="1303">
      <c r="N1303" s="5"/>
    </row>
    <row r="1304">
      <c r="N1304" s="5"/>
    </row>
    <row r="1305">
      <c r="N1305" s="5"/>
    </row>
    <row r="1306">
      <c r="N1306" s="5"/>
    </row>
    <row r="1307">
      <c r="N1307" s="5"/>
    </row>
    <row r="1308">
      <c r="N1308" s="5"/>
    </row>
    <row r="1309">
      <c r="N1309" s="5"/>
    </row>
    <row r="1310">
      <c r="N1310" s="5"/>
    </row>
    <row r="1311">
      <c r="N1311" s="5"/>
    </row>
    <row r="1312">
      <c r="N1312" s="5"/>
    </row>
    <row r="1313">
      <c r="N1313" s="5"/>
    </row>
    <row r="1314">
      <c r="N1314" s="5"/>
    </row>
    <row r="1315">
      <c r="N1315" s="5"/>
    </row>
    <row r="1316">
      <c r="N1316" s="5"/>
    </row>
    <row r="1317">
      <c r="N1317" s="5"/>
    </row>
    <row r="1318">
      <c r="N1318" s="5"/>
    </row>
    <row r="1319">
      <c r="N1319" s="5"/>
    </row>
    <row r="1320">
      <c r="N1320" s="5"/>
    </row>
    <row r="1321">
      <c r="N1321" s="5"/>
    </row>
    <row r="1322">
      <c r="N1322" s="5"/>
    </row>
    <row r="1323">
      <c r="N1323" s="5"/>
    </row>
    <row r="1324">
      <c r="N1324" s="5"/>
    </row>
    <row r="1325">
      <c r="N1325" s="5"/>
    </row>
    <row r="1326">
      <c r="N1326" s="5"/>
    </row>
    <row r="1327">
      <c r="N1327" s="5"/>
    </row>
    <row r="1328">
      <c r="N1328" s="5"/>
    </row>
    <row r="1329">
      <c r="N1329" s="5"/>
    </row>
    <row r="1330">
      <c r="N1330" s="5"/>
    </row>
    <row r="1331">
      <c r="N1331" s="5"/>
    </row>
    <row r="1332">
      <c r="N1332" s="5"/>
    </row>
    <row r="1333">
      <c r="N1333" s="5"/>
    </row>
    <row r="1334">
      <c r="N1334" s="5"/>
    </row>
    <row r="1335">
      <c r="N1335" s="5"/>
    </row>
    <row r="1336">
      <c r="N1336" s="5"/>
    </row>
    <row r="1337">
      <c r="N1337" s="5"/>
    </row>
    <row r="1338">
      <c r="N1338" s="5"/>
    </row>
    <row r="1339">
      <c r="N1339" s="5"/>
    </row>
    <row r="1340">
      <c r="N1340" s="5"/>
    </row>
    <row r="1341">
      <c r="N1341" s="5"/>
    </row>
    <row r="1342">
      <c r="N1342" s="5"/>
    </row>
    <row r="1343">
      <c r="N1343" s="5"/>
    </row>
    <row r="1344">
      <c r="N1344" s="5"/>
    </row>
    <row r="1345">
      <c r="N1345" s="5"/>
    </row>
    <row r="1346">
      <c r="N1346" s="5"/>
    </row>
    <row r="1347">
      <c r="N1347" s="5"/>
    </row>
    <row r="1348">
      <c r="N1348" s="5"/>
    </row>
    <row r="1349">
      <c r="N1349" s="5"/>
    </row>
    <row r="1350">
      <c r="N1350" s="5"/>
    </row>
    <row r="1351">
      <c r="N1351" s="5"/>
    </row>
    <row r="1352">
      <c r="N1352" s="5"/>
    </row>
    <row r="1353">
      <c r="N1353" s="5"/>
    </row>
    <row r="1354">
      <c r="N1354" s="5"/>
    </row>
    <row r="1355">
      <c r="N1355" s="5"/>
    </row>
    <row r="1356">
      <c r="N1356" s="5"/>
    </row>
    <row r="1357">
      <c r="N1357" s="5"/>
    </row>
    <row r="1358">
      <c r="N1358" s="5"/>
    </row>
    <row r="1359">
      <c r="N1359" s="5"/>
    </row>
    <row r="1360">
      <c r="N1360" s="5"/>
    </row>
    <row r="1361">
      <c r="N1361" s="5"/>
    </row>
    <row r="1362">
      <c r="N1362" s="5"/>
    </row>
    <row r="1363">
      <c r="N1363" s="5"/>
    </row>
    <row r="1364">
      <c r="N1364" s="5"/>
    </row>
    <row r="1365">
      <c r="N1365" s="5"/>
    </row>
    <row r="1366">
      <c r="N1366" s="5"/>
    </row>
    <row r="1367">
      <c r="N1367" s="5"/>
    </row>
    <row r="1368">
      <c r="N1368" s="5"/>
    </row>
    <row r="1369">
      <c r="N1369" s="5"/>
    </row>
    <row r="1370">
      <c r="N1370" s="5"/>
    </row>
    <row r="1371">
      <c r="N1371" s="5"/>
    </row>
    <row r="1372">
      <c r="N1372" s="5"/>
    </row>
    <row r="1373">
      <c r="N1373" s="5"/>
    </row>
    <row r="1374">
      <c r="N1374" s="5"/>
    </row>
    <row r="1375">
      <c r="N1375" s="5"/>
    </row>
    <row r="1376">
      <c r="N1376" s="5"/>
    </row>
    <row r="1377">
      <c r="N1377" s="5"/>
    </row>
    <row r="1378">
      <c r="N1378" s="5"/>
    </row>
    <row r="1379">
      <c r="N1379" s="5"/>
    </row>
    <row r="1380">
      <c r="N1380" s="5"/>
    </row>
    <row r="1381">
      <c r="N1381" s="5"/>
    </row>
    <row r="1382">
      <c r="N1382" s="5"/>
    </row>
    <row r="1383">
      <c r="N1383" s="5"/>
    </row>
    <row r="1384">
      <c r="N1384" s="5"/>
    </row>
    <row r="1385">
      <c r="N1385" s="5"/>
    </row>
    <row r="1386">
      <c r="N1386" s="5"/>
    </row>
    <row r="1387">
      <c r="N1387" s="5"/>
    </row>
    <row r="1388">
      <c r="N1388" s="5"/>
    </row>
    <row r="1389">
      <c r="N1389" s="5"/>
    </row>
    <row r="1390">
      <c r="N1390" s="5"/>
    </row>
    <row r="1391">
      <c r="N1391" s="5"/>
    </row>
    <row r="1392">
      <c r="N1392" s="5"/>
    </row>
    <row r="1393">
      <c r="N1393" s="5"/>
    </row>
    <row r="1394">
      <c r="N1394" s="5"/>
    </row>
    <row r="1395">
      <c r="N1395" s="5"/>
    </row>
    <row r="1396">
      <c r="N1396" s="5"/>
    </row>
    <row r="1397">
      <c r="N1397" s="5"/>
    </row>
    <row r="1398">
      <c r="N1398" s="5"/>
    </row>
    <row r="1399">
      <c r="N1399" s="5"/>
    </row>
    <row r="1400">
      <c r="N1400" s="5"/>
    </row>
    <row r="1401">
      <c r="N1401" s="5"/>
    </row>
    <row r="1402">
      <c r="N1402" s="5"/>
    </row>
    <row r="1403">
      <c r="N1403" s="5"/>
    </row>
    <row r="1404">
      <c r="N1404" s="5"/>
    </row>
    <row r="1405">
      <c r="N1405" s="5"/>
    </row>
    <row r="1406">
      <c r="N1406" s="5"/>
    </row>
    <row r="1407">
      <c r="N1407" s="5"/>
    </row>
    <row r="1408">
      <c r="N1408" s="5"/>
    </row>
    <row r="1409">
      <c r="N1409" s="5"/>
    </row>
    <row r="1410">
      <c r="N1410" s="5"/>
    </row>
    <row r="1411">
      <c r="N1411" s="5"/>
    </row>
    <row r="1412">
      <c r="N1412" s="5"/>
    </row>
    <row r="1413">
      <c r="N1413" s="5"/>
    </row>
    <row r="1414">
      <c r="N1414" s="5"/>
    </row>
    <row r="1415">
      <c r="N1415" s="5"/>
    </row>
    <row r="1416">
      <c r="N1416" s="5"/>
    </row>
    <row r="1417">
      <c r="N1417" s="5"/>
    </row>
    <row r="1418">
      <c r="N1418" s="5"/>
    </row>
    <row r="1419">
      <c r="N1419" s="5"/>
    </row>
    <row r="1420">
      <c r="N1420" s="5"/>
    </row>
    <row r="1421">
      <c r="N1421" s="5"/>
    </row>
    <row r="1422">
      <c r="N1422" s="5"/>
    </row>
    <row r="1423">
      <c r="N1423" s="5"/>
    </row>
    <row r="1424">
      <c r="N1424" s="5"/>
    </row>
    <row r="1425">
      <c r="N1425" s="5"/>
    </row>
    <row r="1426">
      <c r="N1426" s="5"/>
    </row>
    <row r="1427">
      <c r="N1427" s="5"/>
    </row>
    <row r="1428">
      <c r="N1428" s="5"/>
    </row>
    <row r="1429">
      <c r="N1429" s="5"/>
    </row>
    <row r="1430">
      <c r="N1430" s="5"/>
    </row>
    <row r="1431">
      <c r="N1431" s="5"/>
    </row>
    <row r="1432">
      <c r="N1432" s="5"/>
    </row>
    <row r="1433">
      <c r="N1433" s="5"/>
    </row>
    <row r="1434">
      <c r="N1434" s="5"/>
    </row>
    <row r="1435">
      <c r="N1435" s="5"/>
    </row>
    <row r="1436">
      <c r="N1436" s="5"/>
    </row>
    <row r="1437">
      <c r="N1437" s="5"/>
    </row>
    <row r="1438">
      <c r="N1438" s="5"/>
    </row>
    <row r="1439">
      <c r="N1439" s="5"/>
    </row>
    <row r="1440">
      <c r="N1440" s="5"/>
    </row>
    <row r="1441">
      <c r="N1441" s="5"/>
    </row>
    <row r="1442">
      <c r="N1442" s="5"/>
    </row>
    <row r="1443">
      <c r="N1443" s="5"/>
    </row>
    <row r="1444">
      <c r="N1444" s="5"/>
    </row>
    <row r="1445">
      <c r="N1445" s="5"/>
    </row>
    <row r="1446">
      <c r="N1446" s="5"/>
    </row>
    <row r="1447">
      <c r="N1447" s="5"/>
    </row>
    <row r="1448">
      <c r="N1448" s="5"/>
    </row>
    <row r="1449">
      <c r="N1449" s="5"/>
    </row>
    <row r="1450">
      <c r="N1450" s="5"/>
    </row>
    <row r="1451">
      <c r="N1451" s="5"/>
    </row>
    <row r="1452">
      <c r="N1452" s="5"/>
    </row>
    <row r="1453">
      <c r="N1453" s="5"/>
    </row>
    <row r="1454">
      <c r="N1454" s="5"/>
    </row>
    <row r="1455">
      <c r="N1455" s="5"/>
    </row>
    <row r="1456">
      <c r="N1456" s="5"/>
    </row>
    <row r="1457">
      <c r="N1457" s="5"/>
    </row>
    <row r="1458">
      <c r="N1458" s="5"/>
    </row>
    <row r="1459">
      <c r="N1459" s="5"/>
    </row>
    <row r="1460">
      <c r="N1460" s="5"/>
    </row>
    <row r="1461">
      <c r="N1461" s="5"/>
    </row>
    <row r="1462">
      <c r="N1462" s="5"/>
    </row>
    <row r="1463">
      <c r="N1463" s="5"/>
    </row>
    <row r="1464">
      <c r="N1464" s="5"/>
    </row>
    <row r="1465">
      <c r="N1465" s="5"/>
    </row>
    <row r="1466">
      <c r="N1466" s="5"/>
    </row>
    <row r="1467">
      <c r="N1467" s="5"/>
    </row>
    <row r="1468">
      <c r="N1468" s="5"/>
    </row>
    <row r="1469">
      <c r="N1469" s="5"/>
    </row>
    <row r="1470">
      <c r="N1470" s="5"/>
    </row>
    <row r="1471">
      <c r="N1471" s="5"/>
    </row>
    <row r="1472">
      <c r="N1472" s="5"/>
    </row>
    <row r="1473">
      <c r="N1473" s="5"/>
    </row>
    <row r="1474">
      <c r="N1474" s="5"/>
    </row>
    <row r="1475">
      <c r="N1475" s="5"/>
    </row>
    <row r="1476">
      <c r="N1476" s="5"/>
    </row>
    <row r="1477">
      <c r="N1477" s="5"/>
    </row>
    <row r="1478">
      <c r="N1478" s="5"/>
    </row>
    <row r="1479">
      <c r="N1479" s="5"/>
    </row>
    <row r="1480">
      <c r="N1480" s="5"/>
    </row>
    <row r="1481">
      <c r="N1481" s="5"/>
    </row>
    <row r="1482">
      <c r="N1482" s="5"/>
    </row>
    <row r="1483">
      <c r="N1483" s="5"/>
    </row>
    <row r="1484">
      <c r="N1484" s="5"/>
    </row>
    <row r="1485">
      <c r="N1485" s="5"/>
    </row>
    <row r="1486">
      <c r="N1486" s="5"/>
    </row>
    <row r="1487">
      <c r="N1487" s="5"/>
    </row>
    <row r="1488">
      <c r="N1488" s="5"/>
    </row>
    <row r="1489">
      <c r="N1489" s="5"/>
    </row>
    <row r="1490">
      <c r="N1490" s="5"/>
    </row>
    <row r="1491">
      <c r="N1491" s="5"/>
    </row>
    <row r="1492">
      <c r="N1492" s="5"/>
    </row>
    <row r="1493">
      <c r="N1493" s="5"/>
    </row>
    <row r="1494">
      <c r="N1494" s="5"/>
    </row>
    <row r="1495">
      <c r="N1495" s="5"/>
    </row>
    <row r="1496">
      <c r="N1496" s="5"/>
    </row>
    <row r="1497">
      <c r="N1497" s="5"/>
    </row>
    <row r="1498">
      <c r="N1498" s="5"/>
    </row>
    <row r="1499">
      <c r="N1499" s="5"/>
    </row>
    <row r="1500">
      <c r="N1500" s="5"/>
    </row>
    <row r="1501">
      <c r="N1501" s="5"/>
    </row>
    <row r="1502">
      <c r="N1502" s="5"/>
    </row>
    <row r="1503">
      <c r="N1503" s="5"/>
    </row>
    <row r="1504">
      <c r="N1504" s="5"/>
    </row>
    <row r="1505">
      <c r="N1505" s="5"/>
    </row>
    <row r="1506">
      <c r="N1506" s="5"/>
    </row>
    <row r="1507">
      <c r="N1507" s="5"/>
    </row>
    <row r="1508">
      <c r="N1508" s="5"/>
    </row>
    <row r="1509">
      <c r="N1509" s="5"/>
    </row>
    <row r="1510">
      <c r="N1510" s="5"/>
    </row>
    <row r="1511">
      <c r="N1511" s="5"/>
    </row>
    <row r="1512">
      <c r="N1512" s="5"/>
    </row>
    <row r="1513">
      <c r="N1513" s="5"/>
    </row>
    <row r="1514">
      <c r="N1514" s="5"/>
    </row>
    <row r="1515">
      <c r="N1515" s="5"/>
    </row>
    <row r="1516">
      <c r="N1516" s="5"/>
    </row>
    <row r="1517">
      <c r="N1517" s="5"/>
    </row>
    <row r="1518">
      <c r="N1518" s="5"/>
    </row>
    <row r="1519">
      <c r="N1519" s="5"/>
    </row>
    <row r="1520">
      <c r="N1520" s="5"/>
    </row>
    <row r="1521">
      <c r="N1521" s="5"/>
    </row>
    <row r="1522">
      <c r="N1522" s="5"/>
    </row>
    <row r="1523">
      <c r="N1523" s="5"/>
    </row>
    <row r="1524">
      <c r="N1524" s="5"/>
    </row>
    <row r="1525">
      <c r="N1525" s="5"/>
    </row>
    <row r="1526">
      <c r="N1526" s="5"/>
    </row>
    <row r="1527">
      <c r="N1527" s="5"/>
    </row>
    <row r="1528">
      <c r="N1528" s="5"/>
    </row>
    <row r="1529">
      <c r="N1529" s="5"/>
    </row>
    <row r="1530">
      <c r="N1530" s="5"/>
    </row>
    <row r="1531">
      <c r="N1531" s="5"/>
    </row>
    <row r="1532">
      <c r="N1532" s="5"/>
    </row>
    <row r="1533">
      <c r="N1533" s="5"/>
    </row>
    <row r="1534">
      <c r="N1534" s="5"/>
    </row>
    <row r="1535">
      <c r="N1535" s="5"/>
    </row>
    <row r="1536">
      <c r="N1536" s="5"/>
    </row>
    <row r="1537">
      <c r="N1537" s="5"/>
    </row>
    <row r="1538">
      <c r="N1538" s="5"/>
    </row>
    <row r="1539">
      <c r="N1539" s="5"/>
    </row>
    <row r="1540">
      <c r="N1540" s="5"/>
    </row>
    <row r="1541">
      <c r="N1541" s="5"/>
    </row>
    <row r="1542">
      <c r="N1542" s="5"/>
    </row>
    <row r="1543">
      <c r="N1543" s="5"/>
    </row>
    <row r="1544">
      <c r="N1544" s="5"/>
    </row>
    <row r="1545">
      <c r="N1545" s="5"/>
    </row>
    <row r="1546">
      <c r="N1546" s="5"/>
    </row>
    <row r="1547">
      <c r="N1547" s="5"/>
    </row>
    <row r="1548">
      <c r="N1548" s="5"/>
    </row>
    <row r="1549">
      <c r="N1549" s="5"/>
    </row>
    <row r="1550">
      <c r="N1550" s="5"/>
    </row>
    <row r="1551">
      <c r="N1551" s="5"/>
    </row>
    <row r="1552">
      <c r="N1552" s="5"/>
    </row>
    <row r="1553">
      <c r="N1553" s="5"/>
    </row>
    <row r="1554">
      <c r="N1554" s="5"/>
    </row>
    <row r="1555">
      <c r="N1555" s="5"/>
    </row>
    <row r="1556">
      <c r="N1556" s="5"/>
    </row>
    <row r="1557">
      <c r="N1557" s="5"/>
    </row>
    <row r="1558">
      <c r="N1558" s="5"/>
    </row>
    <row r="1559">
      <c r="N1559" s="5"/>
    </row>
    <row r="1560">
      <c r="N1560" s="5"/>
    </row>
    <row r="1561">
      <c r="N1561" s="5"/>
    </row>
    <row r="1562">
      <c r="N1562" s="5"/>
    </row>
    <row r="1563">
      <c r="N1563" s="5"/>
    </row>
    <row r="1564">
      <c r="N1564" s="5"/>
    </row>
    <row r="1565">
      <c r="N1565" s="5"/>
    </row>
    <row r="1566">
      <c r="N1566" s="5"/>
    </row>
    <row r="1567">
      <c r="N1567" s="5"/>
    </row>
    <row r="1568">
      <c r="N1568" s="5"/>
    </row>
    <row r="1569">
      <c r="N1569" s="5"/>
    </row>
    <row r="1570">
      <c r="N1570" s="5"/>
    </row>
    <row r="1571">
      <c r="N1571" s="5"/>
    </row>
    <row r="1572">
      <c r="N1572" s="5"/>
    </row>
    <row r="1573">
      <c r="N1573" s="5"/>
    </row>
    <row r="1574">
      <c r="N1574" s="5"/>
    </row>
    <row r="1575">
      <c r="N1575" s="5"/>
    </row>
    <row r="1576">
      <c r="N1576" s="5"/>
    </row>
    <row r="1577">
      <c r="N1577" s="5"/>
    </row>
    <row r="1578">
      <c r="N1578" s="5"/>
    </row>
    <row r="1579">
      <c r="N1579" s="5"/>
    </row>
    <row r="1580">
      <c r="N1580" s="5"/>
    </row>
    <row r="1581">
      <c r="N1581" s="5"/>
    </row>
    <row r="1582">
      <c r="N1582" s="5"/>
    </row>
    <row r="1583">
      <c r="N1583" s="5"/>
    </row>
    <row r="1584">
      <c r="N1584" s="5"/>
    </row>
    <row r="1585">
      <c r="N1585" s="5"/>
    </row>
    <row r="1586">
      <c r="N1586" s="5"/>
    </row>
    <row r="1587">
      <c r="N1587" s="5"/>
    </row>
    <row r="1588">
      <c r="N1588" s="5"/>
    </row>
    <row r="1589">
      <c r="N1589" s="5"/>
    </row>
    <row r="1590">
      <c r="N1590" s="5"/>
    </row>
    <row r="1591">
      <c r="N1591" s="5"/>
    </row>
    <row r="1592">
      <c r="N1592" s="5"/>
    </row>
    <row r="1593">
      <c r="N1593" s="5"/>
    </row>
    <row r="1594">
      <c r="N1594" s="5"/>
    </row>
    <row r="1595">
      <c r="N1595" s="5"/>
    </row>
    <row r="1596">
      <c r="N1596" s="5"/>
    </row>
    <row r="1597">
      <c r="N1597" s="5"/>
    </row>
    <row r="1598">
      <c r="N1598" s="5"/>
    </row>
    <row r="1599">
      <c r="N1599" s="5"/>
    </row>
    <row r="1600">
      <c r="N1600" s="5"/>
    </row>
    <row r="1601">
      <c r="N1601" s="5"/>
    </row>
    <row r="1602">
      <c r="N1602" s="5"/>
    </row>
    <row r="1603">
      <c r="N1603" s="5"/>
    </row>
    <row r="1604">
      <c r="N1604" s="5"/>
    </row>
    <row r="1605">
      <c r="N1605" s="5"/>
    </row>
    <row r="1606">
      <c r="N1606" s="5"/>
    </row>
    <row r="1607">
      <c r="N1607" s="5"/>
    </row>
    <row r="1608">
      <c r="N1608" s="5"/>
    </row>
    <row r="1609">
      <c r="N1609" s="5"/>
    </row>
    <row r="1610">
      <c r="N1610" s="5"/>
    </row>
    <row r="1611">
      <c r="N1611" s="5"/>
    </row>
    <row r="1612">
      <c r="N1612" s="5"/>
    </row>
    <row r="1613">
      <c r="N1613" s="5"/>
    </row>
    <row r="1614">
      <c r="N1614" s="5"/>
    </row>
    <row r="1615">
      <c r="N1615" s="5"/>
    </row>
    <row r="1616">
      <c r="N1616" s="5"/>
    </row>
    <row r="1617">
      <c r="N1617" s="5"/>
    </row>
    <row r="1618">
      <c r="N1618" s="5"/>
    </row>
    <row r="1619">
      <c r="N1619" s="5"/>
    </row>
    <row r="1620">
      <c r="N1620" s="5"/>
    </row>
    <row r="1621">
      <c r="N1621" s="5"/>
    </row>
    <row r="1622">
      <c r="N1622" s="5"/>
    </row>
    <row r="1623">
      <c r="N1623" s="5"/>
    </row>
    <row r="1624">
      <c r="N1624" s="5"/>
    </row>
    <row r="1625">
      <c r="N1625" s="5"/>
    </row>
    <row r="1626">
      <c r="N1626" s="5"/>
    </row>
    <row r="1627">
      <c r="N1627" s="5"/>
    </row>
    <row r="1628">
      <c r="N1628" s="5"/>
    </row>
    <row r="1629">
      <c r="N1629" s="5"/>
    </row>
    <row r="1630">
      <c r="N1630" s="5"/>
    </row>
    <row r="1631">
      <c r="N1631" s="5"/>
    </row>
    <row r="1632">
      <c r="N1632" s="5"/>
    </row>
    <row r="1633">
      <c r="N1633" s="5"/>
    </row>
    <row r="1634">
      <c r="N1634" s="5"/>
    </row>
    <row r="1635">
      <c r="N1635" s="5"/>
    </row>
    <row r="1636">
      <c r="N1636" s="5"/>
    </row>
    <row r="1637">
      <c r="N1637" s="5"/>
    </row>
    <row r="1638">
      <c r="N1638" s="5"/>
    </row>
    <row r="1639">
      <c r="N1639" s="5"/>
    </row>
    <row r="1640">
      <c r="N1640" s="5"/>
    </row>
    <row r="1641">
      <c r="N1641" s="5"/>
    </row>
    <row r="1642">
      <c r="N1642" s="5"/>
    </row>
    <row r="1643">
      <c r="N1643" s="5"/>
    </row>
    <row r="1644">
      <c r="N1644" s="5"/>
    </row>
    <row r="1645">
      <c r="N1645" s="5"/>
    </row>
    <row r="1646">
      <c r="N1646" s="5"/>
    </row>
    <row r="1647">
      <c r="N1647" s="5"/>
    </row>
    <row r="1648">
      <c r="N1648" s="5"/>
    </row>
    <row r="1649">
      <c r="N1649" s="5"/>
    </row>
    <row r="1650">
      <c r="N1650" s="5"/>
    </row>
    <row r="1651">
      <c r="N1651" s="5"/>
    </row>
    <row r="1652">
      <c r="N1652" s="5"/>
    </row>
    <row r="1653">
      <c r="N1653" s="5"/>
    </row>
    <row r="1654">
      <c r="N1654" s="5"/>
    </row>
    <row r="1655">
      <c r="N1655" s="5"/>
    </row>
    <row r="1656">
      <c r="N1656" s="5"/>
    </row>
    <row r="1657">
      <c r="N1657" s="5"/>
    </row>
    <row r="1658">
      <c r="N1658" s="5"/>
    </row>
    <row r="1659">
      <c r="N1659" s="5"/>
    </row>
    <row r="1660">
      <c r="N1660" s="5"/>
    </row>
    <row r="1661">
      <c r="N1661" s="5"/>
    </row>
    <row r="1662">
      <c r="N1662" s="5"/>
    </row>
    <row r="1663">
      <c r="N1663" s="5"/>
    </row>
    <row r="1664">
      <c r="N1664" s="5"/>
    </row>
    <row r="1665">
      <c r="N1665" s="5"/>
    </row>
    <row r="1666">
      <c r="N1666" s="5"/>
    </row>
    <row r="1667">
      <c r="N1667" s="5"/>
    </row>
    <row r="1668">
      <c r="N1668" s="5"/>
    </row>
    <row r="1669">
      <c r="N1669" s="5"/>
    </row>
    <row r="1670">
      <c r="N1670" s="5"/>
    </row>
    <row r="1671">
      <c r="N1671" s="5"/>
    </row>
    <row r="1672">
      <c r="N1672" s="5"/>
    </row>
    <row r="1673">
      <c r="N1673" s="5"/>
    </row>
    <row r="1674">
      <c r="N1674" s="5"/>
    </row>
    <row r="1675">
      <c r="N1675" s="5"/>
    </row>
    <row r="1676">
      <c r="N1676" s="5"/>
    </row>
    <row r="1677">
      <c r="N1677" s="5"/>
    </row>
    <row r="1678">
      <c r="N1678" s="5"/>
    </row>
    <row r="1679">
      <c r="N1679" s="5"/>
    </row>
    <row r="1680">
      <c r="N1680" s="5"/>
    </row>
    <row r="1681">
      <c r="N1681" s="5"/>
    </row>
    <row r="1682">
      <c r="N1682" s="5"/>
    </row>
    <row r="1683">
      <c r="N1683" s="5"/>
    </row>
    <row r="1684">
      <c r="N1684" s="5"/>
    </row>
    <row r="1685">
      <c r="N1685" s="5"/>
    </row>
    <row r="1686">
      <c r="N1686" s="5"/>
    </row>
    <row r="1687">
      <c r="N1687" s="5"/>
    </row>
    <row r="1688">
      <c r="N1688" s="5"/>
    </row>
    <row r="1689">
      <c r="N1689" s="5"/>
    </row>
    <row r="1690">
      <c r="N1690" s="5"/>
    </row>
    <row r="1691">
      <c r="N1691" s="5"/>
    </row>
    <row r="1692">
      <c r="N1692" s="5"/>
    </row>
    <row r="1693">
      <c r="N1693" s="5"/>
    </row>
    <row r="1694">
      <c r="N1694" s="5"/>
    </row>
    <row r="1695">
      <c r="N1695" s="5"/>
    </row>
    <row r="1696">
      <c r="N1696" s="5"/>
    </row>
    <row r="1697">
      <c r="N1697" s="5"/>
    </row>
    <row r="1698">
      <c r="N1698" s="5"/>
    </row>
    <row r="1699">
      <c r="N1699" s="5"/>
    </row>
    <row r="1700">
      <c r="N1700" s="5"/>
    </row>
    <row r="1701">
      <c r="N1701" s="5"/>
    </row>
    <row r="1702">
      <c r="N1702" s="5"/>
    </row>
    <row r="1703">
      <c r="N1703" s="5"/>
    </row>
    <row r="1704">
      <c r="N1704" s="5"/>
    </row>
    <row r="1705">
      <c r="N1705" s="5"/>
    </row>
    <row r="1706">
      <c r="N1706" s="5"/>
    </row>
    <row r="1707">
      <c r="N1707" s="5"/>
    </row>
    <row r="1708">
      <c r="N1708" s="5"/>
    </row>
    <row r="1709">
      <c r="N1709" s="5"/>
    </row>
    <row r="1710">
      <c r="N1710" s="5"/>
    </row>
    <row r="1711">
      <c r="N1711" s="5"/>
    </row>
    <row r="1712">
      <c r="N1712" s="5"/>
    </row>
    <row r="1713">
      <c r="N1713" s="5"/>
    </row>
    <row r="1714">
      <c r="N1714" s="5"/>
    </row>
    <row r="1715">
      <c r="N1715" s="5"/>
    </row>
    <row r="1716">
      <c r="N1716" s="5"/>
    </row>
    <row r="1717">
      <c r="N1717" s="5"/>
    </row>
    <row r="1718">
      <c r="N1718" s="5"/>
    </row>
    <row r="1719">
      <c r="N1719" s="5"/>
    </row>
    <row r="1720">
      <c r="N1720" s="5"/>
    </row>
    <row r="1721">
      <c r="N1721" s="5"/>
    </row>
    <row r="1722">
      <c r="N1722" s="5"/>
    </row>
    <row r="1723">
      <c r="N1723" s="5"/>
    </row>
    <row r="1724">
      <c r="N1724" s="5"/>
    </row>
    <row r="1725">
      <c r="N1725" s="5"/>
    </row>
    <row r="1726">
      <c r="N1726" s="5"/>
    </row>
    <row r="1727">
      <c r="N1727" s="5"/>
    </row>
    <row r="1728">
      <c r="N1728" s="5"/>
    </row>
    <row r="1729">
      <c r="N1729" s="5"/>
    </row>
    <row r="1730">
      <c r="N1730" s="5"/>
    </row>
    <row r="1731">
      <c r="N1731" s="5"/>
    </row>
    <row r="1732">
      <c r="N1732" s="5"/>
    </row>
    <row r="1733">
      <c r="N1733" s="5"/>
    </row>
    <row r="1734">
      <c r="N1734" s="5"/>
    </row>
    <row r="1735">
      <c r="N1735" s="5"/>
    </row>
    <row r="1736">
      <c r="N1736" s="5"/>
    </row>
    <row r="1737">
      <c r="N1737" s="5"/>
    </row>
    <row r="1738">
      <c r="N1738" s="5"/>
    </row>
    <row r="1739">
      <c r="N1739" s="5"/>
    </row>
    <row r="1740">
      <c r="N1740" s="5"/>
    </row>
    <row r="1741">
      <c r="N1741" s="5"/>
    </row>
    <row r="1742">
      <c r="N1742" s="5"/>
    </row>
    <row r="1743">
      <c r="N1743" s="5"/>
    </row>
    <row r="1744">
      <c r="N1744" s="5"/>
    </row>
    <row r="1745">
      <c r="N1745" s="5"/>
    </row>
    <row r="1746">
      <c r="N1746" s="5"/>
    </row>
    <row r="1747">
      <c r="N1747" s="5"/>
    </row>
    <row r="1748">
      <c r="N1748" s="5"/>
    </row>
    <row r="1749">
      <c r="N1749" s="5"/>
    </row>
    <row r="1750">
      <c r="N1750" s="5"/>
    </row>
    <row r="1751">
      <c r="N1751" s="5"/>
    </row>
    <row r="1752">
      <c r="N1752" s="5"/>
    </row>
    <row r="1753">
      <c r="N1753" s="5"/>
    </row>
    <row r="1754">
      <c r="N1754" s="5"/>
    </row>
    <row r="1755">
      <c r="N1755" s="5"/>
    </row>
    <row r="1756">
      <c r="N1756" s="5"/>
    </row>
    <row r="1757">
      <c r="N1757" s="5"/>
    </row>
    <row r="1758">
      <c r="N1758" s="5"/>
    </row>
    <row r="1759">
      <c r="N1759" s="5"/>
    </row>
    <row r="1760">
      <c r="N1760" s="5"/>
    </row>
    <row r="1761">
      <c r="N1761" s="5"/>
    </row>
    <row r="1762">
      <c r="N1762" s="5"/>
    </row>
    <row r="1763">
      <c r="N1763" s="5"/>
    </row>
    <row r="1764">
      <c r="N1764" s="5"/>
    </row>
    <row r="1765">
      <c r="N1765" s="5"/>
    </row>
    <row r="1766">
      <c r="N1766" s="5"/>
    </row>
    <row r="1767">
      <c r="N1767" s="5"/>
    </row>
    <row r="1768">
      <c r="N1768" s="5"/>
    </row>
    <row r="1769">
      <c r="N1769" s="5"/>
    </row>
    <row r="1770">
      <c r="N1770" s="5"/>
    </row>
    <row r="1771">
      <c r="N1771" s="5"/>
    </row>
    <row r="1772">
      <c r="N1772" s="5"/>
    </row>
    <row r="1773">
      <c r="N1773" s="5"/>
    </row>
    <row r="1774">
      <c r="N1774" s="5"/>
    </row>
    <row r="1775">
      <c r="N1775" s="5"/>
    </row>
    <row r="1776">
      <c r="N1776" s="5"/>
    </row>
    <row r="1777">
      <c r="N1777" s="5"/>
    </row>
    <row r="1778">
      <c r="N1778" s="5"/>
    </row>
    <row r="1779">
      <c r="N1779" s="5"/>
    </row>
    <row r="1780">
      <c r="N1780" s="5"/>
    </row>
    <row r="1781">
      <c r="N1781" s="5"/>
    </row>
    <row r="1782">
      <c r="N1782" s="5"/>
    </row>
    <row r="1783">
      <c r="N1783" s="5"/>
    </row>
    <row r="1784">
      <c r="N1784" s="5"/>
    </row>
    <row r="1785">
      <c r="N1785" s="5"/>
    </row>
    <row r="1786">
      <c r="N1786" s="5"/>
    </row>
    <row r="1787">
      <c r="N1787" s="5"/>
    </row>
    <row r="1788">
      <c r="N1788" s="5"/>
    </row>
    <row r="1789">
      <c r="N1789" s="5"/>
    </row>
    <row r="1790">
      <c r="N1790" s="5"/>
    </row>
    <row r="1791">
      <c r="N1791" s="5"/>
    </row>
    <row r="1792">
      <c r="N1792" s="5"/>
    </row>
    <row r="1793">
      <c r="N1793" s="5"/>
    </row>
    <row r="1794">
      <c r="N1794" s="5"/>
    </row>
    <row r="1795">
      <c r="N1795" s="5"/>
    </row>
    <row r="1796">
      <c r="N1796" s="5"/>
    </row>
    <row r="1797">
      <c r="N1797" s="5"/>
    </row>
    <row r="1798">
      <c r="N1798" s="5"/>
    </row>
    <row r="1799">
      <c r="N1799" s="5"/>
    </row>
    <row r="1800">
      <c r="N1800" s="5"/>
    </row>
    <row r="1801">
      <c r="N1801" s="5"/>
    </row>
    <row r="1802">
      <c r="N1802" s="5"/>
    </row>
    <row r="1803">
      <c r="N1803" s="5"/>
    </row>
    <row r="1804">
      <c r="N1804" s="5"/>
    </row>
    <row r="1805">
      <c r="N1805" s="5"/>
    </row>
    <row r="1806">
      <c r="N1806" s="5"/>
    </row>
    <row r="1807">
      <c r="N1807" s="5"/>
    </row>
    <row r="1808">
      <c r="N1808" s="5"/>
    </row>
    <row r="1809">
      <c r="N1809" s="5"/>
    </row>
    <row r="1810">
      <c r="N1810" s="5"/>
    </row>
    <row r="1811">
      <c r="N1811" s="5"/>
    </row>
    <row r="1812">
      <c r="N1812" s="5"/>
    </row>
    <row r="1813">
      <c r="N1813" s="5"/>
    </row>
    <row r="1814">
      <c r="N1814" s="5"/>
    </row>
    <row r="1815">
      <c r="N1815" s="5"/>
    </row>
    <row r="1816">
      <c r="N1816" s="5"/>
    </row>
    <row r="1817">
      <c r="N1817" s="5"/>
    </row>
    <row r="1818">
      <c r="N1818" s="5"/>
    </row>
    <row r="1819">
      <c r="N1819" s="5"/>
    </row>
    <row r="1820">
      <c r="N1820" s="5"/>
    </row>
    <row r="1821">
      <c r="N1821" s="5"/>
    </row>
    <row r="1822">
      <c r="N1822" s="5"/>
    </row>
    <row r="1823">
      <c r="N1823" s="5"/>
    </row>
    <row r="1824">
      <c r="N1824" s="5"/>
    </row>
    <row r="1825">
      <c r="N1825" s="5"/>
    </row>
    <row r="1826">
      <c r="N1826" s="5"/>
    </row>
    <row r="1827">
      <c r="N1827" s="5"/>
    </row>
    <row r="1828">
      <c r="N1828" s="5"/>
    </row>
    <row r="1829">
      <c r="N1829" s="5"/>
    </row>
    <row r="1830">
      <c r="N1830" s="5"/>
    </row>
    <row r="1831">
      <c r="N1831" s="5"/>
    </row>
    <row r="1832">
      <c r="N1832" s="5"/>
    </row>
    <row r="1833">
      <c r="N1833" s="5"/>
    </row>
    <row r="1834">
      <c r="N1834" s="5"/>
    </row>
    <row r="1835">
      <c r="N1835" s="5"/>
    </row>
    <row r="1836">
      <c r="N1836" s="5"/>
    </row>
    <row r="1837">
      <c r="N1837" s="5"/>
    </row>
    <row r="1838">
      <c r="N1838" s="5"/>
    </row>
    <row r="1839">
      <c r="N1839" s="5"/>
    </row>
    <row r="1840">
      <c r="N1840" s="5"/>
    </row>
    <row r="1841">
      <c r="N1841" s="5"/>
    </row>
    <row r="1842">
      <c r="N1842" s="5"/>
    </row>
    <row r="1843">
      <c r="N1843" s="5"/>
    </row>
    <row r="1844">
      <c r="N1844" s="5"/>
    </row>
    <row r="1845">
      <c r="N1845" s="5"/>
    </row>
    <row r="1846">
      <c r="N1846" s="5"/>
    </row>
    <row r="1847">
      <c r="N1847" s="5"/>
    </row>
    <row r="1848">
      <c r="N1848" s="5"/>
    </row>
    <row r="1849">
      <c r="N1849" s="5"/>
    </row>
    <row r="1850">
      <c r="N1850" s="5"/>
    </row>
    <row r="1851">
      <c r="N1851" s="5"/>
    </row>
    <row r="1852">
      <c r="N1852" s="5"/>
    </row>
    <row r="1853">
      <c r="N1853" s="5"/>
    </row>
    <row r="1854">
      <c r="N1854" s="5"/>
    </row>
    <row r="1855">
      <c r="N1855" s="5"/>
    </row>
    <row r="1856">
      <c r="N1856" s="5"/>
    </row>
    <row r="1857">
      <c r="N1857" s="5"/>
    </row>
    <row r="1858">
      <c r="N1858" s="5"/>
    </row>
    <row r="1859">
      <c r="N1859" s="5"/>
    </row>
    <row r="1860">
      <c r="N1860" s="5"/>
    </row>
    <row r="1861">
      <c r="N1861" s="5"/>
    </row>
    <row r="1862">
      <c r="N1862" s="5"/>
    </row>
    <row r="1863">
      <c r="N1863" s="5"/>
    </row>
    <row r="1864">
      <c r="N1864" s="5"/>
    </row>
    <row r="1865">
      <c r="N1865" s="5"/>
    </row>
    <row r="1866">
      <c r="N1866" s="5"/>
    </row>
    <row r="1867">
      <c r="N1867" s="5"/>
    </row>
    <row r="1868">
      <c r="N1868" s="5"/>
    </row>
    <row r="1869">
      <c r="N1869" s="5"/>
    </row>
    <row r="1870">
      <c r="N1870" s="5"/>
    </row>
    <row r="1871">
      <c r="N1871" s="5"/>
    </row>
    <row r="1872">
      <c r="N1872" s="5"/>
    </row>
    <row r="1873">
      <c r="N1873" s="5"/>
    </row>
    <row r="1874">
      <c r="N1874" s="5"/>
    </row>
    <row r="1875">
      <c r="N1875" s="5"/>
    </row>
    <row r="1876">
      <c r="N1876" s="5"/>
    </row>
    <row r="1877">
      <c r="N1877" s="5"/>
    </row>
    <row r="1878">
      <c r="N1878" s="5"/>
    </row>
    <row r="1879">
      <c r="N1879" s="5"/>
    </row>
    <row r="1880">
      <c r="N1880" s="5"/>
    </row>
    <row r="1881">
      <c r="N1881" s="5"/>
    </row>
    <row r="1882">
      <c r="N1882" s="5"/>
    </row>
    <row r="1883">
      <c r="N1883" s="5"/>
    </row>
    <row r="1884">
      <c r="N1884" s="5"/>
    </row>
    <row r="1885">
      <c r="N1885" s="5"/>
    </row>
    <row r="1886">
      <c r="N1886" s="5"/>
    </row>
    <row r="1887">
      <c r="N1887" s="5"/>
    </row>
    <row r="1888">
      <c r="N1888" s="5"/>
    </row>
    <row r="1889">
      <c r="N1889" s="5"/>
    </row>
    <row r="1890">
      <c r="N1890" s="5"/>
    </row>
    <row r="1891">
      <c r="N1891" s="5"/>
    </row>
    <row r="1892">
      <c r="N1892" s="5"/>
    </row>
    <row r="1893">
      <c r="N1893" s="5"/>
    </row>
    <row r="1894">
      <c r="N1894" s="5"/>
    </row>
    <row r="1895">
      <c r="N1895" s="5"/>
    </row>
    <row r="1896">
      <c r="N1896" s="5"/>
    </row>
    <row r="1897">
      <c r="N1897" s="5"/>
    </row>
    <row r="1898">
      <c r="N1898" s="5"/>
    </row>
    <row r="1899">
      <c r="N1899" s="5"/>
    </row>
    <row r="1900">
      <c r="N1900" s="5"/>
    </row>
    <row r="1901">
      <c r="N1901" s="5"/>
    </row>
    <row r="1902">
      <c r="N1902" s="5"/>
    </row>
    <row r="1903">
      <c r="N1903" s="5"/>
    </row>
    <row r="1904">
      <c r="N1904" s="5"/>
    </row>
    <row r="1905">
      <c r="N1905" s="5"/>
    </row>
    <row r="1906">
      <c r="N1906" s="5"/>
    </row>
    <row r="1907">
      <c r="N1907" s="5"/>
    </row>
    <row r="1908">
      <c r="N1908" s="5"/>
    </row>
    <row r="1909">
      <c r="N1909" s="5"/>
    </row>
    <row r="1910">
      <c r="N1910" s="5"/>
    </row>
    <row r="1911">
      <c r="N1911" s="5"/>
    </row>
    <row r="1912">
      <c r="N1912" s="5"/>
    </row>
    <row r="1913">
      <c r="N1913" s="5"/>
    </row>
    <row r="1914">
      <c r="N1914" s="5"/>
    </row>
    <row r="1915">
      <c r="N1915" s="5"/>
    </row>
    <row r="1916">
      <c r="N1916" s="5"/>
    </row>
    <row r="1917">
      <c r="N1917" s="5"/>
    </row>
    <row r="1918">
      <c r="N1918" s="5"/>
    </row>
    <row r="1919">
      <c r="N1919" s="5"/>
    </row>
    <row r="1920">
      <c r="N1920" s="5"/>
    </row>
    <row r="1921">
      <c r="N1921" s="5"/>
    </row>
    <row r="1922">
      <c r="N1922" s="5"/>
    </row>
    <row r="1923">
      <c r="N1923" s="5"/>
    </row>
    <row r="1924">
      <c r="N1924" s="5"/>
    </row>
    <row r="1925">
      <c r="N1925" s="5"/>
    </row>
    <row r="1926">
      <c r="N1926" s="5"/>
    </row>
    <row r="1927">
      <c r="N1927" s="5"/>
    </row>
    <row r="1928">
      <c r="N1928" s="5"/>
    </row>
    <row r="1929">
      <c r="N1929" s="5"/>
    </row>
    <row r="1930">
      <c r="N1930" s="5"/>
    </row>
    <row r="1931">
      <c r="N1931" s="5"/>
    </row>
    <row r="1932">
      <c r="N1932" s="5"/>
    </row>
    <row r="1933">
      <c r="N1933" s="5"/>
    </row>
    <row r="1934">
      <c r="N1934" s="5"/>
    </row>
    <row r="1935">
      <c r="N1935" s="5"/>
    </row>
    <row r="1936">
      <c r="N1936" s="5"/>
    </row>
    <row r="1937">
      <c r="N1937" s="5"/>
    </row>
    <row r="1938">
      <c r="N1938" s="5"/>
    </row>
    <row r="1939">
      <c r="N1939" s="5"/>
    </row>
    <row r="1940">
      <c r="N1940" s="5"/>
    </row>
    <row r="1941">
      <c r="N1941" s="5"/>
    </row>
    <row r="1942">
      <c r="N1942" s="5"/>
    </row>
    <row r="1943">
      <c r="N1943" s="5"/>
    </row>
    <row r="1944">
      <c r="N1944" s="5"/>
    </row>
    <row r="1945">
      <c r="N1945" s="5"/>
    </row>
    <row r="1946">
      <c r="N1946" s="5"/>
    </row>
    <row r="1947">
      <c r="N1947" s="5"/>
    </row>
    <row r="1948">
      <c r="N1948" s="5"/>
    </row>
    <row r="1949">
      <c r="N1949" s="5"/>
    </row>
    <row r="1950">
      <c r="N1950" s="5"/>
    </row>
    <row r="1951">
      <c r="N1951" s="5"/>
    </row>
    <row r="1952">
      <c r="N1952" s="5"/>
    </row>
    <row r="1953">
      <c r="N1953" s="5"/>
    </row>
    <row r="1954">
      <c r="N1954" s="5"/>
    </row>
    <row r="1955">
      <c r="N1955" s="5"/>
    </row>
    <row r="1956">
      <c r="N1956" s="5"/>
    </row>
    <row r="1957">
      <c r="N1957" s="5"/>
    </row>
    <row r="1958">
      <c r="N1958" s="5"/>
    </row>
    <row r="1959">
      <c r="N1959" s="5"/>
    </row>
    <row r="1960">
      <c r="N1960" s="5"/>
    </row>
    <row r="1961">
      <c r="N1961" s="5"/>
    </row>
    <row r="1962">
      <c r="N1962" s="5"/>
    </row>
    <row r="1963">
      <c r="N1963" s="5"/>
    </row>
    <row r="1964">
      <c r="N1964" s="5"/>
    </row>
    <row r="1965">
      <c r="N1965" s="5"/>
    </row>
    <row r="1966">
      <c r="N1966" s="5"/>
    </row>
    <row r="1967">
      <c r="N1967" s="5"/>
    </row>
    <row r="1968">
      <c r="N1968" s="5"/>
    </row>
    <row r="1969">
      <c r="N1969" s="5"/>
    </row>
    <row r="1970">
      <c r="N1970" s="5"/>
    </row>
    <row r="1971">
      <c r="N1971" s="5"/>
    </row>
    <row r="1972">
      <c r="N1972" s="5"/>
    </row>
    <row r="1973">
      <c r="N1973" s="5"/>
    </row>
    <row r="1974">
      <c r="N1974" s="5"/>
    </row>
    <row r="1975">
      <c r="N1975" s="5"/>
    </row>
    <row r="1976">
      <c r="N1976" s="5"/>
    </row>
    <row r="1977">
      <c r="N1977" s="5"/>
    </row>
    <row r="1978">
      <c r="N1978" s="5"/>
    </row>
    <row r="1979">
      <c r="N1979" s="5"/>
    </row>
    <row r="1980">
      <c r="N1980" s="5"/>
    </row>
    <row r="1981">
      <c r="N1981" s="5"/>
    </row>
    <row r="1982">
      <c r="N1982" s="5"/>
    </row>
    <row r="1983">
      <c r="N1983" s="5"/>
    </row>
    <row r="1984">
      <c r="N1984" s="5"/>
    </row>
    <row r="1985">
      <c r="N1985" s="5"/>
    </row>
    <row r="1986">
      <c r="N1986" s="5"/>
    </row>
    <row r="1987">
      <c r="N1987" s="5"/>
    </row>
    <row r="1988">
      <c r="N1988" s="5"/>
    </row>
    <row r="1989">
      <c r="N1989" s="5"/>
    </row>
    <row r="1990">
      <c r="N1990" s="5"/>
    </row>
    <row r="1991">
      <c r="N1991" s="5"/>
    </row>
    <row r="1992">
      <c r="N1992" s="5"/>
    </row>
    <row r="1993">
      <c r="N1993" s="5"/>
    </row>
    <row r="1994">
      <c r="N1994" s="5"/>
    </row>
    <row r="1995">
      <c r="N1995" s="5"/>
    </row>
    <row r="1996">
      <c r="N1996" s="5"/>
    </row>
    <row r="1997">
      <c r="N1997" s="5"/>
    </row>
    <row r="1998">
      <c r="N1998" s="5"/>
    </row>
    <row r="1999">
      <c r="N1999" s="5"/>
    </row>
    <row r="2000">
      <c r="N2000" s="5"/>
    </row>
    <row r="2001">
      <c r="N2001" s="5"/>
    </row>
    <row r="2002">
      <c r="N2002" s="5"/>
    </row>
    <row r="2003">
      <c r="N2003" s="5"/>
    </row>
    <row r="2004">
      <c r="N2004" s="5"/>
    </row>
    <row r="2005">
      <c r="N2005" s="5"/>
    </row>
    <row r="2006">
      <c r="N2006" s="5"/>
    </row>
    <row r="2007">
      <c r="N2007" s="5"/>
    </row>
    <row r="2008">
      <c r="N2008" s="5"/>
    </row>
    <row r="2009">
      <c r="N2009" s="5"/>
    </row>
    <row r="2010">
      <c r="N2010" s="5"/>
    </row>
    <row r="2011">
      <c r="N2011" s="5"/>
    </row>
    <row r="2012">
      <c r="N2012" s="5"/>
    </row>
    <row r="2013">
      <c r="N2013" s="5"/>
    </row>
    <row r="2014">
      <c r="N2014" s="5"/>
    </row>
    <row r="2015">
      <c r="N2015" s="5"/>
    </row>
    <row r="2016">
      <c r="N2016" s="5"/>
    </row>
    <row r="2017">
      <c r="N2017" s="5"/>
    </row>
    <row r="2018">
      <c r="N2018" s="5"/>
    </row>
    <row r="2019">
      <c r="N2019" s="5"/>
    </row>
    <row r="2020">
      <c r="N2020" s="5"/>
    </row>
    <row r="2021">
      <c r="N2021" s="5"/>
    </row>
    <row r="2022">
      <c r="N2022" s="5"/>
    </row>
    <row r="2023">
      <c r="N2023" s="5"/>
    </row>
    <row r="2024">
      <c r="N2024" s="5"/>
    </row>
    <row r="2025">
      <c r="N2025" s="5"/>
    </row>
    <row r="2026">
      <c r="N2026" s="5"/>
    </row>
    <row r="2027">
      <c r="N2027" s="5"/>
    </row>
    <row r="2028">
      <c r="N2028" s="5"/>
    </row>
    <row r="2029">
      <c r="N2029" s="5"/>
    </row>
    <row r="2030">
      <c r="N2030" s="5"/>
    </row>
    <row r="2031">
      <c r="N2031" s="5"/>
    </row>
    <row r="2032">
      <c r="N2032" s="5"/>
    </row>
    <row r="2033">
      <c r="N2033" s="5"/>
    </row>
    <row r="2034">
      <c r="N2034" s="5"/>
    </row>
    <row r="2035">
      <c r="N2035" s="5"/>
    </row>
    <row r="2036">
      <c r="N2036" s="5"/>
    </row>
    <row r="2037">
      <c r="N2037" s="5"/>
    </row>
    <row r="2038">
      <c r="N2038" s="5"/>
    </row>
    <row r="2039">
      <c r="N2039" s="5"/>
    </row>
    <row r="2040">
      <c r="N2040" s="5"/>
    </row>
    <row r="2041">
      <c r="N2041" s="5"/>
    </row>
    <row r="2042">
      <c r="N2042" s="5"/>
    </row>
    <row r="2043">
      <c r="N2043" s="5"/>
    </row>
    <row r="2044">
      <c r="N2044" s="5"/>
    </row>
    <row r="2045">
      <c r="N2045" s="5"/>
    </row>
    <row r="2046">
      <c r="N2046" s="5"/>
    </row>
    <row r="2047">
      <c r="N2047" s="5"/>
    </row>
    <row r="2048">
      <c r="N2048" s="5"/>
    </row>
    <row r="2049">
      <c r="N2049" s="5"/>
    </row>
    <row r="2050">
      <c r="N2050" s="5"/>
    </row>
    <row r="2051">
      <c r="N2051" s="5"/>
    </row>
    <row r="2052">
      <c r="N2052" s="5"/>
    </row>
    <row r="2053">
      <c r="N2053" s="5"/>
    </row>
    <row r="2054">
      <c r="N2054" s="5"/>
    </row>
    <row r="2055">
      <c r="N2055" s="5"/>
    </row>
    <row r="2056">
      <c r="N2056" s="5"/>
    </row>
    <row r="2057">
      <c r="N2057" s="5"/>
    </row>
    <row r="2058">
      <c r="N2058" s="5"/>
    </row>
    <row r="2059">
      <c r="N2059" s="5"/>
    </row>
    <row r="2060">
      <c r="N2060" s="5"/>
    </row>
    <row r="2061">
      <c r="N2061" s="5"/>
    </row>
    <row r="2062">
      <c r="N2062" s="5"/>
    </row>
    <row r="2063">
      <c r="N2063" s="5"/>
    </row>
    <row r="2064">
      <c r="N2064" s="5"/>
    </row>
    <row r="2065">
      <c r="N2065" s="5"/>
    </row>
    <row r="2066">
      <c r="N2066" s="5"/>
    </row>
    <row r="2067">
      <c r="N2067" s="5"/>
    </row>
    <row r="2068">
      <c r="N2068" s="5"/>
    </row>
    <row r="2069">
      <c r="N2069" s="5"/>
    </row>
    <row r="2070">
      <c r="N2070" s="5"/>
    </row>
    <row r="2071">
      <c r="N2071" s="5"/>
    </row>
    <row r="2072">
      <c r="N2072" s="5"/>
    </row>
    <row r="2073">
      <c r="N2073" s="5"/>
    </row>
    <row r="2074">
      <c r="N2074" s="5"/>
    </row>
    <row r="2075">
      <c r="N2075" s="5"/>
    </row>
    <row r="2076">
      <c r="N2076" s="5"/>
    </row>
    <row r="2077">
      <c r="N2077" s="5"/>
    </row>
    <row r="2078">
      <c r="N2078" s="5"/>
    </row>
    <row r="2079">
      <c r="N2079" s="5"/>
    </row>
    <row r="2080">
      <c r="N2080" s="5"/>
    </row>
    <row r="2081">
      <c r="N2081" s="5"/>
    </row>
    <row r="2082">
      <c r="N2082" s="5"/>
    </row>
    <row r="2083">
      <c r="N2083" s="5"/>
    </row>
    <row r="2084">
      <c r="N2084" s="5"/>
    </row>
    <row r="2085">
      <c r="N2085" s="5"/>
    </row>
    <row r="2086">
      <c r="N2086" s="5"/>
    </row>
    <row r="2087">
      <c r="N2087" s="5"/>
    </row>
    <row r="2088">
      <c r="N2088" s="5"/>
    </row>
    <row r="2089">
      <c r="N2089" s="5"/>
    </row>
    <row r="2090">
      <c r="N2090" s="5"/>
    </row>
    <row r="2091">
      <c r="N2091" s="5"/>
    </row>
    <row r="2092">
      <c r="N2092" s="5"/>
    </row>
    <row r="2093">
      <c r="N2093" s="5"/>
    </row>
    <row r="2094">
      <c r="N2094" s="5"/>
    </row>
    <row r="2095">
      <c r="N2095" s="5"/>
    </row>
    <row r="2096">
      <c r="N2096" s="5"/>
    </row>
    <row r="2097">
      <c r="N2097" s="5"/>
    </row>
    <row r="2098">
      <c r="N2098" s="5"/>
    </row>
    <row r="2099">
      <c r="N2099" s="5"/>
    </row>
    <row r="2100">
      <c r="N2100" s="5"/>
    </row>
    <row r="2101">
      <c r="N2101" s="5"/>
    </row>
    <row r="2102">
      <c r="N2102" s="5"/>
    </row>
    <row r="2103">
      <c r="N2103" s="5"/>
    </row>
    <row r="2104">
      <c r="N2104" s="5"/>
    </row>
    <row r="2105">
      <c r="N2105" s="5"/>
    </row>
    <row r="2106">
      <c r="N2106" s="5"/>
    </row>
    <row r="2107">
      <c r="N2107" s="5"/>
    </row>
    <row r="2108">
      <c r="N2108" s="5"/>
    </row>
    <row r="2109">
      <c r="N2109" s="5"/>
    </row>
    <row r="2110">
      <c r="N2110" s="5"/>
    </row>
    <row r="2111">
      <c r="N2111" s="5"/>
    </row>
    <row r="2112">
      <c r="N2112" s="5"/>
    </row>
    <row r="2113">
      <c r="N2113" s="5"/>
    </row>
    <row r="2114">
      <c r="N2114" s="5"/>
    </row>
    <row r="2115">
      <c r="N2115" s="5"/>
    </row>
    <row r="2116">
      <c r="N2116" s="5"/>
    </row>
    <row r="2117">
      <c r="N2117" s="5"/>
    </row>
    <row r="2118">
      <c r="N2118" s="5"/>
    </row>
    <row r="2119">
      <c r="N2119" s="5"/>
    </row>
    <row r="2120">
      <c r="N2120" s="5"/>
    </row>
    <row r="2121">
      <c r="N2121" s="5"/>
    </row>
    <row r="2122">
      <c r="N2122" s="5"/>
    </row>
    <row r="2123">
      <c r="N2123" s="5"/>
    </row>
    <row r="2124">
      <c r="N2124" s="5"/>
    </row>
    <row r="2125">
      <c r="N2125" s="5"/>
    </row>
    <row r="2126">
      <c r="N2126" s="5"/>
    </row>
    <row r="2127">
      <c r="N2127" s="5"/>
    </row>
    <row r="2128">
      <c r="N2128" s="5"/>
    </row>
    <row r="2129">
      <c r="N2129" s="5"/>
    </row>
    <row r="2130">
      <c r="N2130" s="5"/>
    </row>
    <row r="2131">
      <c r="N2131" s="5"/>
    </row>
    <row r="2132">
      <c r="N2132" s="5"/>
    </row>
    <row r="2133">
      <c r="N2133" s="5"/>
    </row>
    <row r="2134">
      <c r="N2134" s="5"/>
    </row>
    <row r="2135">
      <c r="N2135" s="5"/>
    </row>
    <row r="2136">
      <c r="N2136" s="5"/>
    </row>
    <row r="2137">
      <c r="N2137" s="5"/>
    </row>
    <row r="2138">
      <c r="N2138" s="5"/>
    </row>
    <row r="2139">
      <c r="N2139" s="5"/>
    </row>
    <row r="2140">
      <c r="N2140" s="5"/>
    </row>
    <row r="2141">
      <c r="N2141" s="5"/>
    </row>
    <row r="2142">
      <c r="N2142" s="5"/>
    </row>
    <row r="2143">
      <c r="N2143" s="5"/>
    </row>
    <row r="2144">
      <c r="N2144" s="5"/>
    </row>
    <row r="2145">
      <c r="N2145" s="5"/>
    </row>
    <row r="2146">
      <c r="N2146" s="5"/>
    </row>
    <row r="2147">
      <c r="N2147" s="5"/>
    </row>
    <row r="2148">
      <c r="N2148" s="5"/>
    </row>
    <row r="2149">
      <c r="N2149" s="5"/>
    </row>
    <row r="2150">
      <c r="N2150" s="5"/>
    </row>
    <row r="2151">
      <c r="N2151" s="5"/>
    </row>
    <row r="2152">
      <c r="N2152" s="5"/>
    </row>
    <row r="2153">
      <c r="N2153" s="5"/>
    </row>
    <row r="2154">
      <c r="N2154" s="5"/>
    </row>
    <row r="2155">
      <c r="N2155" s="5"/>
    </row>
    <row r="2156">
      <c r="N2156" s="5"/>
    </row>
    <row r="2157">
      <c r="N2157" s="5"/>
    </row>
    <row r="2158">
      <c r="N2158" s="5"/>
    </row>
    <row r="2159">
      <c r="N2159" s="5"/>
    </row>
    <row r="2160">
      <c r="N2160" s="5"/>
    </row>
    <row r="2161">
      <c r="N2161" s="5"/>
    </row>
    <row r="2162">
      <c r="N2162" s="5"/>
    </row>
    <row r="2163">
      <c r="N2163" s="5"/>
    </row>
    <row r="2164">
      <c r="N2164" s="5"/>
    </row>
    <row r="2165">
      <c r="N2165" s="5"/>
    </row>
    <row r="2166">
      <c r="N2166" s="5"/>
    </row>
    <row r="2167">
      <c r="N2167" s="5"/>
    </row>
    <row r="2168">
      <c r="N2168" s="5"/>
    </row>
    <row r="2169">
      <c r="N2169" s="5"/>
    </row>
    <row r="2170">
      <c r="N2170" s="5"/>
    </row>
    <row r="2171">
      <c r="N2171" s="5"/>
    </row>
    <row r="2172">
      <c r="N2172" s="5"/>
    </row>
    <row r="2173">
      <c r="N2173" s="5"/>
    </row>
    <row r="2174">
      <c r="N2174" s="5"/>
    </row>
    <row r="2175">
      <c r="N2175" s="5"/>
    </row>
    <row r="2176">
      <c r="N2176" s="5"/>
    </row>
    <row r="2177">
      <c r="N2177" s="5"/>
    </row>
    <row r="2178">
      <c r="N2178" s="5"/>
    </row>
    <row r="2179">
      <c r="N2179" s="5"/>
    </row>
    <row r="2180">
      <c r="N2180" s="5"/>
    </row>
    <row r="2181">
      <c r="N2181" s="5"/>
    </row>
    <row r="2182">
      <c r="N2182" s="5"/>
    </row>
    <row r="2183">
      <c r="N2183" s="5"/>
    </row>
    <row r="2184">
      <c r="N2184" s="5"/>
    </row>
    <row r="2185">
      <c r="N2185" s="5"/>
    </row>
    <row r="2186">
      <c r="N2186" s="5"/>
    </row>
    <row r="2187">
      <c r="N2187" s="5"/>
    </row>
    <row r="2188">
      <c r="N2188" s="5"/>
    </row>
    <row r="2189">
      <c r="N2189" s="5"/>
    </row>
    <row r="2190">
      <c r="N2190" s="5"/>
    </row>
    <row r="2191">
      <c r="N2191" s="5"/>
    </row>
    <row r="2192">
      <c r="N2192" s="5"/>
    </row>
    <row r="2193">
      <c r="N2193" s="5"/>
    </row>
    <row r="2194">
      <c r="N2194" s="5"/>
    </row>
    <row r="2195">
      <c r="N2195" s="5"/>
    </row>
    <row r="2196">
      <c r="N2196" s="5"/>
    </row>
    <row r="2197">
      <c r="N2197" s="5"/>
    </row>
    <row r="2198">
      <c r="N2198" s="5"/>
    </row>
    <row r="2199">
      <c r="N2199" s="5"/>
    </row>
    <row r="2200">
      <c r="N2200" s="5"/>
    </row>
    <row r="2201">
      <c r="N2201" s="5"/>
    </row>
    <row r="2202">
      <c r="N2202" s="5"/>
    </row>
    <row r="2203">
      <c r="N2203" s="5"/>
    </row>
    <row r="2204">
      <c r="N2204" s="5"/>
    </row>
    <row r="2205">
      <c r="N2205" s="5"/>
    </row>
    <row r="2206">
      <c r="N2206" s="5"/>
    </row>
    <row r="2207">
      <c r="N2207" s="5"/>
    </row>
    <row r="2208">
      <c r="N2208" s="5"/>
    </row>
    <row r="2209">
      <c r="N2209" s="5"/>
    </row>
    <row r="2210">
      <c r="N2210" s="5"/>
    </row>
    <row r="2211">
      <c r="N2211" s="5"/>
    </row>
    <row r="2212">
      <c r="N2212" s="5"/>
    </row>
    <row r="2213">
      <c r="N2213" s="5"/>
    </row>
    <row r="2214">
      <c r="N2214" s="5"/>
    </row>
    <row r="2215">
      <c r="N2215" s="5"/>
    </row>
    <row r="2216">
      <c r="N2216" s="5"/>
    </row>
    <row r="2217">
      <c r="N2217" s="5"/>
    </row>
    <row r="2218">
      <c r="N2218" s="5"/>
    </row>
    <row r="2219">
      <c r="N2219" s="5"/>
    </row>
    <row r="2220">
      <c r="N2220" s="5"/>
    </row>
    <row r="2221">
      <c r="N2221" s="5"/>
    </row>
    <row r="2222">
      <c r="N2222" s="5"/>
    </row>
    <row r="2223">
      <c r="N2223" s="5"/>
    </row>
    <row r="2224">
      <c r="N2224" s="5"/>
    </row>
    <row r="2225">
      <c r="N2225" s="5"/>
    </row>
    <row r="2226">
      <c r="N2226" s="5"/>
    </row>
    <row r="2227">
      <c r="N2227" s="5"/>
    </row>
    <row r="2228">
      <c r="N2228" s="5"/>
    </row>
    <row r="2229">
      <c r="N2229" s="5"/>
    </row>
    <row r="2230">
      <c r="N2230" s="5"/>
    </row>
    <row r="2231">
      <c r="N2231" s="5"/>
    </row>
    <row r="2232">
      <c r="N2232" s="5"/>
    </row>
    <row r="2233">
      <c r="N2233" s="5"/>
    </row>
    <row r="2234">
      <c r="N2234" s="5"/>
    </row>
    <row r="2235">
      <c r="N2235" s="5"/>
    </row>
    <row r="2236">
      <c r="N2236" s="5"/>
    </row>
    <row r="2237">
      <c r="N2237" s="5"/>
    </row>
    <row r="2238">
      <c r="N2238" s="5"/>
    </row>
    <row r="2239">
      <c r="N2239" s="5"/>
    </row>
    <row r="2240">
      <c r="N2240" s="5"/>
    </row>
    <row r="2241">
      <c r="N2241" s="5"/>
    </row>
    <row r="2242">
      <c r="N2242" s="5"/>
    </row>
    <row r="2243">
      <c r="N2243" s="5"/>
    </row>
    <row r="2244">
      <c r="N2244" s="5"/>
    </row>
    <row r="2245">
      <c r="N2245" s="5"/>
    </row>
    <row r="2246">
      <c r="N2246" s="5"/>
    </row>
    <row r="2247">
      <c r="N2247" s="5"/>
    </row>
    <row r="2248">
      <c r="N2248" s="5"/>
    </row>
    <row r="2249">
      <c r="N2249" s="5"/>
    </row>
    <row r="2250">
      <c r="N2250" s="5"/>
    </row>
    <row r="2251">
      <c r="N2251" s="5"/>
    </row>
    <row r="2252">
      <c r="N2252" s="5"/>
    </row>
    <row r="2253">
      <c r="N2253" s="5"/>
    </row>
    <row r="2254">
      <c r="N2254" s="5"/>
    </row>
    <row r="2255">
      <c r="N2255" s="5"/>
    </row>
    <row r="2256">
      <c r="N2256" s="5"/>
    </row>
    <row r="2257">
      <c r="N2257" s="5"/>
    </row>
    <row r="2258">
      <c r="N2258" s="5"/>
    </row>
    <row r="2259">
      <c r="N2259" s="5"/>
    </row>
    <row r="2260">
      <c r="N2260" s="5"/>
    </row>
    <row r="2261">
      <c r="N2261" s="5"/>
    </row>
    <row r="2262">
      <c r="N2262" s="5"/>
    </row>
    <row r="2263">
      <c r="N2263" s="5"/>
    </row>
    <row r="2264">
      <c r="N2264" s="5"/>
    </row>
    <row r="2265">
      <c r="N2265" s="5"/>
    </row>
    <row r="2266">
      <c r="N2266" s="5"/>
    </row>
    <row r="2267">
      <c r="N2267" s="5"/>
    </row>
    <row r="2268">
      <c r="N2268" s="5"/>
    </row>
    <row r="2269">
      <c r="N2269" s="5"/>
    </row>
    <row r="2270">
      <c r="N2270" s="5"/>
    </row>
    <row r="2271">
      <c r="N2271" s="5"/>
    </row>
    <row r="2272">
      <c r="N2272" s="5"/>
    </row>
    <row r="2273">
      <c r="N2273" s="5"/>
    </row>
    <row r="2274">
      <c r="N2274" s="5"/>
    </row>
    <row r="2275">
      <c r="N2275" s="5"/>
    </row>
    <row r="2276">
      <c r="N2276" s="5"/>
    </row>
    <row r="2277">
      <c r="N2277" s="5"/>
    </row>
    <row r="2278">
      <c r="N2278" s="5"/>
    </row>
    <row r="2279">
      <c r="N2279" s="5"/>
    </row>
    <row r="2280">
      <c r="N2280" s="5"/>
    </row>
    <row r="2281">
      <c r="N2281" s="5"/>
    </row>
    <row r="2282">
      <c r="N2282" s="5"/>
    </row>
    <row r="2283">
      <c r="N2283" s="5"/>
    </row>
    <row r="2284">
      <c r="N2284" s="5"/>
    </row>
    <row r="2285">
      <c r="N2285" s="5"/>
    </row>
    <row r="2286">
      <c r="N2286" s="5"/>
    </row>
    <row r="2287">
      <c r="N2287" s="5"/>
    </row>
    <row r="2288">
      <c r="N2288" s="5"/>
    </row>
    <row r="2289">
      <c r="N2289" s="5"/>
    </row>
    <row r="2290">
      <c r="N2290" s="5"/>
    </row>
    <row r="2291">
      <c r="N2291" s="5"/>
    </row>
    <row r="2292">
      <c r="N2292" s="5"/>
    </row>
    <row r="2293">
      <c r="N2293" s="5"/>
    </row>
    <row r="2294">
      <c r="N2294" s="5"/>
    </row>
    <row r="2295">
      <c r="N2295" s="5"/>
    </row>
    <row r="2296">
      <c r="N2296" s="5"/>
    </row>
    <row r="2297">
      <c r="N2297" s="5"/>
    </row>
    <row r="2298">
      <c r="N2298" s="5"/>
    </row>
    <row r="2299">
      <c r="N2299" s="5"/>
    </row>
    <row r="2300">
      <c r="N2300" s="5"/>
    </row>
    <row r="2301">
      <c r="N2301" s="5"/>
    </row>
    <row r="2302">
      <c r="N2302" s="5"/>
    </row>
    <row r="2303">
      <c r="N2303" s="5"/>
    </row>
    <row r="2304">
      <c r="N2304" s="5"/>
    </row>
    <row r="2305">
      <c r="N2305" s="5"/>
    </row>
    <row r="2306">
      <c r="N2306" s="5"/>
    </row>
    <row r="2307">
      <c r="N2307" s="5"/>
    </row>
    <row r="2308">
      <c r="N2308" s="5"/>
    </row>
    <row r="2309">
      <c r="N2309" s="5"/>
    </row>
    <row r="2310">
      <c r="N2310" s="5"/>
    </row>
    <row r="2311">
      <c r="N2311" s="5"/>
    </row>
    <row r="2312">
      <c r="N2312" s="5"/>
    </row>
    <row r="2313">
      <c r="N2313" s="5"/>
    </row>
    <row r="2314">
      <c r="N2314" s="5"/>
    </row>
    <row r="2315">
      <c r="N2315" s="5"/>
    </row>
    <row r="2316">
      <c r="N2316" s="5"/>
    </row>
    <row r="2317">
      <c r="N2317" s="5"/>
    </row>
    <row r="2318">
      <c r="N2318" s="5"/>
    </row>
    <row r="2319">
      <c r="N2319" s="5"/>
    </row>
    <row r="2320">
      <c r="N2320" s="5"/>
    </row>
    <row r="2321">
      <c r="N2321" s="5"/>
    </row>
    <row r="2322">
      <c r="N2322" s="5"/>
    </row>
    <row r="2323">
      <c r="N2323" s="5"/>
    </row>
    <row r="2324">
      <c r="N2324" s="5"/>
    </row>
    <row r="2325">
      <c r="N2325" s="5"/>
    </row>
    <row r="2326">
      <c r="N2326" s="5"/>
    </row>
    <row r="2327">
      <c r="N2327" s="5"/>
    </row>
    <row r="2328">
      <c r="N2328" s="5"/>
    </row>
    <row r="2329">
      <c r="N2329" s="5"/>
    </row>
    <row r="2330">
      <c r="N2330" s="5"/>
    </row>
    <row r="2331">
      <c r="N2331" s="5"/>
    </row>
    <row r="2332">
      <c r="N2332" s="5"/>
    </row>
    <row r="2333">
      <c r="N2333" s="5"/>
    </row>
    <row r="2334">
      <c r="N2334" s="5"/>
    </row>
    <row r="2335">
      <c r="N2335" s="5"/>
    </row>
    <row r="2336">
      <c r="N2336" s="5"/>
    </row>
    <row r="2337">
      <c r="N2337" s="5"/>
    </row>
    <row r="2338">
      <c r="N2338" s="5"/>
    </row>
    <row r="2339">
      <c r="N2339" s="5"/>
    </row>
    <row r="2340">
      <c r="N2340" s="5"/>
    </row>
    <row r="2341">
      <c r="N2341" s="5"/>
    </row>
    <row r="2342">
      <c r="N2342" s="5"/>
    </row>
    <row r="2343">
      <c r="N2343" s="5"/>
    </row>
    <row r="2344">
      <c r="N2344" s="5"/>
    </row>
    <row r="2345">
      <c r="N2345" s="5"/>
    </row>
    <row r="2346">
      <c r="N2346" s="5"/>
    </row>
    <row r="2347">
      <c r="N2347" s="5"/>
    </row>
    <row r="2348">
      <c r="N2348" s="5"/>
    </row>
    <row r="2349">
      <c r="N2349" s="5"/>
    </row>
    <row r="2350">
      <c r="N2350" s="5"/>
    </row>
    <row r="2351">
      <c r="N2351" s="5"/>
    </row>
    <row r="2352">
      <c r="N2352" s="5"/>
    </row>
    <row r="2353">
      <c r="N2353" s="5"/>
    </row>
    <row r="2354">
      <c r="N2354" s="5"/>
    </row>
    <row r="2355">
      <c r="N2355" s="5"/>
    </row>
    <row r="2356">
      <c r="N2356" s="5"/>
    </row>
    <row r="2357">
      <c r="N2357" s="5"/>
    </row>
    <row r="2358">
      <c r="N2358" s="5"/>
    </row>
    <row r="2359">
      <c r="N2359" s="5"/>
    </row>
    <row r="2360">
      <c r="N2360" s="5"/>
    </row>
    <row r="2361">
      <c r="N2361" s="5"/>
    </row>
    <row r="2362">
      <c r="N2362" s="5"/>
    </row>
    <row r="2363">
      <c r="N2363" s="5"/>
    </row>
    <row r="2364">
      <c r="N2364" s="5"/>
    </row>
    <row r="2365">
      <c r="N2365" s="5"/>
    </row>
    <row r="2366">
      <c r="N2366" s="5"/>
    </row>
    <row r="2367">
      <c r="N2367" s="5"/>
    </row>
    <row r="2368">
      <c r="N2368" s="5"/>
    </row>
    <row r="2369">
      <c r="N2369" s="5"/>
    </row>
    <row r="2370">
      <c r="N2370" s="5"/>
    </row>
    <row r="2371">
      <c r="N2371" s="5"/>
    </row>
    <row r="2372">
      <c r="N2372" s="5"/>
    </row>
    <row r="2373">
      <c r="N2373" s="5"/>
    </row>
    <row r="2374">
      <c r="N2374" s="5"/>
    </row>
    <row r="2375">
      <c r="N2375" s="5"/>
    </row>
    <row r="2376">
      <c r="N2376" s="5"/>
    </row>
    <row r="2377">
      <c r="N2377" s="5"/>
    </row>
    <row r="2378">
      <c r="N2378" s="5"/>
    </row>
    <row r="2379">
      <c r="N2379" s="5"/>
    </row>
    <row r="2380">
      <c r="N2380" s="5"/>
    </row>
    <row r="2381">
      <c r="N2381" s="5"/>
    </row>
    <row r="2382">
      <c r="N2382" s="5"/>
    </row>
    <row r="2383">
      <c r="N2383" s="5"/>
    </row>
    <row r="2384">
      <c r="N2384" s="5"/>
    </row>
    <row r="2385">
      <c r="N2385" s="5"/>
    </row>
    <row r="2386">
      <c r="N2386" s="5"/>
    </row>
    <row r="2387">
      <c r="N2387" s="5"/>
    </row>
    <row r="2388">
      <c r="N2388" s="5"/>
    </row>
    <row r="2389">
      <c r="N2389" s="5"/>
    </row>
    <row r="2390">
      <c r="N2390" s="5"/>
    </row>
    <row r="2391">
      <c r="N2391" s="5"/>
    </row>
    <row r="2392">
      <c r="N2392" s="5"/>
    </row>
    <row r="2393">
      <c r="N2393" s="5"/>
    </row>
    <row r="2394">
      <c r="N2394" s="5"/>
    </row>
    <row r="2395">
      <c r="N2395" s="5"/>
    </row>
    <row r="2396">
      <c r="N2396" s="5"/>
    </row>
    <row r="2397">
      <c r="N2397" s="5"/>
    </row>
    <row r="2398">
      <c r="N2398" s="5"/>
    </row>
    <row r="2399">
      <c r="N2399" s="5"/>
    </row>
    <row r="2400">
      <c r="N2400" s="5"/>
    </row>
    <row r="2401">
      <c r="N2401" s="5"/>
    </row>
    <row r="2402">
      <c r="N2402" s="5"/>
    </row>
    <row r="2403">
      <c r="N2403" s="5"/>
    </row>
    <row r="2404">
      <c r="N2404" s="5"/>
    </row>
    <row r="2405">
      <c r="N2405" s="5"/>
    </row>
    <row r="2406">
      <c r="N2406" s="5"/>
    </row>
    <row r="2407">
      <c r="N2407" s="5"/>
    </row>
    <row r="2408">
      <c r="N2408" s="5"/>
    </row>
    <row r="2409">
      <c r="N2409" s="5"/>
    </row>
    <row r="2410">
      <c r="N2410" s="5"/>
    </row>
    <row r="2411">
      <c r="N2411" s="5"/>
    </row>
    <row r="2412">
      <c r="N2412" s="5"/>
    </row>
    <row r="2413">
      <c r="N2413" s="5"/>
    </row>
    <row r="2414">
      <c r="N2414" s="5"/>
    </row>
    <row r="2415">
      <c r="N2415" s="5"/>
    </row>
    <row r="2416">
      <c r="N2416" s="5"/>
    </row>
    <row r="2417">
      <c r="N2417" s="5"/>
    </row>
    <row r="2418">
      <c r="N2418" s="5"/>
    </row>
    <row r="2419">
      <c r="N2419" s="5"/>
    </row>
    <row r="2420">
      <c r="N2420" s="5"/>
    </row>
    <row r="2421">
      <c r="N2421" s="5"/>
    </row>
    <row r="2422">
      <c r="N2422" s="5"/>
    </row>
    <row r="2423">
      <c r="N2423" s="5"/>
    </row>
    <row r="2424">
      <c r="N2424" s="5"/>
    </row>
    <row r="2425">
      <c r="N2425" s="5"/>
    </row>
    <row r="2426">
      <c r="N2426" s="5"/>
    </row>
    <row r="2427">
      <c r="N2427" s="5"/>
    </row>
    <row r="2428">
      <c r="N2428" s="5"/>
    </row>
    <row r="2429">
      <c r="N2429" s="5"/>
    </row>
    <row r="2430">
      <c r="N2430" s="5"/>
    </row>
    <row r="2431">
      <c r="N2431" s="5"/>
    </row>
    <row r="2432">
      <c r="N2432" s="5"/>
    </row>
    <row r="2433">
      <c r="N2433" s="5"/>
    </row>
    <row r="2434">
      <c r="N2434" s="5"/>
    </row>
    <row r="2435">
      <c r="N2435" s="5"/>
    </row>
    <row r="2436">
      <c r="N2436" s="5"/>
    </row>
    <row r="2437">
      <c r="N2437" s="5"/>
    </row>
    <row r="2438">
      <c r="N2438" s="5"/>
    </row>
    <row r="2439">
      <c r="N2439" s="5"/>
    </row>
    <row r="2440">
      <c r="N2440" s="5"/>
    </row>
    <row r="2441">
      <c r="N2441" s="5"/>
    </row>
    <row r="2442">
      <c r="N2442" s="5"/>
    </row>
    <row r="2443">
      <c r="N2443" s="5"/>
    </row>
    <row r="2444">
      <c r="N2444" s="5"/>
    </row>
    <row r="2445">
      <c r="N2445" s="5"/>
    </row>
    <row r="2446">
      <c r="N2446" s="5"/>
    </row>
    <row r="2447">
      <c r="N2447" s="5"/>
    </row>
    <row r="2448">
      <c r="N2448" s="5"/>
    </row>
    <row r="2449">
      <c r="N2449" s="5"/>
    </row>
    <row r="2450">
      <c r="N2450" s="5"/>
    </row>
    <row r="2451">
      <c r="N2451" s="5"/>
    </row>
    <row r="2452">
      <c r="N2452" s="5"/>
    </row>
    <row r="2453">
      <c r="N2453" s="5"/>
    </row>
    <row r="2454">
      <c r="N2454" s="5"/>
    </row>
    <row r="2455">
      <c r="N2455" s="5"/>
    </row>
    <row r="2456">
      <c r="N2456" s="5"/>
    </row>
    <row r="2457">
      <c r="N2457" s="5"/>
    </row>
    <row r="2458">
      <c r="N2458" s="5"/>
    </row>
    <row r="2459">
      <c r="N2459" s="5"/>
    </row>
    <row r="2460">
      <c r="N2460" s="5"/>
    </row>
    <row r="2461">
      <c r="N2461" s="5"/>
    </row>
    <row r="2462">
      <c r="N2462" s="5"/>
    </row>
    <row r="2463">
      <c r="N2463" s="5"/>
    </row>
    <row r="2464">
      <c r="N2464" s="5"/>
    </row>
    <row r="2465">
      <c r="N2465" s="5"/>
    </row>
    <row r="2466">
      <c r="N2466" s="5"/>
    </row>
    <row r="2467">
      <c r="N2467" s="5"/>
    </row>
    <row r="2468">
      <c r="N2468" s="5"/>
    </row>
    <row r="2469">
      <c r="N2469" s="5"/>
    </row>
    <row r="2470">
      <c r="N2470" s="5"/>
    </row>
    <row r="2471">
      <c r="N2471" s="5"/>
    </row>
    <row r="2472">
      <c r="N2472" s="5"/>
    </row>
    <row r="2473">
      <c r="N2473" s="5"/>
    </row>
    <row r="2474">
      <c r="N2474" s="5"/>
    </row>
    <row r="2475">
      <c r="N2475" s="5"/>
    </row>
    <row r="2476">
      <c r="N2476" s="5"/>
    </row>
    <row r="2477">
      <c r="N2477" s="5"/>
    </row>
    <row r="2478">
      <c r="N2478" s="5"/>
    </row>
    <row r="2479">
      <c r="N2479" s="5"/>
    </row>
    <row r="2480">
      <c r="N2480" s="5"/>
    </row>
    <row r="2481">
      <c r="N2481" s="5"/>
    </row>
    <row r="2482">
      <c r="N2482" s="5"/>
    </row>
    <row r="2483">
      <c r="N2483" s="5"/>
    </row>
    <row r="2484">
      <c r="N2484" s="5"/>
    </row>
    <row r="2485">
      <c r="N2485" s="5"/>
    </row>
    <row r="2486">
      <c r="N2486" s="5"/>
    </row>
    <row r="2487">
      <c r="N2487" s="5"/>
    </row>
    <row r="2488">
      <c r="N2488" s="5"/>
    </row>
    <row r="2489">
      <c r="N2489" s="5"/>
    </row>
    <row r="2490">
      <c r="N2490" s="5"/>
    </row>
    <row r="2491">
      <c r="N2491" s="5"/>
    </row>
    <row r="2492">
      <c r="N2492" s="5"/>
    </row>
    <row r="2493">
      <c r="N2493" s="5"/>
    </row>
    <row r="2494">
      <c r="N2494" s="5"/>
    </row>
    <row r="2495">
      <c r="N2495" s="5"/>
    </row>
    <row r="2496">
      <c r="N2496" s="5"/>
    </row>
    <row r="2497">
      <c r="N2497" s="5"/>
    </row>
    <row r="2498">
      <c r="N2498" s="5"/>
    </row>
    <row r="2499">
      <c r="N2499" s="5"/>
    </row>
    <row r="2500">
      <c r="N2500" s="5"/>
    </row>
    <row r="2501">
      <c r="N2501" s="5"/>
    </row>
    <row r="2502">
      <c r="N2502" s="5"/>
    </row>
    <row r="2503">
      <c r="N2503" s="5"/>
    </row>
    <row r="2504">
      <c r="N2504" s="5"/>
    </row>
    <row r="2505">
      <c r="N2505" s="5"/>
    </row>
    <row r="2506">
      <c r="N2506" s="5"/>
    </row>
    <row r="2507">
      <c r="N2507" s="5"/>
    </row>
    <row r="2508">
      <c r="N2508" s="5"/>
    </row>
    <row r="2509">
      <c r="N2509" s="5"/>
    </row>
    <row r="2510">
      <c r="N2510" s="5"/>
    </row>
    <row r="2511">
      <c r="N2511" s="5"/>
    </row>
    <row r="2512">
      <c r="N2512" s="5"/>
    </row>
    <row r="2513">
      <c r="N2513" s="5"/>
    </row>
    <row r="2514">
      <c r="N2514" s="5"/>
    </row>
    <row r="2515">
      <c r="N2515" s="5"/>
    </row>
    <row r="2516">
      <c r="N2516" s="5"/>
    </row>
    <row r="2517">
      <c r="N2517" s="5"/>
    </row>
    <row r="2518">
      <c r="N2518" s="5"/>
    </row>
    <row r="2519">
      <c r="N2519" s="5"/>
    </row>
    <row r="2520">
      <c r="N2520" s="5"/>
    </row>
    <row r="2521">
      <c r="N2521" s="5"/>
    </row>
    <row r="2522">
      <c r="N2522" s="5"/>
    </row>
    <row r="2523">
      <c r="N2523" s="5"/>
    </row>
    <row r="2524">
      <c r="N2524" s="5"/>
    </row>
    <row r="2525">
      <c r="N2525" s="5"/>
    </row>
    <row r="2526">
      <c r="N2526" s="5"/>
    </row>
    <row r="2527">
      <c r="N2527" s="5"/>
    </row>
    <row r="2528">
      <c r="N2528" s="5"/>
    </row>
    <row r="2529">
      <c r="N2529" s="5"/>
    </row>
    <row r="2530">
      <c r="N2530" s="5"/>
    </row>
    <row r="2531">
      <c r="N2531" s="5"/>
    </row>
    <row r="2532">
      <c r="N2532" s="5"/>
    </row>
    <row r="2533">
      <c r="N2533" s="5"/>
    </row>
    <row r="2534">
      <c r="N2534" s="5"/>
    </row>
    <row r="2535">
      <c r="N2535" s="5"/>
    </row>
    <row r="2536">
      <c r="N2536" s="5"/>
    </row>
    <row r="2537">
      <c r="N2537" s="5"/>
    </row>
    <row r="2538">
      <c r="N2538" s="5"/>
    </row>
    <row r="2539">
      <c r="N2539" s="5"/>
    </row>
    <row r="2540">
      <c r="N2540" s="5"/>
    </row>
    <row r="2541">
      <c r="N2541" s="5"/>
    </row>
    <row r="2542">
      <c r="N2542" s="5"/>
    </row>
    <row r="2543">
      <c r="N2543" s="5"/>
    </row>
    <row r="2544">
      <c r="N2544" s="5"/>
    </row>
    <row r="2545">
      <c r="N2545" s="5"/>
    </row>
    <row r="2546">
      <c r="N2546" s="5"/>
    </row>
    <row r="2547">
      <c r="N2547" s="5"/>
    </row>
    <row r="2548">
      <c r="N2548" s="5"/>
    </row>
    <row r="2549">
      <c r="N2549" s="5"/>
    </row>
    <row r="2550">
      <c r="N2550" s="5"/>
    </row>
    <row r="2551">
      <c r="N2551" s="5"/>
    </row>
    <row r="2552">
      <c r="N2552" s="5"/>
    </row>
    <row r="2553">
      <c r="N2553" s="5"/>
    </row>
    <row r="2554">
      <c r="N2554" s="5"/>
    </row>
    <row r="2555">
      <c r="N2555" s="5"/>
    </row>
    <row r="2556">
      <c r="N2556" s="5"/>
    </row>
    <row r="2557">
      <c r="N2557" s="5"/>
    </row>
    <row r="2558">
      <c r="N2558" s="5"/>
    </row>
    <row r="2559">
      <c r="N2559" s="5"/>
    </row>
    <row r="2560">
      <c r="N2560" s="5"/>
    </row>
    <row r="2561">
      <c r="N2561" s="5"/>
    </row>
    <row r="2562">
      <c r="N2562" s="5"/>
    </row>
    <row r="2563">
      <c r="N2563" s="5"/>
    </row>
    <row r="2564">
      <c r="N2564" s="5"/>
    </row>
    <row r="2565">
      <c r="N2565" s="5"/>
    </row>
    <row r="2566">
      <c r="N2566" s="5"/>
    </row>
    <row r="2567">
      <c r="N2567" s="5"/>
    </row>
    <row r="2568">
      <c r="N2568" s="5"/>
    </row>
    <row r="2569">
      <c r="N2569" s="5"/>
    </row>
    <row r="2570">
      <c r="N2570" s="5"/>
    </row>
    <row r="2571">
      <c r="N2571" s="5"/>
    </row>
    <row r="2572">
      <c r="N2572" s="5"/>
    </row>
    <row r="2573">
      <c r="N2573" s="5"/>
    </row>
    <row r="2574">
      <c r="N2574" s="5"/>
    </row>
    <row r="2575">
      <c r="N2575" s="5"/>
    </row>
    <row r="2576">
      <c r="N2576" s="5"/>
    </row>
    <row r="2577">
      <c r="N2577" s="5"/>
    </row>
    <row r="2578">
      <c r="N2578" s="5"/>
    </row>
    <row r="2579">
      <c r="N2579" s="5"/>
    </row>
    <row r="2580">
      <c r="N2580" s="5"/>
    </row>
    <row r="2581">
      <c r="N2581" s="5"/>
    </row>
    <row r="2582">
      <c r="N2582" s="5"/>
    </row>
    <row r="2583">
      <c r="N2583" s="5"/>
    </row>
    <row r="2584">
      <c r="N2584" s="5"/>
    </row>
    <row r="2585">
      <c r="N2585" s="5"/>
    </row>
    <row r="2586">
      <c r="N2586" s="5"/>
    </row>
    <row r="2587">
      <c r="N2587" s="5"/>
    </row>
    <row r="2588">
      <c r="N2588" s="5"/>
    </row>
    <row r="2589">
      <c r="N2589" s="5"/>
    </row>
    <row r="2590">
      <c r="N2590" s="5"/>
    </row>
    <row r="2591">
      <c r="N2591" s="5"/>
    </row>
    <row r="2592">
      <c r="N2592" s="5"/>
    </row>
    <row r="2593">
      <c r="N2593" s="5"/>
    </row>
    <row r="2594">
      <c r="N2594" s="5"/>
    </row>
    <row r="2595">
      <c r="N2595" s="5"/>
    </row>
    <row r="2596">
      <c r="N2596" s="5"/>
    </row>
    <row r="2597">
      <c r="N2597" s="5"/>
    </row>
    <row r="2598">
      <c r="N2598" s="5"/>
    </row>
    <row r="2599">
      <c r="N2599" s="5"/>
    </row>
    <row r="2600">
      <c r="N2600" s="5"/>
    </row>
    <row r="2601">
      <c r="N2601" s="5"/>
    </row>
    <row r="2602">
      <c r="N2602" s="5"/>
    </row>
    <row r="2603">
      <c r="N2603" s="5"/>
    </row>
    <row r="2604">
      <c r="N2604" s="5"/>
    </row>
    <row r="2605">
      <c r="N2605" s="5"/>
    </row>
    <row r="2606">
      <c r="N2606" s="5"/>
    </row>
    <row r="2607">
      <c r="N2607" s="5"/>
    </row>
    <row r="2608">
      <c r="N2608" s="5"/>
    </row>
    <row r="2609">
      <c r="N2609" s="5"/>
    </row>
    <row r="2610">
      <c r="N2610" s="5"/>
    </row>
    <row r="2611">
      <c r="N2611" s="5"/>
    </row>
    <row r="2612">
      <c r="N2612" s="5"/>
    </row>
    <row r="2613">
      <c r="N2613" s="5"/>
    </row>
    <row r="2614">
      <c r="N2614" s="5"/>
    </row>
    <row r="2615">
      <c r="N2615" s="5"/>
    </row>
    <row r="2616">
      <c r="N2616" s="5"/>
    </row>
    <row r="2617">
      <c r="N2617" s="5"/>
    </row>
    <row r="2618">
      <c r="N2618" s="5"/>
    </row>
    <row r="2619">
      <c r="N2619" s="5"/>
    </row>
    <row r="2620">
      <c r="N2620" s="5"/>
    </row>
    <row r="2621">
      <c r="N2621" s="5"/>
    </row>
    <row r="2622">
      <c r="N2622" s="5"/>
    </row>
    <row r="2623">
      <c r="N2623" s="5"/>
    </row>
    <row r="2624">
      <c r="N2624" s="5"/>
    </row>
    <row r="2625">
      <c r="N2625" s="5"/>
    </row>
    <row r="2626">
      <c r="N2626" s="5"/>
    </row>
    <row r="2627">
      <c r="N2627" s="5"/>
    </row>
    <row r="2628">
      <c r="N2628" s="5"/>
    </row>
    <row r="2629">
      <c r="N2629" s="5"/>
    </row>
    <row r="2630">
      <c r="N2630" s="5"/>
    </row>
    <row r="2631">
      <c r="N2631" s="5"/>
    </row>
    <row r="2632">
      <c r="N2632" s="5"/>
    </row>
    <row r="2633">
      <c r="N2633" s="5"/>
    </row>
    <row r="2634">
      <c r="N2634" s="5"/>
    </row>
    <row r="2635">
      <c r="N2635" s="5"/>
    </row>
    <row r="2636">
      <c r="N2636" s="5"/>
    </row>
    <row r="2637">
      <c r="N2637" s="5"/>
    </row>
    <row r="2638">
      <c r="N2638" s="5"/>
    </row>
    <row r="2639">
      <c r="N2639" s="5"/>
    </row>
    <row r="2640">
      <c r="N2640" s="5"/>
    </row>
    <row r="2641">
      <c r="N2641" s="5"/>
    </row>
    <row r="2642">
      <c r="N2642" s="5"/>
    </row>
    <row r="2643">
      <c r="N2643" s="5"/>
    </row>
    <row r="2644">
      <c r="N2644" s="5"/>
    </row>
    <row r="2645">
      <c r="N2645" s="5"/>
    </row>
    <row r="2646">
      <c r="N2646" s="5"/>
    </row>
    <row r="2647">
      <c r="N2647" s="5"/>
    </row>
    <row r="2648">
      <c r="N2648" s="5"/>
    </row>
    <row r="2649">
      <c r="N2649" s="5"/>
    </row>
    <row r="2650">
      <c r="N2650" s="5"/>
    </row>
    <row r="2651">
      <c r="N2651" s="5"/>
    </row>
    <row r="2652">
      <c r="N2652" s="5"/>
    </row>
    <row r="2653">
      <c r="N2653" s="5"/>
    </row>
    <row r="2654">
      <c r="N2654" s="5"/>
    </row>
    <row r="2655">
      <c r="N2655" s="5"/>
    </row>
    <row r="2656">
      <c r="N2656" s="5"/>
    </row>
    <row r="2657">
      <c r="N2657" s="5"/>
    </row>
    <row r="2658">
      <c r="N2658" s="5"/>
    </row>
    <row r="2659">
      <c r="N2659" s="5"/>
    </row>
    <row r="2660">
      <c r="N2660" s="5"/>
    </row>
    <row r="2661">
      <c r="N2661" s="5"/>
    </row>
    <row r="2662">
      <c r="N2662" s="5"/>
    </row>
    <row r="2663">
      <c r="N2663" s="5"/>
    </row>
    <row r="2664">
      <c r="N2664" s="5"/>
    </row>
    <row r="2665">
      <c r="N2665" s="5"/>
    </row>
    <row r="2666">
      <c r="N2666" s="5"/>
    </row>
    <row r="2667">
      <c r="N2667" s="5"/>
    </row>
    <row r="2668">
      <c r="N2668" s="5"/>
    </row>
    <row r="2669">
      <c r="N2669" s="5"/>
    </row>
    <row r="2670">
      <c r="N2670" s="5"/>
    </row>
    <row r="2671">
      <c r="N2671" s="5"/>
    </row>
    <row r="2672">
      <c r="N2672" s="5"/>
    </row>
    <row r="2673">
      <c r="N2673" s="5"/>
    </row>
    <row r="2674">
      <c r="N2674" s="5"/>
    </row>
    <row r="2675">
      <c r="N2675" s="5"/>
    </row>
    <row r="2676">
      <c r="N2676" s="5"/>
    </row>
    <row r="2677">
      <c r="N2677" s="5"/>
    </row>
    <row r="2678">
      <c r="N2678" s="5"/>
    </row>
    <row r="2679">
      <c r="N2679" s="5"/>
    </row>
    <row r="2680">
      <c r="N2680" s="5"/>
    </row>
    <row r="2681">
      <c r="N2681" s="5"/>
    </row>
    <row r="2682">
      <c r="N2682" s="5"/>
    </row>
    <row r="2683">
      <c r="N2683" s="5"/>
    </row>
    <row r="2684">
      <c r="N2684" s="5"/>
    </row>
    <row r="2685">
      <c r="N2685" s="5"/>
    </row>
    <row r="2686">
      <c r="N2686" s="5"/>
    </row>
    <row r="2687">
      <c r="N2687" s="5"/>
    </row>
    <row r="2688">
      <c r="N2688" s="5"/>
    </row>
    <row r="2689">
      <c r="N2689" s="5"/>
    </row>
    <row r="2690">
      <c r="N2690" s="5"/>
    </row>
    <row r="2691">
      <c r="N2691" s="5"/>
    </row>
    <row r="2692">
      <c r="N2692" s="5"/>
    </row>
    <row r="2693">
      <c r="N2693" s="5"/>
    </row>
    <row r="2694">
      <c r="N2694" s="5"/>
    </row>
    <row r="2695">
      <c r="N2695" s="5"/>
    </row>
    <row r="2696">
      <c r="N2696" s="5"/>
    </row>
    <row r="2697">
      <c r="N2697" s="5"/>
    </row>
    <row r="2698">
      <c r="N2698" s="5"/>
    </row>
    <row r="2699">
      <c r="N2699" s="5"/>
    </row>
    <row r="2700">
      <c r="N2700" s="5"/>
    </row>
    <row r="2701">
      <c r="N2701" s="5"/>
    </row>
    <row r="2702">
      <c r="N2702" s="5"/>
    </row>
    <row r="2703">
      <c r="N2703" s="5"/>
    </row>
    <row r="2704">
      <c r="N2704" s="5"/>
    </row>
    <row r="2705">
      <c r="N2705" s="5"/>
    </row>
    <row r="2706">
      <c r="N2706" s="5"/>
    </row>
    <row r="2707">
      <c r="N2707" s="5"/>
    </row>
    <row r="2708">
      <c r="N2708" s="5"/>
    </row>
    <row r="2709">
      <c r="N2709" s="5"/>
    </row>
    <row r="2710">
      <c r="N2710" s="5"/>
    </row>
    <row r="2711">
      <c r="N2711" s="5"/>
    </row>
    <row r="2712">
      <c r="N2712" s="5"/>
    </row>
    <row r="2713">
      <c r="N2713" s="5"/>
    </row>
    <row r="2714">
      <c r="N2714" s="5"/>
    </row>
    <row r="2715">
      <c r="N2715" s="5"/>
    </row>
    <row r="2716">
      <c r="N2716" s="5"/>
    </row>
    <row r="2717">
      <c r="N2717" s="5"/>
    </row>
    <row r="2718">
      <c r="N2718" s="5"/>
    </row>
    <row r="2719">
      <c r="N2719" s="5"/>
    </row>
    <row r="2720">
      <c r="N2720" s="5"/>
    </row>
    <row r="2721">
      <c r="N2721" s="5"/>
    </row>
    <row r="2722">
      <c r="N2722" s="5"/>
    </row>
    <row r="2723">
      <c r="N2723" s="5"/>
    </row>
    <row r="2724">
      <c r="N2724" s="5"/>
    </row>
    <row r="2725">
      <c r="N2725" s="5"/>
    </row>
    <row r="2726">
      <c r="N2726" s="5"/>
    </row>
    <row r="2727">
      <c r="N2727" s="5"/>
    </row>
    <row r="2728">
      <c r="N2728" s="5"/>
    </row>
    <row r="2729">
      <c r="N2729" s="5"/>
    </row>
    <row r="2730">
      <c r="N2730" s="5"/>
    </row>
    <row r="2731">
      <c r="N2731" s="5"/>
    </row>
    <row r="2732">
      <c r="N2732" s="5"/>
    </row>
    <row r="2733">
      <c r="N2733" s="5"/>
    </row>
    <row r="2734">
      <c r="N2734" s="5"/>
    </row>
    <row r="2735">
      <c r="N2735" s="5"/>
    </row>
    <row r="2736">
      <c r="N2736" s="5"/>
    </row>
    <row r="2737">
      <c r="N2737" s="5"/>
    </row>
    <row r="2738">
      <c r="N2738" s="5"/>
    </row>
    <row r="2739">
      <c r="N2739" s="5"/>
    </row>
    <row r="2740">
      <c r="N2740" s="5"/>
    </row>
    <row r="2741">
      <c r="N2741" s="5"/>
    </row>
    <row r="2742">
      <c r="N2742" s="5"/>
    </row>
    <row r="2743">
      <c r="N2743" s="5"/>
    </row>
    <row r="2744">
      <c r="N2744" s="5"/>
    </row>
    <row r="2745">
      <c r="N2745" s="5"/>
    </row>
    <row r="2746">
      <c r="N2746" s="5"/>
    </row>
    <row r="2747">
      <c r="N2747" s="5"/>
    </row>
    <row r="2748">
      <c r="N2748" s="5"/>
    </row>
    <row r="2749">
      <c r="N2749" s="5"/>
    </row>
    <row r="2750">
      <c r="N2750" s="5"/>
    </row>
    <row r="2751">
      <c r="N2751" s="5"/>
    </row>
    <row r="2752">
      <c r="N2752" s="5"/>
    </row>
    <row r="2753">
      <c r="N2753" s="5"/>
    </row>
    <row r="2754">
      <c r="N2754" s="5"/>
    </row>
    <row r="2755">
      <c r="N2755" s="5"/>
    </row>
    <row r="2756">
      <c r="N2756" s="5"/>
    </row>
    <row r="2757">
      <c r="N2757" s="5"/>
    </row>
    <row r="2758">
      <c r="N2758" s="5"/>
    </row>
    <row r="2759">
      <c r="N2759" s="5"/>
    </row>
    <row r="2760">
      <c r="N2760" s="5"/>
    </row>
    <row r="2761">
      <c r="N2761" s="5"/>
    </row>
    <row r="2762">
      <c r="N2762" s="5"/>
    </row>
    <row r="2763">
      <c r="N2763" s="5"/>
    </row>
    <row r="2764">
      <c r="N2764" s="5"/>
    </row>
    <row r="2765">
      <c r="N2765" s="5"/>
    </row>
    <row r="2766">
      <c r="N2766" s="5"/>
    </row>
    <row r="2767">
      <c r="N2767" s="5"/>
    </row>
    <row r="2768">
      <c r="N2768" s="5"/>
    </row>
    <row r="2769">
      <c r="N2769" s="5"/>
    </row>
    <row r="2770">
      <c r="N2770" s="5"/>
    </row>
    <row r="2771">
      <c r="N2771" s="5"/>
    </row>
    <row r="2772">
      <c r="N2772" s="5"/>
    </row>
    <row r="2773">
      <c r="N2773" s="5"/>
    </row>
    <row r="2774">
      <c r="N2774" s="5"/>
    </row>
    <row r="2775">
      <c r="N2775" s="5"/>
    </row>
    <row r="2776">
      <c r="N2776" s="5"/>
    </row>
    <row r="2777">
      <c r="N2777" s="5"/>
    </row>
    <row r="2778">
      <c r="N2778" s="5"/>
    </row>
    <row r="2779">
      <c r="N2779" s="5"/>
    </row>
    <row r="2780">
      <c r="N2780" s="5"/>
    </row>
    <row r="2781">
      <c r="N2781" s="5"/>
    </row>
    <row r="2782">
      <c r="N2782" s="5"/>
    </row>
    <row r="2783">
      <c r="N2783" s="5"/>
    </row>
    <row r="2784">
      <c r="N2784" s="5"/>
    </row>
    <row r="2785">
      <c r="N2785" s="5"/>
    </row>
    <row r="2786">
      <c r="N2786" s="5"/>
    </row>
    <row r="2787">
      <c r="N2787" s="5"/>
    </row>
    <row r="2788">
      <c r="N2788" s="5"/>
    </row>
    <row r="2789">
      <c r="N2789" s="5"/>
    </row>
    <row r="2790">
      <c r="N2790" s="5"/>
    </row>
    <row r="2791">
      <c r="N2791" s="5"/>
    </row>
    <row r="2792">
      <c r="N2792" s="5"/>
    </row>
    <row r="2793">
      <c r="N2793" s="5"/>
    </row>
    <row r="2794">
      <c r="N2794" s="5"/>
    </row>
    <row r="2795">
      <c r="N2795" s="5"/>
    </row>
    <row r="2796">
      <c r="N2796" s="5"/>
    </row>
    <row r="2797">
      <c r="N2797" s="5"/>
    </row>
    <row r="2798">
      <c r="N2798" s="5"/>
    </row>
    <row r="2799">
      <c r="N2799" s="5"/>
    </row>
    <row r="2800">
      <c r="N2800" s="5"/>
    </row>
    <row r="2801">
      <c r="N2801" s="5"/>
    </row>
    <row r="2802">
      <c r="N2802" s="5"/>
    </row>
    <row r="2803">
      <c r="N2803" s="5"/>
    </row>
    <row r="2804">
      <c r="N2804" s="5"/>
    </row>
    <row r="2805">
      <c r="N2805" s="5"/>
    </row>
    <row r="2806">
      <c r="N2806" s="5"/>
    </row>
    <row r="2807">
      <c r="N2807" s="5"/>
    </row>
    <row r="2808">
      <c r="N2808" s="5"/>
    </row>
    <row r="2809">
      <c r="N2809" s="5"/>
    </row>
    <row r="2810">
      <c r="N2810" s="5"/>
    </row>
    <row r="2811">
      <c r="N2811" s="5"/>
    </row>
    <row r="2812">
      <c r="N2812" s="5"/>
    </row>
    <row r="2813">
      <c r="N2813" s="5"/>
    </row>
    <row r="2814">
      <c r="N2814" s="5"/>
    </row>
    <row r="2815">
      <c r="N2815" s="5"/>
    </row>
    <row r="2816">
      <c r="N2816" s="5"/>
    </row>
    <row r="2817">
      <c r="N2817" s="5"/>
    </row>
    <row r="2818">
      <c r="N2818" s="5"/>
    </row>
    <row r="2819">
      <c r="N2819" s="5"/>
    </row>
    <row r="2820">
      <c r="N2820" s="5"/>
    </row>
    <row r="2821">
      <c r="N2821" s="5"/>
    </row>
    <row r="2822">
      <c r="N2822" s="5"/>
    </row>
    <row r="2823">
      <c r="N2823" s="5"/>
    </row>
    <row r="2824">
      <c r="N2824" s="5"/>
    </row>
    <row r="2825">
      <c r="N2825" s="5"/>
    </row>
    <row r="2826">
      <c r="N2826" s="5"/>
    </row>
    <row r="2827">
      <c r="N2827" s="5"/>
    </row>
    <row r="2828">
      <c r="N2828" s="5"/>
    </row>
    <row r="2829">
      <c r="N2829" s="5"/>
    </row>
    <row r="2830">
      <c r="N2830" s="5"/>
    </row>
    <row r="2831">
      <c r="N2831" s="5"/>
    </row>
    <row r="2832">
      <c r="N2832" s="5"/>
    </row>
    <row r="2833">
      <c r="N2833" s="5"/>
    </row>
    <row r="2834">
      <c r="N2834" s="5"/>
    </row>
    <row r="2835">
      <c r="N2835" s="5"/>
    </row>
    <row r="2836">
      <c r="N2836" s="5"/>
    </row>
    <row r="2837">
      <c r="N2837" s="5"/>
    </row>
    <row r="2838">
      <c r="N2838" s="5"/>
    </row>
    <row r="2839">
      <c r="N2839" s="5"/>
    </row>
    <row r="2840">
      <c r="N2840" s="5"/>
    </row>
    <row r="2841">
      <c r="N2841" s="5"/>
    </row>
    <row r="2842">
      <c r="N2842" s="5"/>
    </row>
    <row r="2843">
      <c r="N2843" s="5"/>
    </row>
    <row r="2844">
      <c r="N2844" s="5"/>
    </row>
    <row r="2845">
      <c r="N2845" s="5"/>
    </row>
    <row r="2846">
      <c r="N2846" s="5"/>
    </row>
    <row r="2847">
      <c r="N2847" s="5"/>
    </row>
    <row r="2848">
      <c r="N2848" s="5"/>
    </row>
    <row r="2849">
      <c r="N2849" s="5"/>
    </row>
    <row r="2850">
      <c r="N2850" s="5"/>
    </row>
    <row r="2851">
      <c r="N2851" s="5"/>
    </row>
    <row r="2852">
      <c r="N2852" s="5"/>
    </row>
    <row r="2853">
      <c r="N2853" s="5"/>
    </row>
    <row r="2854">
      <c r="N2854" s="5"/>
    </row>
    <row r="2855">
      <c r="N2855" s="5"/>
    </row>
    <row r="2856">
      <c r="N2856" s="5"/>
    </row>
    <row r="2857">
      <c r="N2857" s="5"/>
    </row>
    <row r="2858">
      <c r="N2858" s="5"/>
    </row>
    <row r="2859">
      <c r="N2859" s="5"/>
    </row>
    <row r="2860">
      <c r="N2860" s="5"/>
    </row>
    <row r="2861">
      <c r="N2861" s="5"/>
    </row>
    <row r="2862">
      <c r="N2862" s="5"/>
    </row>
    <row r="2863">
      <c r="N2863" s="5"/>
    </row>
    <row r="2864">
      <c r="N2864" s="5"/>
    </row>
    <row r="2865">
      <c r="N2865" s="5"/>
    </row>
    <row r="2866">
      <c r="N2866" s="5"/>
    </row>
    <row r="2867">
      <c r="N2867" s="5"/>
    </row>
    <row r="2868">
      <c r="N2868" s="5"/>
    </row>
    <row r="2869">
      <c r="N2869" s="5"/>
    </row>
    <row r="2870">
      <c r="N2870" s="5"/>
    </row>
    <row r="2871">
      <c r="N2871" s="5"/>
    </row>
    <row r="2872">
      <c r="N2872" s="5"/>
    </row>
    <row r="2873">
      <c r="N2873" s="5"/>
    </row>
    <row r="2874">
      <c r="N2874" s="5"/>
    </row>
    <row r="2875">
      <c r="N2875" s="5"/>
    </row>
    <row r="2876">
      <c r="N2876" s="5"/>
    </row>
    <row r="2877">
      <c r="N2877" s="5"/>
    </row>
    <row r="2878">
      <c r="N2878" s="5"/>
    </row>
    <row r="2879">
      <c r="N2879" s="5"/>
    </row>
    <row r="2880">
      <c r="N2880" s="5"/>
    </row>
    <row r="2881">
      <c r="N2881" s="5"/>
    </row>
    <row r="2882">
      <c r="N2882" s="5"/>
    </row>
    <row r="2883">
      <c r="N2883" s="5"/>
    </row>
    <row r="2884">
      <c r="N2884" s="5"/>
    </row>
    <row r="2885">
      <c r="N2885" s="5"/>
    </row>
    <row r="2886">
      <c r="N2886" s="5"/>
    </row>
    <row r="2887">
      <c r="N2887" s="5"/>
    </row>
    <row r="2888">
      <c r="N2888" s="5"/>
    </row>
    <row r="2889">
      <c r="N2889" s="5"/>
    </row>
    <row r="2890">
      <c r="N2890" s="5"/>
    </row>
    <row r="2891">
      <c r="N2891" s="5"/>
    </row>
    <row r="2892">
      <c r="N2892" s="5"/>
    </row>
    <row r="2893">
      <c r="N2893" s="5"/>
    </row>
    <row r="2894">
      <c r="N2894" s="5"/>
    </row>
    <row r="2895">
      <c r="N2895" s="5"/>
    </row>
    <row r="2896">
      <c r="N2896" s="5"/>
    </row>
    <row r="2897">
      <c r="N2897" s="5"/>
    </row>
    <row r="2898">
      <c r="N2898" s="5"/>
    </row>
    <row r="2899">
      <c r="N2899" s="5"/>
    </row>
    <row r="2900">
      <c r="N2900" s="5"/>
    </row>
    <row r="2901">
      <c r="N2901" s="5"/>
    </row>
    <row r="2902">
      <c r="N2902" s="5"/>
    </row>
    <row r="2903">
      <c r="N2903" s="5"/>
    </row>
    <row r="2904">
      <c r="N2904" s="5"/>
    </row>
    <row r="2905">
      <c r="N2905" s="5"/>
    </row>
    <row r="2906">
      <c r="N2906" s="5"/>
    </row>
    <row r="2907">
      <c r="N2907" s="5"/>
    </row>
    <row r="2908">
      <c r="N2908" s="5"/>
    </row>
    <row r="2909">
      <c r="N2909" s="5"/>
    </row>
    <row r="2910">
      <c r="N2910" s="5"/>
    </row>
    <row r="2911">
      <c r="N2911" s="5"/>
    </row>
    <row r="2912">
      <c r="N2912" s="5"/>
    </row>
    <row r="2913">
      <c r="N2913" s="5"/>
    </row>
    <row r="2914">
      <c r="N2914" s="5"/>
    </row>
    <row r="2915">
      <c r="N2915" s="5"/>
    </row>
    <row r="2916">
      <c r="N2916" s="5"/>
    </row>
    <row r="2917">
      <c r="N2917" s="5"/>
    </row>
    <row r="2918">
      <c r="N2918" s="5"/>
    </row>
    <row r="2919">
      <c r="N2919" s="5"/>
    </row>
    <row r="2920">
      <c r="N2920" s="5"/>
    </row>
    <row r="2921">
      <c r="N2921" s="5"/>
    </row>
    <row r="2922">
      <c r="N2922" s="5"/>
    </row>
    <row r="2923">
      <c r="N2923" s="5"/>
    </row>
    <row r="2924">
      <c r="N2924" s="5"/>
    </row>
    <row r="2925">
      <c r="N2925" s="5"/>
    </row>
    <row r="2926">
      <c r="N2926" s="5"/>
    </row>
    <row r="2927">
      <c r="N2927" s="5"/>
    </row>
    <row r="2928">
      <c r="N2928" s="5"/>
    </row>
    <row r="2929">
      <c r="N2929" s="5"/>
    </row>
    <row r="2930">
      <c r="N2930" s="5"/>
    </row>
    <row r="2931">
      <c r="N2931" s="5"/>
    </row>
    <row r="2932">
      <c r="N2932" s="5"/>
    </row>
    <row r="2933">
      <c r="N2933" s="5"/>
    </row>
    <row r="2934">
      <c r="N2934" s="5"/>
    </row>
    <row r="2935">
      <c r="N2935" s="5"/>
    </row>
    <row r="2936">
      <c r="N2936" s="5"/>
    </row>
    <row r="2937">
      <c r="N2937" s="5"/>
    </row>
    <row r="2938">
      <c r="N2938" s="5"/>
    </row>
    <row r="2939">
      <c r="N2939" s="5"/>
    </row>
    <row r="2940">
      <c r="N2940" s="5"/>
    </row>
    <row r="2941">
      <c r="N2941" s="5"/>
    </row>
    <row r="2942">
      <c r="N2942" s="5"/>
    </row>
    <row r="2943">
      <c r="N2943" s="5"/>
    </row>
    <row r="2944">
      <c r="N2944" s="5"/>
    </row>
    <row r="2945">
      <c r="N2945" s="5"/>
    </row>
    <row r="2946">
      <c r="N2946" s="5"/>
    </row>
    <row r="2947">
      <c r="N2947" s="5"/>
    </row>
    <row r="2948">
      <c r="N2948" s="5"/>
    </row>
    <row r="2949">
      <c r="N2949" s="5"/>
    </row>
    <row r="2950">
      <c r="N2950" s="5"/>
    </row>
    <row r="2951">
      <c r="N2951" s="5"/>
    </row>
    <row r="2952">
      <c r="N2952" s="5"/>
    </row>
    <row r="2953">
      <c r="N2953" s="5"/>
    </row>
    <row r="2954">
      <c r="N2954" s="5"/>
    </row>
    <row r="2955">
      <c r="N2955" s="5"/>
    </row>
    <row r="2956">
      <c r="N2956" s="5"/>
    </row>
    <row r="2957">
      <c r="N2957" s="5"/>
    </row>
    <row r="2958">
      <c r="N2958" s="5"/>
    </row>
    <row r="2959">
      <c r="N2959" s="5"/>
    </row>
    <row r="2960">
      <c r="N2960" s="5"/>
    </row>
    <row r="2961">
      <c r="N2961" s="5"/>
    </row>
    <row r="2962">
      <c r="N2962" s="5"/>
    </row>
    <row r="2963">
      <c r="N2963" s="5"/>
    </row>
    <row r="2964">
      <c r="N2964" s="5"/>
    </row>
    <row r="2965">
      <c r="N2965" s="5"/>
    </row>
    <row r="2966">
      <c r="N2966" s="5"/>
    </row>
    <row r="2967">
      <c r="N2967" s="5"/>
    </row>
    <row r="2968">
      <c r="N2968" s="5"/>
    </row>
    <row r="2969">
      <c r="N2969" s="5"/>
    </row>
    <row r="2970">
      <c r="N2970" s="5"/>
    </row>
    <row r="2971">
      <c r="N2971" s="5"/>
    </row>
    <row r="2972">
      <c r="N2972" s="5"/>
    </row>
    <row r="2973">
      <c r="N2973" s="5"/>
    </row>
    <row r="2974">
      <c r="N2974" s="5"/>
    </row>
    <row r="2975">
      <c r="N2975" s="5"/>
    </row>
    <row r="2976">
      <c r="N2976" s="5"/>
    </row>
    <row r="2977">
      <c r="N2977" s="5"/>
    </row>
    <row r="2978">
      <c r="N2978" s="5"/>
    </row>
    <row r="2979">
      <c r="N2979" s="5"/>
    </row>
    <row r="2980">
      <c r="N2980" s="5"/>
    </row>
    <row r="2981">
      <c r="N2981" s="5"/>
    </row>
    <row r="2982">
      <c r="N2982" s="5"/>
    </row>
    <row r="2983">
      <c r="N2983" s="5"/>
    </row>
    <row r="2984">
      <c r="N2984" s="5"/>
    </row>
    <row r="2985">
      <c r="N2985" s="5"/>
    </row>
    <row r="2986">
      <c r="N2986" s="5"/>
    </row>
    <row r="2987">
      <c r="N2987" s="5"/>
    </row>
    <row r="2988">
      <c r="N2988" s="5"/>
    </row>
    <row r="2989">
      <c r="N2989" s="5"/>
    </row>
    <row r="2990">
      <c r="N2990" s="5"/>
    </row>
    <row r="2991">
      <c r="N2991" s="5"/>
    </row>
    <row r="2992">
      <c r="N2992" s="5"/>
    </row>
    <row r="2993">
      <c r="N2993" s="5"/>
    </row>
    <row r="2994">
      <c r="N2994" s="5"/>
    </row>
    <row r="2995">
      <c r="N2995" s="5"/>
    </row>
    <row r="2996">
      <c r="N2996" s="5"/>
    </row>
    <row r="2997">
      <c r="N2997" s="5"/>
    </row>
    <row r="2998">
      <c r="N2998" s="5"/>
    </row>
    <row r="2999">
      <c r="N2999" s="5"/>
    </row>
    <row r="3000">
      <c r="N3000" s="5"/>
    </row>
    <row r="3001">
      <c r="N3001" s="5"/>
    </row>
    <row r="3002">
      <c r="N3002" s="5"/>
    </row>
    <row r="3003">
      <c r="N3003" s="5"/>
    </row>
    <row r="3004">
      <c r="N3004" s="5"/>
    </row>
    <row r="3005">
      <c r="N3005" s="5"/>
    </row>
    <row r="3006">
      <c r="N3006" s="5"/>
    </row>
    <row r="3007">
      <c r="N3007" s="5"/>
    </row>
    <row r="3008">
      <c r="N3008" s="5"/>
    </row>
    <row r="3009">
      <c r="N3009" s="5"/>
    </row>
    <row r="3010">
      <c r="N3010" s="5"/>
    </row>
    <row r="3011">
      <c r="N3011" s="5"/>
    </row>
    <row r="3012">
      <c r="N3012" s="5"/>
    </row>
    <row r="3013">
      <c r="N3013" s="5"/>
    </row>
    <row r="3014">
      <c r="N3014" s="5"/>
    </row>
    <row r="3015">
      <c r="N3015" s="5"/>
    </row>
    <row r="3016">
      <c r="N3016" s="5"/>
    </row>
    <row r="3017">
      <c r="N3017" s="5"/>
    </row>
    <row r="3018">
      <c r="N3018" s="5"/>
    </row>
    <row r="3019">
      <c r="N3019" s="5"/>
    </row>
    <row r="3020">
      <c r="N3020" s="5"/>
    </row>
    <row r="3021">
      <c r="N3021" s="5"/>
    </row>
    <row r="3022">
      <c r="N3022" s="5"/>
    </row>
    <row r="3023">
      <c r="N3023" s="5"/>
    </row>
    <row r="3024">
      <c r="N3024" s="5"/>
    </row>
    <row r="3025">
      <c r="N3025" s="5"/>
    </row>
    <row r="3026">
      <c r="N3026" s="5"/>
    </row>
    <row r="3027">
      <c r="N3027" s="5"/>
    </row>
    <row r="3028">
      <c r="N3028" s="5"/>
    </row>
    <row r="3029">
      <c r="N3029" s="5"/>
    </row>
    <row r="3030">
      <c r="N3030" s="5"/>
    </row>
    <row r="3031">
      <c r="N3031" s="5"/>
    </row>
    <row r="3032">
      <c r="N3032" s="5"/>
    </row>
    <row r="3033">
      <c r="N3033" s="5"/>
    </row>
    <row r="3034">
      <c r="N3034" s="5"/>
    </row>
    <row r="3035">
      <c r="N3035" s="5"/>
    </row>
    <row r="3036">
      <c r="N3036" s="5"/>
    </row>
    <row r="3037">
      <c r="N3037" s="5"/>
    </row>
    <row r="3038">
      <c r="N3038" s="5"/>
    </row>
    <row r="3039">
      <c r="N3039" s="5"/>
    </row>
    <row r="3040">
      <c r="N3040" s="5"/>
    </row>
    <row r="3041">
      <c r="N3041" s="5"/>
    </row>
    <row r="3042">
      <c r="N3042" s="5"/>
    </row>
    <row r="3043">
      <c r="N3043" s="5"/>
    </row>
    <row r="3044">
      <c r="N3044" s="5"/>
    </row>
    <row r="3045">
      <c r="N3045" s="5"/>
    </row>
    <row r="3046">
      <c r="N3046" s="5"/>
    </row>
    <row r="3047">
      <c r="N3047" s="5"/>
    </row>
    <row r="3048">
      <c r="N3048" s="5"/>
    </row>
    <row r="3049">
      <c r="N3049" s="5"/>
    </row>
    <row r="3050">
      <c r="N3050" s="5"/>
    </row>
    <row r="3051">
      <c r="N3051" s="5"/>
    </row>
    <row r="3052">
      <c r="N3052" s="5"/>
    </row>
    <row r="3053">
      <c r="N3053" s="5"/>
    </row>
    <row r="3054">
      <c r="N3054" s="5"/>
    </row>
    <row r="3055">
      <c r="N3055" s="5"/>
    </row>
    <row r="3056">
      <c r="N3056" s="5"/>
    </row>
    <row r="3057">
      <c r="N3057" s="5"/>
    </row>
    <row r="3058">
      <c r="N3058" s="5"/>
    </row>
    <row r="3059">
      <c r="N3059" s="5"/>
    </row>
    <row r="3060">
      <c r="N3060" s="5"/>
    </row>
    <row r="3061">
      <c r="N3061" s="5"/>
    </row>
    <row r="3062">
      <c r="N3062" s="5"/>
    </row>
    <row r="3063">
      <c r="N3063" s="5"/>
    </row>
    <row r="3064">
      <c r="N3064" s="5"/>
    </row>
    <row r="3065">
      <c r="N3065" s="5"/>
    </row>
    <row r="3066">
      <c r="N3066" s="5"/>
    </row>
    <row r="3067">
      <c r="N3067" s="5"/>
    </row>
    <row r="3068">
      <c r="N3068" s="5"/>
    </row>
    <row r="3069">
      <c r="N3069" s="5"/>
    </row>
    <row r="3070">
      <c r="N3070" s="5"/>
    </row>
    <row r="3071">
      <c r="N3071" s="5"/>
    </row>
    <row r="3072">
      <c r="N3072" s="5"/>
    </row>
    <row r="3073">
      <c r="N3073" s="5"/>
    </row>
    <row r="3074">
      <c r="N3074" s="5"/>
    </row>
    <row r="3075">
      <c r="N3075" s="5"/>
    </row>
    <row r="3076">
      <c r="N3076" s="5"/>
    </row>
    <row r="3077">
      <c r="N3077" s="5"/>
    </row>
    <row r="3078">
      <c r="N3078" s="5"/>
    </row>
    <row r="3079">
      <c r="N3079" s="5"/>
    </row>
    <row r="3080">
      <c r="N3080" s="5"/>
    </row>
    <row r="3081">
      <c r="N3081" s="5"/>
    </row>
    <row r="3082">
      <c r="N3082" s="5"/>
    </row>
    <row r="3083">
      <c r="N3083" s="5"/>
    </row>
    <row r="3084">
      <c r="N3084" s="5"/>
    </row>
    <row r="3085">
      <c r="N3085" s="5"/>
    </row>
    <row r="3086">
      <c r="N3086" s="5"/>
    </row>
    <row r="3087">
      <c r="N3087" s="5"/>
    </row>
    <row r="3088">
      <c r="N3088" s="5"/>
    </row>
    <row r="3089">
      <c r="N3089" s="5"/>
    </row>
    <row r="3090">
      <c r="N3090" s="5"/>
    </row>
    <row r="3091">
      <c r="N3091" s="5"/>
    </row>
    <row r="3092">
      <c r="N3092" s="5"/>
    </row>
    <row r="3093">
      <c r="N3093" s="5"/>
    </row>
    <row r="3094">
      <c r="N3094" s="5"/>
    </row>
    <row r="3095">
      <c r="N3095" s="5"/>
    </row>
    <row r="3096">
      <c r="N3096" s="5"/>
    </row>
    <row r="3097">
      <c r="N3097" s="5"/>
    </row>
    <row r="3098">
      <c r="N3098" s="5"/>
    </row>
    <row r="3099">
      <c r="N3099" s="5"/>
    </row>
    <row r="3100">
      <c r="N3100" s="5"/>
    </row>
    <row r="3101">
      <c r="N3101" s="5"/>
    </row>
    <row r="3102">
      <c r="N3102" s="5"/>
    </row>
    <row r="3103">
      <c r="N3103" s="5"/>
    </row>
    <row r="3104">
      <c r="N3104" s="5"/>
    </row>
    <row r="3105">
      <c r="N3105" s="5"/>
    </row>
    <row r="3106">
      <c r="N3106" s="5"/>
    </row>
    <row r="3107">
      <c r="N3107" s="5"/>
    </row>
    <row r="3108">
      <c r="N3108" s="5"/>
    </row>
    <row r="3109">
      <c r="N3109" s="5"/>
    </row>
    <row r="3110">
      <c r="N3110" s="5"/>
    </row>
    <row r="3111">
      <c r="N3111" s="5"/>
    </row>
    <row r="3112">
      <c r="N3112" s="5"/>
    </row>
    <row r="3113">
      <c r="N3113" s="5"/>
    </row>
    <row r="3114">
      <c r="N3114" s="5"/>
    </row>
    <row r="3115">
      <c r="N3115" s="5"/>
    </row>
    <row r="3116">
      <c r="N3116" s="5"/>
    </row>
    <row r="3117">
      <c r="N3117" s="5"/>
    </row>
    <row r="3118">
      <c r="N3118" s="5"/>
    </row>
    <row r="3119">
      <c r="N3119" s="5"/>
    </row>
    <row r="3120">
      <c r="N3120" s="5"/>
    </row>
    <row r="3121">
      <c r="N3121" s="5"/>
    </row>
    <row r="3122">
      <c r="N3122" s="5"/>
    </row>
    <row r="3123">
      <c r="N3123" s="5"/>
    </row>
    <row r="3124">
      <c r="N3124" s="5"/>
    </row>
    <row r="3125">
      <c r="N3125" s="5"/>
    </row>
    <row r="3126">
      <c r="N3126" s="5"/>
    </row>
    <row r="3127">
      <c r="N3127" s="5"/>
    </row>
    <row r="3128">
      <c r="N3128" s="5"/>
    </row>
    <row r="3129">
      <c r="N3129" s="5"/>
    </row>
    <row r="3130">
      <c r="N3130" s="5"/>
    </row>
    <row r="3131">
      <c r="N3131" s="5"/>
    </row>
    <row r="3132">
      <c r="N3132" s="5"/>
    </row>
    <row r="3133">
      <c r="N3133" s="5"/>
    </row>
    <row r="3134">
      <c r="N3134" s="5"/>
    </row>
    <row r="3135">
      <c r="N3135" s="5"/>
    </row>
    <row r="3136">
      <c r="N3136" s="5"/>
    </row>
    <row r="3137">
      <c r="N3137" s="5"/>
    </row>
    <row r="3138">
      <c r="N3138" s="5"/>
    </row>
    <row r="3139">
      <c r="N3139" s="5"/>
    </row>
    <row r="3140">
      <c r="N3140" s="5"/>
    </row>
    <row r="3141">
      <c r="N3141" s="5"/>
    </row>
    <row r="3142">
      <c r="N3142" s="5"/>
    </row>
    <row r="3143">
      <c r="N3143" s="5"/>
    </row>
    <row r="3144">
      <c r="N3144" s="5"/>
    </row>
    <row r="3145">
      <c r="N3145" s="5"/>
    </row>
    <row r="3146">
      <c r="N3146" s="5"/>
    </row>
    <row r="3147">
      <c r="N3147" s="5"/>
    </row>
    <row r="3148">
      <c r="N3148" s="5"/>
    </row>
    <row r="3149">
      <c r="N3149" s="5"/>
    </row>
    <row r="3150">
      <c r="N3150" s="5"/>
    </row>
    <row r="3151">
      <c r="N3151" s="5"/>
    </row>
    <row r="3152">
      <c r="N3152" s="5"/>
    </row>
    <row r="3153">
      <c r="N3153" s="5"/>
    </row>
    <row r="3154">
      <c r="N3154" s="5"/>
    </row>
    <row r="3155">
      <c r="N3155" s="5"/>
    </row>
    <row r="3156">
      <c r="N3156" s="5"/>
    </row>
    <row r="3157">
      <c r="N3157" s="5"/>
    </row>
    <row r="3158">
      <c r="N3158" s="5"/>
    </row>
    <row r="3159">
      <c r="N3159" s="5"/>
    </row>
    <row r="3160">
      <c r="N3160" s="5"/>
    </row>
    <row r="3161">
      <c r="N3161" s="5"/>
    </row>
    <row r="3162">
      <c r="N3162" s="5"/>
    </row>
    <row r="3163">
      <c r="N3163" s="5"/>
    </row>
    <row r="3164">
      <c r="N3164" s="5"/>
    </row>
    <row r="3165">
      <c r="N3165" s="5"/>
    </row>
    <row r="3166">
      <c r="N3166" s="5"/>
    </row>
    <row r="3167">
      <c r="N3167" s="5"/>
    </row>
    <row r="3168">
      <c r="N3168" s="5"/>
    </row>
    <row r="3169">
      <c r="N3169" s="5"/>
    </row>
    <row r="3170">
      <c r="N3170" s="5"/>
    </row>
    <row r="3171">
      <c r="N3171" s="5"/>
    </row>
    <row r="3172">
      <c r="N3172" s="5"/>
    </row>
    <row r="3173">
      <c r="N3173" s="5"/>
    </row>
    <row r="3174">
      <c r="N3174" s="5"/>
    </row>
    <row r="3175">
      <c r="N3175" s="5"/>
    </row>
    <row r="3176">
      <c r="N3176" s="5"/>
    </row>
    <row r="3177">
      <c r="N3177" s="5"/>
    </row>
    <row r="3178">
      <c r="N3178" s="5"/>
    </row>
    <row r="3179">
      <c r="N3179" s="5"/>
    </row>
    <row r="3180">
      <c r="N3180" s="5"/>
    </row>
    <row r="3181">
      <c r="N3181" s="5"/>
    </row>
    <row r="3182">
      <c r="N3182" s="5"/>
    </row>
    <row r="3183">
      <c r="N3183" s="5"/>
    </row>
    <row r="3184">
      <c r="N3184" s="5"/>
    </row>
    <row r="3185">
      <c r="N3185" s="5"/>
    </row>
    <row r="3186">
      <c r="N3186" s="5"/>
    </row>
    <row r="3187">
      <c r="N3187" s="5"/>
    </row>
    <row r="3188">
      <c r="N3188" s="5"/>
    </row>
    <row r="3189">
      <c r="N3189" s="5"/>
    </row>
    <row r="3190">
      <c r="N3190" s="5"/>
    </row>
    <row r="3191">
      <c r="N3191" s="5"/>
    </row>
    <row r="3192">
      <c r="N3192" s="5"/>
    </row>
    <row r="3193">
      <c r="N3193" s="5"/>
    </row>
    <row r="3194">
      <c r="N3194" s="5"/>
    </row>
    <row r="3195">
      <c r="N3195" s="5"/>
    </row>
    <row r="3196">
      <c r="N3196" s="5"/>
    </row>
    <row r="3197">
      <c r="N3197" s="5"/>
    </row>
    <row r="3198">
      <c r="N3198" s="5"/>
    </row>
    <row r="3199">
      <c r="N3199" s="5"/>
    </row>
    <row r="3200">
      <c r="N3200" s="5"/>
    </row>
    <row r="3201">
      <c r="N3201" s="5"/>
    </row>
    <row r="3202">
      <c r="N3202" s="5"/>
    </row>
    <row r="3203">
      <c r="N3203" s="5"/>
    </row>
    <row r="3204">
      <c r="N3204" s="5"/>
    </row>
    <row r="3205">
      <c r="N3205" s="5"/>
    </row>
    <row r="3206">
      <c r="N3206" s="5"/>
    </row>
    <row r="3207">
      <c r="N3207" s="5"/>
    </row>
    <row r="3208">
      <c r="N3208" s="5"/>
    </row>
    <row r="3209">
      <c r="N3209" s="5"/>
    </row>
    <row r="3210">
      <c r="N3210" s="5"/>
    </row>
    <row r="3211">
      <c r="N3211" s="5"/>
    </row>
    <row r="3212">
      <c r="N3212" s="5"/>
    </row>
    <row r="3213">
      <c r="N3213" s="5"/>
    </row>
    <row r="3214">
      <c r="N3214" s="5"/>
    </row>
    <row r="3215">
      <c r="N3215" s="5"/>
    </row>
    <row r="3216">
      <c r="N3216" s="5"/>
    </row>
    <row r="3217">
      <c r="N3217" s="5"/>
    </row>
    <row r="3218">
      <c r="N3218" s="5"/>
    </row>
    <row r="3219">
      <c r="N3219" s="5"/>
    </row>
    <row r="3220">
      <c r="N3220" s="5"/>
    </row>
    <row r="3221">
      <c r="N3221" s="5"/>
    </row>
    <row r="3222">
      <c r="N3222" s="5"/>
    </row>
    <row r="3223">
      <c r="N3223" s="5"/>
    </row>
    <row r="3224">
      <c r="N3224" s="5"/>
    </row>
    <row r="3225">
      <c r="N3225" s="5"/>
    </row>
    <row r="3226">
      <c r="N3226" s="5"/>
    </row>
    <row r="3227">
      <c r="N3227" s="5"/>
    </row>
    <row r="3228">
      <c r="N3228" s="5"/>
    </row>
    <row r="3229">
      <c r="N3229" s="5"/>
    </row>
    <row r="3230">
      <c r="N3230" s="5"/>
    </row>
    <row r="3231">
      <c r="N3231" s="5"/>
    </row>
    <row r="3232">
      <c r="N3232" s="5"/>
    </row>
    <row r="3233">
      <c r="N3233" s="5"/>
    </row>
    <row r="3234">
      <c r="N3234" s="5"/>
    </row>
    <row r="3235">
      <c r="N3235" s="5"/>
    </row>
    <row r="3236">
      <c r="N3236" s="5"/>
    </row>
    <row r="3237">
      <c r="N3237" s="5"/>
    </row>
    <row r="3238">
      <c r="N3238" s="5"/>
    </row>
    <row r="3239">
      <c r="N3239" s="5"/>
    </row>
    <row r="3240">
      <c r="N3240" s="5"/>
    </row>
    <row r="3241">
      <c r="N3241" s="5"/>
    </row>
    <row r="3242">
      <c r="N3242" s="5"/>
    </row>
    <row r="3243">
      <c r="N3243" s="5"/>
    </row>
    <row r="3244">
      <c r="N3244" s="5"/>
    </row>
    <row r="3245">
      <c r="N3245" s="5"/>
    </row>
    <row r="3246">
      <c r="N3246" s="5"/>
    </row>
    <row r="3247">
      <c r="N3247" s="5"/>
    </row>
    <row r="3248">
      <c r="N3248" s="5"/>
    </row>
    <row r="3249">
      <c r="N3249" s="5"/>
    </row>
    <row r="3250">
      <c r="N3250" s="5"/>
    </row>
    <row r="3251">
      <c r="N3251" s="5"/>
    </row>
    <row r="3252">
      <c r="N3252" s="5"/>
    </row>
    <row r="3253">
      <c r="N3253" s="5"/>
    </row>
    <row r="3254">
      <c r="N3254" s="5"/>
    </row>
    <row r="3255">
      <c r="N3255" s="5"/>
    </row>
    <row r="3256">
      <c r="N3256" s="5"/>
    </row>
    <row r="3257">
      <c r="N3257" s="5"/>
    </row>
    <row r="3258">
      <c r="N3258" s="5"/>
    </row>
    <row r="3259">
      <c r="N3259" s="5"/>
    </row>
    <row r="3260">
      <c r="N3260" s="5"/>
    </row>
    <row r="3261">
      <c r="N3261" s="5"/>
    </row>
    <row r="3262">
      <c r="N3262" s="5"/>
    </row>
    <row r="3263">
      <c r="N3263" s="5"/>
    </row>
    <row r="3264">
      <c r="N3264" s="5"/>
    </row>
    <row r="3265">
      <c r="N3265" s="5"/>
    </row>
    <row r="3266">
      <c r="N3266" s="5"/>
    </row>
    <row r="3267">
      <c r="N3267" s="5"/>
    </row>
    <row r="3268">
      <c r="N3268" s="5"/>
    </row>
    <row r="3269">
      <c r="N3269" s="5"/>
    </row>
    <row r="3270">
      <c r="N3270" s="5"/>
    </row>
    <row r="3271">
      <c r="N3271" s="5"/>
    </row>
    <row r="3272">
      <c r="N3272" s="5"/>
    </row>
    <row r="3273">
      <c r="N3273" s="5"/>
    </row>
    <row r="3274">
      <c r="N3274" s="5"/>
    </row>
    <row r="3275">
      <c r="N3275" s="5"/>
    </row>
    <row r="3276">
      <c r="N3276" s="5"/>
    </row>
    <row r="3277">
      <c r="N3277" s="5"/>
    </row>
    <row r="3278">
      <c r="N3278" s="5"/>
    </row>
    <row r="3279">
      <c r="N3279" s="5"/>
    </row>
    <row r="3280">
      <c r="N3280" s="5"/>
    </row>
    <row r="3281">
      <c r="N3281" s="5"/>
    </row>
    <row r="3282">
      <c r="N3282" s="5"/>
    </row>
    <row r="3283">
      <c r="N3283" s="5"/>
    </row>
    <row r="3284">
      <c r="N3284" s="5"/>
    </row>
    <row r="3285">
      <c r="N3285" s="5"/>
    </row>
    <row r="3286">
      <c r="N3286" s="5"/>
    </row>
    <row r="3287">
      <c r="N3287" s="5"/>
    </row>
    <row r="3288">
      <c r="N3288" s="5"/>
    </row>
    <row r="3289">
      <c r="N3289" s="5"/>
    </row>
    <row r="3290">
      <c r="N3290" s="5"/>
    </row>
    <row r="3291">
      <c r="N3291" s="5"/>
    </row>
    <row r="3292">
      <c r="N3292" s="5"/>
    </row>
    <row r="3293">
      <c r="N3293" s="5"/>
    </row>
    <row r="3294">
      <c r="N3294" s="5"/>
    </row>
    <row r="3295">
      <c r="N3295" s="5"/>
    </row>
    <row r="3296">
      <c r="N3296" s="5"/>
    </row>
    <row r="3297">
      <c r="N3297" s="5"/>
    </row>
    <row r="3298">
      <c r="N3298" s="5"/>
    </row>
    <row r="3299">
      <c r="N3299" s="5"/>
    </row>
    <row r="3300">
      <c r="N3300" s="5"/>
    </row>
    <row r="3301">
      <c r="N3301" s="5"/>
    </row>
    <row r="3302">
      <c r="N3302" s="5"/>
    </row>
    <row r="3303">
      <c r="N3303" s="5"/>
    </row>
    <row r="3304">
      <c r="N3304" s="5"/>
    </row>
    <row r="3305">
      <c r="N3305" s="5"/>
    </row>
    <row r="3306">
      <c r="N3306" s="5"/>
    </row>
    <row r="3307">
      <c r="N3307" s="5"/>
    </row>
    <row r="3308">
      <c r="N3308" s="5"/>
    </row>
    <row r="3309">
      <c r="N3309" s="5"/>
    </row>
    <row r="3310">
      <c r="N3310" s="5"/>
    </row>
    <row r="3311">
      <c r="N3311" s="5"/>
    </row>
    <row r="3312">
      <c r="N3312" s="5"/>
    </row>
    <row r="3313">
      <c r="N3313" s="5"/>
    </row>
    <row r="3314">
      <c r="N3314" s="5"/>
    </row>
    <row r="3315">
      <c r="N3315" s="5"/>
    </row>
    <row r="3316">
      <c r="N3316" s="5"/>
    </row>
    <row r="3317">
      <c r="N3317" s="5"/>
    </row>
    <row r="3318">
      <c r="N3318" s="5"/>
    </row>
    <row r="3319">
      <c r="N3319" s="5"/>
    </row>
    <row r="3320">
      <c r="N3320" s="5"/>
    </row>
    <row r="3321">
      <c r="N3321" s="5"/>
    </row>
    <row r="3322">
      <c r="N3322" s="5"/>
    </row>
    <row r="3323">
      <c r="N3323" s="5"/>
    </row>
    <row r="3324">
      <c r="N3324" s="5"/>
    </row>
    <row r="3325">
      <c r="N3325" s="5"/>
    </row>
    <row r="3326">
      <c r="N3326" s="5"/>
    </row>
    <row r="3327">
      <c r="N3327" s="5"/>
    </row>
    <row r="3328">
      <c r="N3328" s="5"/>
    </row>
    <row r="3329">
      <c r="N3329" s="5"/>
    </row>
    <row r="3330">
      <c r="N3330" s="5"/>
    </row>
    <row r="3331">
      <c r="N3331" s="5"/>
    </row>
    <row r="3332">
      <c r="N3332" s="5"/>
    </row>
    <row r="3333">
      <c r="N3333" s="5"/>
    </row>
    <row r="3334">
      <c r="N3334" s="5"/>
    </row>
    <row r="3335">
      <c r="N3335" s="5"/>
    </row>
    <row r="3336">
      <c r="N3336" s="5"/>
    </row>
    <row r="3337">
      <c r="N3337" s="5"/>
    </row>
    <row r="3338">
      <c r="N3338" s="5"/>
    </row>
    <row r="3339">
      <c r="N3339" s="5"/>
    </row>
    <row r="3340">
      <c r="N3340" s="5"/>
    </row>
    <row r="3341">
      <c r="N3341" s="5"/>
    </row>
    <row r="3342">
      <c r="N3342" s="5"/>
    </row>
    <row r="3343">
      <c r="N3343" s="5"/>
    </row>
    <row r="3344">
      <c r="N3344" s="5"/>
    </row>
    <row r="3345">
      <c r="N3345" s="5"/>
    </row>
    <row r="3346">
      <c r="N3346" s="5"/>
    </row>
    <row r="3347">
      <c r="N3347" s="5"/>
    </row>
    <row r="3348">
      <c r="N3348" s="5"/>
    </row>
    <row r="3349">
      <c r="N3349" s="5"/>
    </row>
    <row r="3350">
      <c r="N3350" s="5"/>
    </row>
    <row r="3351">
      <c r="N3351" s="5"/>
    </row>
    <row r="3352">
      <c r="N3352" s="5"/>
    </row>
    <row r="3353">
      <c r="N3353" s="5"/>
    </row>
    <row r="3354">
      <c r="N3354" s="5"/>
    </row>
    <row r="3355">
      <c r="N3355" s="5"/>
    </row>
    <row r="3356">
      <c r="N3356" s="5"/>
    </row>
    <row r="3357">
      <c r="N3357" s="5"/>
    </row>
    <row r="3358">
      <c r="N3358" s="5"/>
    </row>
    <row r="3359">
      <c r="N3359" s="5"/>
    </row>
    <row r="3360">
      <c r="N3360" s="5"/>
    </row>
    <row r="3361">
      <c r="N3361" s="5"/>
    </row>
    <row r="3362">
      <c r="N3362" s="5"/>
    </row>
    <row r="3363">
      <c r="N3363" s="5"/>
    </row>
    <row r="3364">
      <c r="N3364" s="5"/>
    </row>
    <row r="3365">
      <c r="N3365" s="5"/>
    </row>
    <row r="3366">
      <c r="N3366" s="5"/>
    </row>
    <row r="3367">
      <c r="N3367" s="5"/>
    </row>
    <row r="3368">
      <c r="N3368" s="5"/>
    </row>
    <row r="3369">
      <c r="N3369" s="5"/>
    </row>
    <row r="3370">
      <c r="N3370" s="5"/>
    </row>
    <row r="3371">
      <c r="N3371" s="5"/>
    </row>
    <row r="3372">
      <c r="N3372" s="5"/>
    </row>
    <row r="3373">
      <c r="N3373" s="5"/>
    </row>
    <row r="3374">
      <c r="N3374" s="5"/>
    </row>
    <row r="3375">
      <c r="N3375" s="5"/>
    </row>
    <row r="3376">
      <c r="N3376" s="5"/>
    </row>
    <row r="3377">
      <c r="N3377" s="5"/>
    </row>
    <row r="3378">
      <c r="N3378" s="5"/>
    </row>
    <row r="3379">
      <c r="N3379" s="5"/>
    </row>
    <row r="3380">
      <c r="N3380" s="5"/>
    </row>
    <row r="3381">
      <c r="N3381" s="5"/>
    </row>
    <row r="3382">
      <c r="N3382" s="5"/>
    </row>
    <row r="3383">
      <c r="N3383" s="5"/>
    </row>
    <row r="3384">
      <c r="N3384" s="5"/>
    </row>
    <row r="3385">
      <c r="N3385" s="5"/>
    </row>
    <row r="3386">
      <c r="N3386" s="5"/>
    </row>
    <row r="3387">
      <c r="N3387" s="5"/>
    </row>
    <row r="3388">
      <c r="N3388" s="5"/>
    </row>
    <row r="3389">
      <c r="N3389" s="5"/>
    </row>
    <row r="3390">
      <c r="N3390" s="5"/>
    </row>
    <row r="3391">
      <c r="N3391" s="5"/>
    </row>
    <row r="3392">
      <c r="N3392" s="5"/>
    </row>
    <row r="3393">
      <c r="N3393" s="5"/>
    </row>
    <row r="3394">
      <c r="N3394" s="5"/>
    </row>
    <row r="3395">
      <c r="N3395" s="5"/>
    </row>
    <row r="3396">
      <c r="N3396" s="5"/>
    </row>
    <row r="3397">
      <c r="N3397" s="5"/>
    </row>
    <row r="3398">
      <c r="N3398" s="5"/>
    </row>
    <row r="3399">
      <c r="N3399" s="5"/>
    </row>
    <row r="3400">
      <c r="N3400" s="5"/>
    </row>
    <row r="3401">
      <c r="N3401" s="5"/>
    </row>
    <row r="3402">
      <c r="N3402" s="5"/>
    </row>
    <row r="3403">
      <c r="N3403" s="5"/>
    </row>
    <row r="3404">
      <c r="N3404" s="5"/>
    </row>
    <row r="3405">
      <c r="N3405" s="5"/>
    </row>
    <row r="3406">
      <c r="N3406" s="5"/>
    </row>
    <row r="3407">
      <c r="N3407" s="5"/>
    </row>
    <row r="3408">
      <c r="N3408" s="5"/>
    </row>
    <row r="3409">
      <c r="N3409" s="5"/>
    </row>
    <row r="3410">
      <c r="N3410" s="5"/>
    </row>
    <row r="3411">
      <c r="N3411" s="5"/>
    </row>
    <row r="3412">
      <c r="N3412" s="5"/>
    </row>
    <row r="3413">
      <c r="N3413" s="5"/>
    </row>
    <row r="3414">
      <c r="N3414" s="5"/>
    </row>
    <row r="3415">
      <c r="N3415" s="5"/>
    </row>
    <row r="3416">
      <c r="N3416" s="5"/>
    </row>
    <row r="3417">
      <c r="N3417" s="5"/>
    </row>
    <row r="3418">
      <c r="N3418" s="5"/>
    </row>
    <row r="3419">
      <c r="N3419" s="5"/>
    </row>
    <row r="3420">
      <c r="N3420" s="5"/>
    </row>
    <row r="3421">
      <c r="N3421" s="5"/>
    </row>
    <row r="3422">
      <c r="N3422" s="5"/>
    </row>
    <row r="3423">
      <c r="N3423" s="5"/>
    </row>
    <row r="3424">
      <c r="N3424" s="5"/>
    </row>
    <row r="3425">
      <c r="N3425" s="5"/>
    </row>
    <row r="3426">
      <c r="N3426" s="5"/>
    </row>
    <row r="3427">
      <c r="N3427" s="5"/>
    </row>
    <row r="3428">
      <c r="N3428" s="5"/>
    </row>
    <row r="3429">
      <c r="N3429" s="5"/>
    </row>
    <row r="3430">
      <c r="N3430" s="5"/>
    </row>
    <row r="3431">
      <c r="N3431" s="5"/>
    </row>
    <row r="3432">
      <c r="N3432" s="5"/>
    </row>
    <row r="3433">
      <c r="N3433" s="5"/>
    </row>
    <row r="3434">
      <c r="N3434" s="5"/>
    </row>
    <row r="3435">
      <c r="N3435" s="5"/>
    </row>
    <row r="3436">
      <c r="N3436" s="5"/>
    </row>
    <row r="3437">
      <c r="N3437" s="5"/>
    </row>
    <row r="3438">
      <c r="N3438" s="5"/>
    </row>
    <row r="3439">
      <c r="N3439" s="5"/>
    </row>
    <row r="3440">
      <c r="N3440" s="5"/>
    </row>
    <row r="3441">
      <c r="N3441" s="5"/>
    </row>
    <row r="3442">
      <c r="N3442" s="5"/>
    </row>
    <row r="3443">
      <c r="N3443" s="5"/>
    </row>
    <row r="3444">
      <c r="N3444" s="5"/>
    </row>
    <row r="3445">
      <c r="N3445" s="5"/>
    </row>
    <row r="3446">
      <c r="N3446" s="5"/>
    </row>
    <row r="3447">
      <c r="N3447" s="5"/>
    </row>
    <row r="3448">
      <c r="N3448" s="5"/>
    </row>
    <row r="3449">
      <c r="N3449" s="5"/>
    </row>
    <row r="3450">
      <c r="N3450" s="5"/>
    </row>
    <row r="3451">
      <c r="N3451" s="5"/>
    </row>
    <row r="3452">
      <c r="N3452" s="5"/>
    </row>
    <row r="3453">
      <c r="N3453" s="5"/>
    </row>
    <row r="3454">
      <c r="N3454" s="5"/>
    </row>
    <row r="3455">
      <c r="N3455" s="5"/>
    </row>
    <row r="3456">
      <c r="N3456" s="5"/>
    </row>
    <row r="3457">
      <c r="N3457" s="5"/>
    </row>
    <row r="3458">
      <c r="N3458" s="5"/>
    </row>
    <row r="3459">
      <c r="N3459" s="5"/>
    </row>
    <row r="3460">
      <c r="N3460" s="5"/>
    </row>
    <row r="3461">
      <c r="N3461" s="5"/>
    </row>
    <row r="3462">
      <c r="N3462" s="5"/>
    </row>
    <row r="3463">
      <c r="N3463" s="5"/>
    </row>
    <row r="3464">
      <c r="N3464" s="5"/>
    </row>
    <row r="3465">
      <c r="N3465" s="5"/>
    </row>
    <row r="3466">
      <c r="N3466" s="5"/>
    </row>
    <row r="3467">
      <c r="N3467" s="5"/>
    </row>
    <row r="3468">
      <c r="N3468" s="5"/>
    </row>
    <row r="3469">
      <c r="N3469" s="5"/>
    </row>
    <row r="3470">
      <c r="N3470" s="5"/>
    </row>
    <row r="3471">
      <c r="N3471" s="5"/>
    </row>
    <row r="3472">
      <c r="N3472" s="5"/>
    </row>
    <row r="3473">
      <c r="N3473" s="5"/>
    </row>
    <row r="3474">
      <c r="N3474" s="5"/>
    </row>
    <row r="3475">
      <c r="N3475" s="5"/>
    </row>
    <row r="3476">
      <c r="N3476" s="5"/>
    </row>
    <row r="3477">
      <c r="N3477" s="5"/>
    </row>
    <row r="3478">
      <c r="N3478" s="5"/>
    </row>
    <row r="3479">
      <c r="N3479" s="5"/>
    </row>
    <row r="3480">
      <c r="N3480" s="5"/>
    </row>
    <row r="3481">
      <c r="N3481" s="5"/>
    </row>
    <row r="3482">
      <c r="N3482" s="5"/>
    </row>
    <row r="3483">
      <c r="N3483" s="5"/>
    </row>
    <row r="3484">
      <c r="N3484" s="5"/>
    </row>
    <row r="3485">
      <c r="N3485" s="5"/>
    </row>
    <row r="3486">
      <c r="N3486" s="5"/>
    </row>
    <row r="3487">
      <c r="N3487" s="5"/>
    </row>
    <row r="3488">
      <c r="N3488" s="5"/>
    </row>
    <row r="3489">
      <c r="N3489" s="5"/>
    </row>
    <row r="3490">
      <c r="N3490" s="5"/>
    </row>
    <row r="3491">
      <c r="N3491" s="5"/>
    </row>
    <row r="3492">
      <c r="N3492" s="5"/>
    </row>
    <row r="3493">
      <c r="N3493" s="5"/>
    </row>
    <row r="3494">
      <c r="N3494" s="5"/>
    </row>
    <row r="3495">
      <c r="N3495" s="5"/>
    </row>
    <row r="3496">
      <c r="N3496" s="5"/>
    </row>
    <row r="3497">
      <c r="N3497" s="5"/>
    </row>
    <row r="3498">
      <c r="N3498" s="5"/>
    </row>
    <row r="3499">
      <c r="N3499" s="5"/>
    </row>
    <row r="3500">
      <c r="N3500" s="5"/>
    </row>
    <row r="3501">
      <c r="N3501" s="5"/>
    </row>
    <row r="3502">
      <c r="N3502" s="5"/>
    </row>
    <row r="3503">
      <c r="N3503" s="5"/>
    </row>
    <row r="3504">
      <c r="N3504" s="5"/>
    </row>
    <row r="3505">
      <c r="N3505" s="5"/>
    </row>
    <row r="3506">
      <c r="N3506" s="5"/>
    </row>
    <row r="3507">
      <c r="N3507" s="5"/>
    </row>
    <row r="3508">
      <c r="N3508" s="5"/>
    </row>
    <row r="3509">
      <c r="N3509" s="5"/>
    </row>
    <row r="3510">
      <c r="N3510" s="5"/>
    </row>
    <row r="3511">
      <c r="N3511" s="5"/>
    </row>
    <row r="3512">
      <c r="N3512" s="5"/>
    </row>
    <row r="3513">
      <c r="N3513" s="5"/>
    </row>
    <row r="3514">
      <c r="N3514" s="5"/>
    </row>
    <row r="3515">
      <c r="N3515" s="5"/>
    </row>
    <row r="3516">
      <c r="N3516" s="5"/>
    </row>
    <row r="3517">
      <c r="N3517" s="5"/>
    </row>
    <row r="3518">
      <c r="N3518" s="5"/>
    </row>
    <row r="3519">
      <c r="N3519" s="5"/>
    </row>
    <row r="3520">
      <c r="N3520" s="5"/>
    </row>
    <row r="3521">
      <c r="N3521" s="5"/>
    </row>
    <row r="3522">
      <c r="N3522" s="5"/>
    </row>
    <row r="3523">
      <c r="N3523" s="5"/>
    </row>
    <row r="3524">
      <c r="N3524" s="5"/>
    </row>
    <row r="3525">
      <c r="N3525" s="5"/>
    </row>
    <row r="3526">
      <c r="N3526" s="5"/>
    </row>
    <row r="3527">
      <c r="N3527" s="5"/>
    </row>
    <row r="3528">
      <c r="N3528" s="5"/>
    </row>
    <row r="3529">
      <c r="N3529" s="5"/>
    </row>
    <row r="3530">
      <c r="N3530" s="5"/>
    </row>
    <row r="3531">
      <c r="N3531" s="5"/>
    </row>
    <row r="3532">
      <c r="N3532" s="5"/>
    </row>
    <row r="3533">
      <c r="N3533" s="5"/>
    </row>
    <row r="3534">
      <c r="N3534" s="5"/>
    </row>
    <row r="3535">
      <c r="N3535" s="5"/>
    </row>
    <row r="3536">
      <c r="N3536" s="5"/>
    </row>
    <row r="3537">
      <c r="N3537" s="5"/>
    </row>
    <row r="3538">
      <c r="N3538" s="5"/>
    </row>
    <row r="3539">
      <c r="N3539" s="5"/>
    </row>
    <row r="3540">
      <c r="N3540" s="5"/>
    </row>
    <row r="3541">
      <c r="N3541" s="5"/>
    </row>
    <row r="3542">
      <c r="N3542" s="5"/>
    </row>
    <row r="3543">
      <c r="N3543" s="5"/>
    </row>
    <row r="3544">
      <c r="N3544" s="5"/>
    </row>
    <row r="3545">
      <c r="N3545" s="5"/>
    </row>
    <row r="3546">
      <c r="N3546" s="5"/>
    </row>
    <row r="3547">
      <c r="N3547" s="5"/>
    </row>
    <row r="3548">
      <c r="N3548" s="5"/>
    </row>
    <row r="3549">
      <c r="N3549" s="5"/>
    </row>
    <row r="3550">
      <c r="N3550" s="5"/>
    </row>
    <row r="3551">
      <c r="N3551" s="5"/>
    </row>
    <row r="3552">
      <c r="N3552" s="5"/>
    </row>
    <row r="3553">
      <c r="N3553" s="5"/>
    </row>
    <row r="3554">
      <c r="N3554" s="5"/>
    </row>
    <row r="3555">
      <c r="N3555" s="5"/>
    </row>
    <row r="3556">
      <c r="N3556" s="5"/>
    </row>
    <row r="3557">
      <c r="N3557" s="5"/>
    </row>
    <row r="3558">
      <c r="N3558" s="5"/>
    </row>
    <row r="3559">
      <c r="N3559" s="5"/>
    </row>
    <row r="3560">
      <c r="N3560" s="5"/>
    </row>
    <row r="3561">
      <c r="N3561" s="5"/>
    </row>
    <row r="3562">
      <c r="N3562" s="5"/>
    </row>
    <row r="3563">
      <c r="N3563" s="5"/>
    </row>
    <row r="3564">
      <c r="N3564" s="5"/>
    </row>
    <row r="3565">
      <c r="N3565" s="5"/>
    </row>
    <row r="3566">
      <c r="N3566" s="5"/>
    </row>
    <row r="3567">
      <c r="N3567" s="5"/>
    </row>
    <row r="3568">
      <c r="N3568" s="5"/>
    </row>
    <row r="3569">
      <c r="N3569" s="5"/>
    </row>
    <row r="3570">
      <c r="N3570" s="5"/>
    </row>
    <row r="3571">
      <c r="N3571" s="5"/>
    </row>
    <row r="3572">
      <c r="N3572" s="5"/>
    </row>
    <row r="3573">
      <c r="N3573" s="5"/>
    </row>
    <row r="3574">
      <c r="N3574" s="5"/>
    </row>
    <row r="3575">
      <c r="N3575" s="5"/>
    </row>
    <row r="3576">
      <c r="N3576" s="5"/>
    </row>
    <row r="3577">
      <c r="N3577" s="5"/>
    </row>
    <row r="3578">
      <c r="N3578" s="5"/>
    </row>
    <row r="3579">
      <c r="N3579" s="5"/>
    </row>
    <row r="3580">
      <c r="N3580" s="5"/>
    </row>
    <row r="3581">
      <c r="N3581" s="5"/>
    </row>
    <row r="3582">
      <c r="N3582" s="5"/>
    </row>
    <row r="3583">
      <c r="N3583" s="5"/>
    </row>
    <row r="3584">
      <c r="N3584" s="5"/>
    </row>
    <row r="3585">
      <c r="N3585" s="5"/>
    </row>
    <row r="3586">
      <c r="N3586" s="5"/>
    </row>
    <row r="3587">
      <c r="N3587" s="5"/>
    </row>
    <row r="3588">
      <c r="N3588" s="5"/>
    </row>
    <row r="3589">
      <c r="N3589" s="5"/>
    </row>
    <row r="3590">
      <c r="N3590" s="5"/>
    </row>
    <row r="3591">
      <c r="N3591" s="5"/>
    </row>
    <row r="3592">
      <c r="N3592" s="5"/>
    </row>
    <row r="3593">
      <c r="N3593" s="5"/>
    </row>
    <row r="3594">
      <c r="N3594" s="5"/>
    </row>
    <row r="3595">
      <c r="N3595" s="5"/>
    </row>
    <row r="3596">
      <c r="N3596" s="5"/>
    </row>
    <row r="3597">
      <c r="N3597" s="5"/>
    </row>
    <row r="3598">
      <c r="N3598" s="5"/>
    </row>
    <row r="3599">
      <c r="N3599" s="5"/>
    </row>
    <row r="3600">
      <c r="N3600" s="5"/>
    </row>
    <row r="3601">
      <c r="N3601" s="5"/>
    </row>
    <row r="3602">
      <c r="N3602" s="5"/>
    </row>
    <row r="3603">
      <c r="N3603" s="5"/>
    </row>
    <row r="3604">
      <c r="N3604" s="5"/>
    </row>
    <row r="3605">
      <c r="N3605" s="5"/>
    </row>
    <row r="3606">
      <c r="N3606" s="5"/>
    </row>
    <row r="3607">
      <c r="N3607" s="5"/>
    </row>
    <row r="3608">
      <c r="N3608" s="5"/>
    </row>
    <row r="3609">
      <c r="N3609" s="5"/>
    </row>
    <row r="3610">
      <c r="N3610" s="5"/>
    </row>
    <row r="3611">
      <c r="N3611" s="5"/>
    </row>
    <row r="3612">
      <c r="N3612" s="5"/>
    </row>
    <row r="3613">
      <c r="N3613" s="5"/>
    </row>
    <row r="3614">
      <c r="N3614" s="5"/>
    </row>
    <row r="3615">
      <c r="N3615" s="5"/>
    </row>
    <row r="3616">
      <c r="N3616" s="5"/>
    </row>
    <row r="3617">
      <c r="N3617" s="5"/>
    </row>
    <row r="3618">
      <c r="N3618" s="5"/>
    </row>
    <row r="3619">
      <c r="N3619" s="5"/>
    </row>
    <row r="3620">
      <c r="N3620" s="5"/>
    </row>
    <row r="3621">
      <c r="N3621" s="5"/>
    </row>
    <row r="3622">
      <c r="N3622" s="5"/>
    </row>
    <row r="3623">
      <c r="N3623" s="5"/>
    </row>
    <row r="3624">
      <c r="N3624" s="5"/>
    </row>
    <row r="3625">
      <c r="N3625" s="5"/>
    </row>
    <row r="3626">
      <c r="N3626" s="5"/>
    </row>
    <row r="3627">
      <c r="N3627" s="5"/>
    </row>
    <row r="3628">
      <c r="N3628" s="5"/>
    </row>
    <row r="3629">
      <c r="N3629" s="5"/>
    </row>
    <row r="3630">
      <c r="N3630" s="5"/>
    </row>
    <row r="3631">
      <c r="N3631" s="5"/>
    </row>
    <row r="3632">
      <c r="N3632" s="5"/>
    </row>
    <row r="3633">
      <c r="N3633" s="5"/>
    </row>
    <row r="3634">
      <c r="N3634" s="5"/>
    </row>
    <row r="3635">
      <c r="N3635" s="5"/>
    </row>
    <row r="3636">
      <c r="N3636" s="5"/>
    </row>
    <row r="3637">
      <c r="N3637" s="5"/>
    </row>
    <row r="3638">
      <c r="N3638" s="5"/>
    </row>
    <row r="3639">
      <c r="N3639" s="5"/>
    </row>
    <row r="3640">
      <c r="N3640" s="5"/>
    </row>
    <row r="3641">
      <c r="N3641" s="5"/>
    </row>
    <row r="3642">
      <c r="N3642" s="5"/>
    </row>
    <row r="3643">
      <c r="N3643" s="5"/>
    </row>
    <row r="3644">
      <c r="N3644" s="5"/>
    </row>
    <row r="3645">
      <c r="N3645" s="5"/>
    </row>
    <row r="3646">
      <c r="N3646" s="5"/>
    </row>
    <row r="3647">
      <c r="N3647" s="5"/>
    </row>
    <row r="3648">
      <c r="N3648" s="5"/>
    </row>
    <row r="3649">
      <c r="N3649" s="5"/>
    </row>
    <row r="3650">
      <c r="N3650" s="5"/>
    </row>
    <row r="3651">
      <c r="N3651" s="5"/>
    </row>
    <row r="3652">
      <c r="N3652" s="5"/>
    </row>
    <row r="3653">
      <c r="N3653" s="5"/>
    </row>
    <row r="3654">
      <c r="N3654" s="5"/>
    </row>
    <row r="3655">
      <c r="N3655" s="5"/>
    </row>
    <row r="3656">
      <c r="N3656" s="5"/>
    </row>
    <row r="3657">
      <c r="N3657" s="5"/>
    </row>
    <row r="3658">
      <c r="N3658" s="5"/>
    </row>
    <row r="3659">
      <c r="N3659" s="5"/>
    </row>
    <row r="3660">
      <c r="N3660" s="5"/>
    </row>
    <row r="3661">
      <c r="N3661" s="5"/>
    </row>
    <row r="3662">
      <c r="N3662" s="5"/>
    </row>
    <row r="3663">
      <c r="N3663" s="5"/>
    </row>
    <row r="3664">
      <c r="N3664" s="5"/>
    </row>
    <row r="3665">
      <c r="N3665" s="5"/>
    </row>
    <row r="3666">
      <c r="N3666" s="5"/>
    </row>
    <row r="3667">
      <c r="N3667" s="5"/>
    </row>
    <row r="3668">
      <c r="N3668" s="5"/>
    </row>
    <row r="3669">
      <c r="N3669" s="5"/>
    </row>
    <row r="3670">
      <c r="N3670" s="5"/>
    </row>
    <row r="3671">
      <c r="N3671" s="5"/>
    </row>
    <row r="3672">
      <c r="N3672" s="5"/>
    </row>
    <row r="3673">
      <c r="N3673" s="5"/>
    </row>
    <row r="3674">
      <c r="N3674" s="5"/>
    </row>
    <row r="3675">
      <c r="N3675" s="5"/>
    </row>
    <row r="3676">
      <c r="N3676" s="5"/>
    </row>
    <row r="3677">
      <c r="N3677" s="5"/>
    </row>
    <row r="3678">
      <c r="N3678" s="5"/>
    </row>
    <row r="3679">
      <c r="N3679" s="5"/>
    </row>
    <row r="3680">
      <c r="N3680" s="5"/>
    </row>
    <row r="3681">
      <c r="N3681" s="5"/>
    </row>
    <row r="3682">
      <c r="N3682" s="5"/>
    </row>
    <row r="3683">
      <c r="N3683" s="5"/>
    </row>
    <row r="3684">
      <c r="N3684" s="5"/>
    </row>
    <row r="3685">
      <c r="N3685" s="5"/>
    </row>
    <row r="3686">
      <c r="N3686" s="5"/>
    </row>
    <row r="3687">
      <c r="N3687" s="5"/>
    </row>
    <row r="3688">
      <c r="N3688" s="5"/>
    </row>
    <row r="3689">
      <c r="N3689" s="5"/>
    </row>
    <row r="3690">
      <c r="N3690" s="5"/>
    </row>
    <row r="3691">
      <c r="N3691" s="5"/>
    </row>
    <row r="3692">
      <c r="N3692" s="5"/>
    </row>
    <row r="3693">
      <c r="N3693" s="5"/>
    </row>
    <row r="3694">
      <c r="N3694" s="5"/>
    </row>
    <row r="3695">
      <c r="N3695" s="5"/>
    </row>
    <row r="3696">
      <c r="N3696" s="5"/>
    </row>
    <row r="3697">
      <c r="N3697" s="5"/>
    </row>
    <row r="3698">
      <c r="N3698" s="5"/>
    </row>
    <row r="3699">
      <c r="N3699" s="5"/>
    </row>
    <row r="3700">
      <c r="N3700" s="5"/>
    </row>
    <row r="3701">
      <c r="N3701" s="5"/>
    </row>
    <row r="3702">
      <c r="N3702" s="5"/>
    </row>
    <row r="3703">
      <c r="N3703" s="5"/>
    </row>
    <row r="3704">
      <c r="N3704" s="5"/>
    </row>
    <row r="3705">
      <c r="N3705" s="5"/>
    </row>
    <row r="3706">
      <c r="N3706" s="5"/>
    </row>
    <row r="3707">
      <c r="N3707" s="5"/>
    </row>
    <row r="3708">
      <c r="N3708" s="5"/>
    </row>
    <row r="3709">
      <c r="N3709" s="5"/>
    </row>
    <row r="3710">
      <c r="N3710" s="5"/>
    </row>
    <row r="3711">
      <c r="N3711" s="5"/>
    </row>
    <row r="3712">
      <c r="N3712" s="5"/>
    </row>
    <row r="3713">
      <c r="N3713" s="5"/>
    </row>
    <row r="3714">
      <c r="N3714" s="5"/>
    </row>
    <row r="3715">
      <c r="N3715" s="5"/>
    </row>
    <row r="3716">
      <c r="N3716" s="5"/>
    </row>
    <row r="3717">
      <c r="N3717" s="5"/>
    </row>
    <row r="3718">
      <c r="N3718" s="5"/>
    </row>
    <row r="3719">
      <c r="N3719" s="5"/>
    </row>
    <row r="3720">
      <c r="N3720" s="5"/>
    </row>
    <row r="3721">
      <c r="N3721" s="5"/>
    </row>
    <row r="3722">
      <c r="N3722" s="5"/>
    </row>
    <row r="3723">
      <c r="N3723" s="5"/>
    </row>
    <row r="3724">
      <c r="N3724" s="5"/>
    </row>
    <row r="3725">
      <c r="N3725" s="5"/>
    </row>
    <row r="3726">
      <c r="N3726" s="5"/>
    </row>
    <row r="3727">
      <c r="N3727" s="5"/>
    </row>
    <row r="3728">
      <c r="N3728" s="5"/>
    </row>
    <row r="3729">
      <c r="N3729" s="5"/>
    </row>
    <row r="3730">
      <c r="N3730" s="5"/>
    </row>
    <row r="3731">
      <c r="N3731" s="5"/>
    </row>
    <row r="3732">
      <c r="N3732" s="5"/>
    </row>
    <row r="3733">
      <c r="N3733" s="5"/>
    </row>
    <row r="3734">
      <c r="N3734" s="5"/>
    </row>
    <row r="3735">
      <c r="N3735" s="5"/>
    </row>
    <row r="3736">
      <c r="N3736" s="5"/>
    </row>
    <row r="3737">
      <c r="N3737" s="5"/>
    </row>
    <row r="3738">
      <c r="N3738" s="5"/>
    </row>
    <row r="3739">
      <c r="N3739" s="5"/>
    </row>
    <row r="3740">
      <c r="N3740" s="5"/>
    </row>
    <row r="3741">
      <c r="N3741" s="5"/>
    </row>
    <row r="3742">
      <c r="N3742" s="5"/>
    </row>
    <row r="3743">
      <c r="N3743" s="5"/>
    </row>
    <row r="3744">
      <c r="N3744" s="5"/>
    </row>
    <row r="3745">
      <c r="N3745" s="5"/>
    </row>
    <row r="3746">
      <c r="N3746" s="5"/>
    </row>
    <row r="3747">
      <c r="N3747" s="5"/>
    </row>
    <row r="3748">
      <c r="N3748" s="5"/>
    </row>
    <row r="3749">
      <c r="N3749" s="5"/>
    </row>
    <row r="3750">
      <c r="N3750" s="5"/>
    </row>
    <row r="3751">
      <c r="N3751" s="5"/>
    </row>
    <row r="3752">
      <c r="N3752" s="5"/>
    </row>
    <row r="3753">
      <c r="N3753" s="5"/>
    </row>
    <row r="3754">
      <c r="N3754" s="5"/>
    </row>
    <row r="3755">
      <c r="N3755" s="5"/>
    </row>
    <row r="3756">
      <c r="N3756" s="5"/>
    </row>
    <row r="3757">
      <c r="N3757" s="5"/>
    </row>
    <row r="3758">
      <c r="N3758" s="5"/>
    </row>
    <row r="3759">
      <c r="N3759" s="5"/>
    </row>
    <row r="3760">
      <c r="N3760" s="5"/>
    </row>
    <row r="3761">
      <c r="N3761" s="5"/>
    </row>
    <row r="3762">
      <c r="N3762" s="5"/>
    </row>
    <row r="3763">
      <c r="N3763" s="5"/>
    </row>
    <row r="3764">
      <c r="N3764" s="5"/>
    </row>
    <row r="3765">
      <c r="N3765" s="5"/>
    </row>
    <row r="3766">
      <c r="N3766" s="5"/>
    </row>
    <row r="3767">
      <c r="N3767" s="5"/>
    </row>
    <row r="3768">
      <c r="N3768" s="5"/>
    </row>
    <row r="3769">
      <c r="N3769" s="5"/>
    </row>
    <row r="3770">
      <c r="N3770" s="5"/>
    </row>
    <row r="3771">
      <c r="N3771" s="5"/>
    </row>
    <row r="3772">
      <c r="N3772" s="5"/>
    </row>
    <row r="3773">
      <c r="N3773" s="5"/>
    </row>
    <row r="3774">
      <c r="N3774" s="5"/>
    </row>
    <row r="3775">
      <c r="N3775" s="5"/>
    </row>
    <row r="3776">
      <c r="N3776" s="5"/>
    </row>
    <row r="3777">
      <c r="N3777" s="5"/>
    </row>
    <row r="3778">
      <c r="N3778" s="5"/>
    </row>
    <row r="3779">
      <c r="N3779" s="5"/>
    </row>
    <row r="3780">
      <c r="N3780" s="5"/>
    </row>
    <row r="3781">
      <c r="N3781" s="5"/>
    </row>
    <row r="3782">
      <c r="N3782" s="5"/>
    </row>
    <row r="3783">
      <c r="N3783" s="5"/>
    </row>
    <row r="3784">
      <c r="N3784" s="5"/>
    </row>
    <row r="3785">
      <c r="N3785" s="5"/>
    </row>
    <row r="3786">
      <c r="N3786" s="5"/>
    </row>
    <row r="3787">
      <c r="N3787" s="5"/>
    </row>
    <row r="3788">
      <c r="N3788" s="5"/>
    </row>
    <row r="3789">
      <c r="N3789" s="5"/>
    </row>
    <row r="3790">
      <c r="N3790" s="5"/>
    </row>
    <row r="3791">
      <c r="N3791" s="5"/>
    </row>
    <row r="3792">
      <c r="N3792" s="5"/>
    </row>
    <row r="3793">
      <c r="N3793" s="5"/>
    </row>
    <row r="3794">
      <c r="N3794" s="5"/>
    </row>
    <row r="3795">
      <c r="N3795" s="5"/>
    </row>
    <row r="3796">
      <c r="N3796" s="5"/>
    </row>
    <row r="3797">
      <c r="N3797" s="5"/>
    </row>
    <row r="3798">
      <c r="N3798" s="5"/>
    </row>
    <row r="3799">
      <c r="N3799" s="5"/>
    </row>
    <row r="3800">
      <c r="N3800" s="5"/>
    </row>
    <row r="3801">
      <c r="N3801" s="5"/>
    </row>
    <row r="3802">
      <c r="N3802" s="5"/>
    </row>
    <row r="3803">
      <c r="N3803" s="5"/>
    </row>
    <row r="3804">
      <c r="N3804" s="5"/>
    </row>
    <row r="3805">
      <c r="N3805" s="5"/>
    </row>
    <row r="3806">
      <c r="N3806" s="5"/>
    </row>
    <row r="3807">
      <c r="N3807" s="5"/>
    </row>
    <row r="3808">
      <c r="N3808" s="5"/>
    </row>
    <row r="3809">
      <c r="N3809" s="5"/>
    </row>
    <row r="3810">
      <c r="N3810" s="5"/>
    </row>
    <row r="3811">
      <c r="N3811" s="5"/>
    </row>
    <row r="3812">
      <c r="N3812" s="5"/>
    </row>
    <row r="3813">
      <c r="N3813" s="5"/>
    </row>
    <row r="3814">
      <c r="N3814" s="5"/>
    </row>
    <row r="3815">
      <c r="N3815" s="5"/>
    </row>
    <row r="3816">
      <c r="N3816" s="5"/>
    </row>
    <row r="3817">
      <c r="N3817" s="5"/>
    </row>
    <row r="3818">
      <c r="N3818" s="5"/>
    </row>
    <row r="3819">
      <c r="N3819" s="5"/>
    </row>
    <row r="3820">
      <c r="N3820" s="5"/>
    </row>
    <row r="3821">
      <c r="N3821" s="5"/>
    </row>
    <row r="3822">
      <c r="N3822" s="5"/>
    </row>
    <row r="3823">
      <c r="N3823" s="5"/>
    </row>
    <row r="3824">
      <c r="N3824" s="5"/>
    </row>
    <row r="3825">
      <c r="N3825" s="5"/>
    </row>
    <row r="3826">
      <c r="N3826" s="5"/>
    </row>
    <row r="3827">
      <c r="N3827" s="5"/>
    </row>
    <row r="3828">
      <c r="N3828" s="5"/>
    </row>
    <row r="3829">
      <c r="N3829" s="5"/>
    </row>
    <row r="3830">
      <c r="N3830" s="5"/>
    </row>
    <row r="3831">
      <c r="N3831" s="5"/>
    </row>
    <row r="3832">
      <c r="N3832" s="5"/>
    </row>
    <row r="3833">
      <c r="N3833" s="5"/>
    </row>
    <row r="3834">
      <c r="N3834" s="5"/>
    </row>
    <row r="3835">
      <c r="N3835" s="5"/>
    </row>
    <row r="3836">
      <c r="N3836" s="5"/>
    </row>
    <row r="3837">
      <c r="N3837" s="5"/>
    </row>
    <row r="3838">
      <c r="N3838" s="5"/>
    </row>
    <row r="3839">
      <c r="N3839" s="5"/>
    </row>
    <row r="3840">
      <c r="N3840" s="5"/>
    </row>
    <row r="3841">
      <c r="N3841" s="5"/>
    </row>
    <row r="3842">
      <c r="N3842" s="5"/>
    </row>
    <row r="3843">
      <c r="N3843" s="5"/>
    </row>
    <row r="3844">
      <c r="N3844" s="5"/>
    </row>
    <row r="3845">
      <c r="N3845" s="5"/>
    </row>
    <row r="3846">
      <c r="N3846" s="5"/>
    </row>
    <row r="3847">
      <c r="N3847" s="5"/>
    </row>
    <row r="3848">
      <c r="N3848" s="5"/>
    </row>
    <row r="3849">
      <c r="N3849" s="5"/>
    </row>
    <row r="3850">
      <c r="N3850" s="5"/>
    </row>
    <row r="3851">
      <c r="N3851" s="5"/>
    </row>
    <row r="3852">
      <c r="N3852" s="5"/>
    </row>
    <row r="3853">
      <c r="N3853" s="5"/>
    </row>
    <row r="3854">
      <c r="N3854" s="5"/>
    </row>
    <row r="3855">
      <c r="N3855" s="5"/>
    </row>
    <row r="3856">
      <c r="N3856" s="5"/>
    </row>
    <row r="3857">
      <c r="N3857" s="5"/>
    </row>
    <row r="3858">
      <c r="N3858" s="5"/>
    </row>
    <row r="3859">
      <c r="N3859" s="5"/>
    </row>
    <row r="3860">
      <c r="N3860" s="5"/>
    </row>
    <row r="3861">
      <c r="N3861" s="5"/>
    </row>
    <row r="3862">
      <c r="N3862" s="5"/>
    </row>
    <row r="3863">
      <c r="N3863" s="5"/>
    </row>
    <row r="3864">
      <c r="N3864" s="5"/>
    </row>
    <row r="3865">
      <c r="N3865" s="5"/>
    </row>
    <row r="3866">
      <c r="N3866" s="5"/>
    </row>
    <row r="3867">
      <c r="N3867" s="5"/>
    </row>
    <row r="3868">
      <c r="N3868" s="5"/>
    </row>
    <row r="3869">
      <c r="N3869" s="5"/>
    </row>
    <row r="3870">
      <c r="N3870" s="5"/>
    </row>
    <row r="3871">
      <c r="N3871" s="5"/>
    </row>
    <row r="3872">
      <c r="N3872" s="5"/>
    </row>
    <row r="3873">
      <c r="N3873" s="5"/>
    </row>
    <row r="3874">
      <c r="N3874" s="5"/>
    </row>
    <row r="3875">
      <c r="N3875" s="5"/>
    </row>
    <row r="3876">
      <c r="N3876" s="5"/>
    </row>
    <row r="3877">
      <c r="N3877" s="5"/>
    </row>
    <row r="3878">
      <c r="N3878" s="5"/>
    </row>
    <row r="3879">
      <c r="N3879" s="5"/>
    </row>
    <row r="3880">
      <c r="N3880" s="5"/>
    </row>
    <row r="3881">
      <c r="N3881" s="5"/>
    </row>
    <row r="3882">
      <c r="N3882" s="5"/>
    </row>
    <row r="3883">
      <c r="N3883" s="5"/>
    </row>
    <row r="3884">
      <c r="N3884" s="5"/>
    </row>
    <row r="3885">
      <c r="N3885" s="5"/>
    </row>
    <row r="3886">
      <c r="N3886" s="5"/>
    </row>
    <row r="3887">
      <c r="N3887" s="5"/>
    </row>
    <row r="3888">
      <c r="N3888" s="5"/>
    </row>
    <row r="3889">
      <c r="N3889" s="5"/>
    </row>
    <row r="3890">
      <c r="N3890" s="5"/>
    </row>
    <row r="3891">
      <c r="N3891" s="5"/>
    </row>
    <row r="3892">
      <c r="N3892" s="5"/>
    </row>
    <row r="3893">
      <c r="N3893" s="5"/>
    </row>
    <row r="3894">
      <c r="N3894" s="5"/>
    </row>
    <row r="3895">
      <c r="N3895" s="5"/>
    </row>
    <row r="3896">
      <c r="N3896" s="5"/>
    </row>
    <row r="3897">
      <c r="N3897" s="5"/>
    </row>
    <row r="3898">
      <c r="N3898" s="5"/>
    </row>
    <row r="3899">
      <c r="N3899" s="5"/>
    </row>
    <row r="3900">
      <c r="N3900" s="5"/>
    </row>
    <row r="3901">
      <c r="N3901" s="5"/>
    </row>
    <row r="3902">
      <c r="N3902" s="5"/>
    </row>
    <row r="3903">
      <c r="N3903" s="5"/>
    </row>
    <row r="3904">
      <c r="N3904" s="5"/>
    </row>
    <row r="3905">
      <c r="N3905" s="5"/>
    </row>
    <row r="3906">
      <c r="N3906" s="5"/>
    </row>
    <row r="3907">
      <c r="N3907" s="5"/>
    </row>
    <row r="3908">
      <c r="N3908" s="5"/>
    </row>
    <row r="3909">
      <c r="N3909" s="5"/>
    </row>
    <row r="3910">
      <c r="N3910" s="5"/>
    </row>
    <row r="3911">
      <c r="N3911" s="5"/>
    </row>
    <row r="3912">
      <c r="N3912" s="5"/>
    </row>
    <row r="3913">
      <c r="N3913" s="5"/>
    </row>
    <row r="3914">
      <c r="N3914" s="5"/>
    </row>
    <row r="3915">
      <c r="N3915" s="5"/>
    </row>
    <row r="3916">
      <c r="N3916" s="5"/>
    </row>
    <row r="3917">
      <c r="N3917" s="5"/>
    </row>
    <row r="3918">
      <c r="N3918" s="5"/>
    </row>
    <row r="3919">
      <c r="N3919" s="5"/>
    </row>
    <row r="3920">
      <c r="N3920" s="5"/>
    </row>
    <row r="3921">
      <c r="N3921" s="5"/>
    </row>
    <row r="3922">
      <c r="N3922" s="5"/>
    </row>
    <row r="3923">
      <c r="N3923" s="5"/>
    </row>
    <row r="3924">
      <c r="N3924" s="5"/>
    </row>
    <row r="3925">
      <c r="N3925" s="5"/>
    </row>
    <row r="3926">
      <c r="N3926" s="5"/>
    </row>
    <row r="3927">
      <c r="N3927" s="5"/>
    </row>
    <row r="3928">
      <c r="N3928" s="5"/>
    </row>
    <row r="3929">
      <c r="N3929" s="5"/>
    </row>
    <row r="3930">
      <c r="N3930" s="5"/>
    </row>
    <row r="3931">
      <c r="N3931" s="5"/>
    </row>
    <row r="3932">
      <c r="N3932" s="5"/>
    </row>
    <row r="3933">
      <c r="N3933" s="5"/>
    </row>
    <row r="3934">
      <c r="N3934" s="5"/>
    </row>
    <row r="3935">
      <c r="N3935" s="5"/>
    </row>
    <row r="3936">
      <c r="N3936" s="5"/>
    </row>
    <row r="3937">
      <c r="N3937" s="5"/>
    </row>
    <row r="3938">
      <c r="N3938" s="5"/>
    </row>
    <row r="3939">
      <c r="N3939" s="5"/>
    </row>
    <row r="3940">
      <c r="N3940" s="5"/>
    </row>
    <row r="3941">
      <c r="N3941" s="5"/>
    </row>
    <row r="3942">
      <c r="N3942" s="5"/>
    </row>
    <row r="3943">
      <c r="N3943" s="5"/>
    </row>
    <row r="3944">
      <c r="N3944" s="5"/>
    </row>
    <row r="3945">
      <c r="N3945" s="5"/>
    </row>
    <row r="3946">
      <c r="N3946" s="5"/>
    </row>
    <row r="3947">
      <c r="N3947" s="5"/>
    </row>
    <row r="3948">
      <c r="N3948" s="5"/>
    </row>
    <row r="3949">
      <c r="N3949" s="5"/>
    </row>
    <row r="3950">
      <c r="N3950" s="5"/>
    </row>
    <row r="3951">
      <c r="N3951" s="5"/>
    </row>
    <row r="3952">
      <c r="N3952" s="5"/>
    </row>
    <row r="3953">
      <c r="N3953" s="5"/>
    </row>
    <row r="3954">
      <c r="N3954" s="5"/>
    </row>
    <row r="3955">
      <c r="N3955" s="5"/>
    </row>
    <row r="3956">
      <c r="N3956" s="5"/>
    </row>
    <row r="3957">
      <c r="N3957" s="5"/>
    </row>
    <row r="3958">
      <c r="N3958" s="5"/>
    </row>
    <row r="3959">
      <c r="N3959" s="5"/>
    </row>
    <row r="3960">
      <c r="N3960" s="5"/>
    </row>
    <row r="3961">
      <c r="N3961" s="5"/>
    </row>
    <row r="3962">
      <c r="N3962" s="5"/>
    </row>
    <row r="3963">
      <c r="N3963" s="5"/>
    </row>
    <row r="3964">
      <c r="N3964" s="5"/>
    </row>
    <row r="3965">
      <c r="N3965" s="5"/>
    </row>
    <row r="3966">
      <c r="N3966" s="5"/>
    </row>
    <row r="3967">
      <c r="N3967" s="5"/>
    </row>
    <row r="3968">
      <c r="N3968" s="5"/>
    </row>
    <row r="3969">
      <c r="N3969" s="5"/>
    </row>
    <row r="3970">
      <c r="N3970" s="5"/>
    </row>
    <row r="3971">
      <c r="N3971" s="5"/>
    </row>
    <row r="3972">
      <c r="N3972" s="5"/>
    </row>
    <row r="3973">
      <c r="N3973" s="5"/>
    </row>
    <row r="3974">
      <c r="N3974" s="5"/>
    </row>
    <row r="3975">
      <c r="N3975" s="5"/>
    </row>
    <row r="3976">
      <c r="N3976" s="5"/>
    </row>
    <row r="3977">
      <c r="N3977" s="5"/>
    </row>
    <row r="3978">
      <c r="N3978" s="5"/>
    </row>
    <row r="3979">
      <c r="N3979" s="5"/>
    </row>
    <row r="3980">
      <c r="N3980" s="5"/>
    </row>
    <row r="3981">
      <c r="N3981" s="5"/>
    </row>
    <row r="3982">
      <c r="N3982" s="5"/>
    </row>
    <row r="3983">
      <c r="N3983" s="5"/>
    </row>
    <row r="3984">
      <c r="N3984" s="5"/>
    </row>
    <row r="3985">
      <c r="N3985" s="5"/>
    </row>
    <row r="3986">
      <c r="N3986" s="5"/>
    </row>
    <row r="3987">
      <c r="N3987" s="5"/>
    </row>
    <row r="3988">
      <c r="N3988" s="5"/>
    </row>
    <row r="3989">
      <c r="N3989" s="5"/>
    </row>
    <row r="3990">
      <c r="N3990" s="5"/>
    </row>
    <row r="3991">
      <c r="N3991" s="5"/>
    </row>
    <row r="3992">
      <c r="N3992" s="5"/>
    </row>
    <row r="3993">
      <c r="N3993" s="5"/>
    </row>
    <row r="3994">
      <c r="N3994" s="5"/>
    </row>
    <row r="3995">
      <c r="N3995" s="5"/>
    </row>
    <row r="3996">
      <c r="N3996" s="5"/>
    </row>
    <row r="3997">
      <c r="N3997" s="5"/>
    </row>
    <row r="3998">
      <c r="N3998" s="5"/>
    </row>
    <row r="3999">
      <c r="N3999" s="5"/>
    </row>
    <row r="4000">
      <c r="N4000" s="5"/>
    </row>
    <row r="4001">
      <c r="N4001" s="5"/>
    </row>
    <row r="4002">
      <c r="N4002" s="5"/>
    </row>
    <row r="4003">
      <c r="N4003" s="5"/>
    </row>
    <row r="4004">
      <c r="N4004" s="5"/>
    </row>
    <row r="4005">
      <c r="N4005" s="5"/>
    </row>
    <row r="4006">
      <c r="N4006" s="5"/>
    </row>
    <row r="4007">
      <c r="N4007" s="5"/>
    </row>
    <row r="4008">
      <c r="N4008" s="5"/>
    </row>
    <row r="4009">
      <c r="N4009" s="5"/>
    </row>
    <row r="4010">
      <c r="N4010" s="5"/>
    </row>
    <row r="4011">
      <c r="N4011" s="5"/>
    </row>
    <row r="4012">
      <c r="N4012" s="5"/>
    </row>
    <row r="4013">
      <c r="N4013" s="5"/>
    </row>
    <row r="4014">
      <c r="N4014" s="5"/>
    </row>
    <row r="4015">
      <c r="N4015" s="5"/>
    </row>
    <row r="4016">
      <c r="N4016" s="5"/>
    </row>
    <row r="4017">
      <c r="N4017" s="5"/>
    </row>
    <row r="4018">
      <c r="N4018" s="5"/>
    </row>
    <row r="4019">
      <c r="N4019" s="5"/>
    </row>
    <row r="4020">
      <c r="N4020" s="5"/>
    </row>
    <row r="4021">
      <c r="N4021" s="5"/>
    </row>
    <row r="4022">
      <c r="N4022" s="5"/>
    </row>
    <row r="4023">
      <c r="N4023" s="5"/>
    </row>
    <row r="4024">
      <c r="N4024" s="5"/>
    </row>
    <row r="4025">
      <c r="N4025" s="5"/>
    </row>
    <row r="4026">
      <c r="N4026" s="5"/>
    </row>
    <row r="4027">
      <c r="N4027" s="5"/>
    </row>
    <row r="4028">
      <c r="N4028" s="5"/>
    </row>
    <row r="4029">
      <c r="N4029" s="5"/>
    </row>
    <row r="4030">
      <c r="N4030" s="5"/>
    </row>
    <row r="4031">
      <c r="N4031" s="5"/>
    </row>
    <row r="4032">
      <c r="N4032" s="5"/>
    </row>
    <row r="4033">
      <c r="N4033" s="5"/>
    </row>
    <row r="4034">
      <c r="N4034" s="5"/>
    </row>
    <row r="4035">
      <c r="N4035" s="5"/>
    </row>
    <row r="4036">
      <c r="N4036" s="5"/>
    </row>
    <row r="4037">
      <c r="N4037" s="5"/>
    </row>
    <row r="4038">
      <c r="N4038" s="5"/>
    </row>
    <row r="4039">
      <c r="N4039" s="5"/>
    </row>
    <row r="4040">
      <c r="N4040" s="5"/>
    </row>
    <row r="4041">
      <c r="N4041" s="5"/>
    </row>
    <row r="4042">
      <c r="N4042" s="5"/>
    </row>
    <row r="4043">
      <c r="N4043" s="5"/>
    </row>
    <row r="4044">
      <c r="N4044" s="5"/>
    </row>
    <row r="4045">
      <c r="N4045" s="5"/>
    </row>
    <row r="4046">
      <c r="N4046" s="5"/>
    </row>
    <row r="4047">
      <c r="N4047" s="5"/>
    </row>
    <row r="4048">
      <c r="N4048" s="5"/>
    </row>
    <row r="4049">
      <c r="N4049" s="5"/>
    </row>
    <row r="4050">
      <c r="N4050" s="5"/>
    </row>
    <row r="4051">
      <c r="N4051" s="5"/>
    </row>
    <row r="4052">
      <c r="N4052" s="5"/>
    </row>
    <row r="4053">
      <c r="N4053" s="5"/>
    </row>
    <row r="4054">
      <c r="N4054" s="5"/>
    </row>
    <row r="4055">
      <c r="N4055" s="5"/>
    </row>
    <row r="4056">
      <c r="N4056" s="5"/>
    </row>
    <row r="4057">
      <c r="N4057" s="5"/>
    </row>
    <row r="4058">
      <c r="N4058" s="5"/>
    </row>
    <row r="4059">
      <c r="N4059" s="5"/>
    </row>
    <row r="4060">
      <c r="N4060" s="5"/>
    </row>
    <row r="4061">
      <c r="N4061" s="5"/>
    </row>
    <row r="4062">
      <c r="N4062" s="5"/>
    </row>
    <row r="4063">
      <c r="N4063" s="5"/>
    </row>
    <row r="4064">
      <c r="N4064" s="5"/>
    </row>
    <row r="4065">
      <c r="N4065" s="5"/>
    </row>
    <row r="4066">
      <c r="N4066" s="5"/>
    </row>
    <row r="4067">
      <c r="N4067" s="5"/>
    </row>
    <row r="4068">
      <c r="N4068" s="5"/>
    </row>
    <row r="4069">
      <c r="N4069" s="5"/>
    </row>
    <row r="4070">
      <c r="N4070" s="5"/>
    </row>
    <row r="4071">
      <c r="N4071" s="5"/>
    </row>
    <row r="4072">
      <c r="N4072" s="5"/>
    </row>
    <row r="4073">
      <c r="N4073" s="5"/>
    </row>
    <row r="4074">
      <c r="N4074" s="5"/>
    </row>
    <row r="4075">
      <c r="N4075" s="5"/>
    </row>
    <row r="4076">
      <c r="N4076" s="5"/>
    </row>
    <row r="4077">
      <c r="N4077" s="5"/>
    </row>
    <row r="4078">
      <c r="N4078" s="5"/>
    </row>
    <row r="4079">
      <c r="N4079" s="5"/>
    </row>
    <row r="4080">
      <c r="N4080" s="5"/>
    </row>
    <row r="4081">
      <c r="N4081" s="5"/>
    </row>
    <row r="4082">
      <c r="N4082" s="5"/>
    </row>
    <row r="4083">
      <c r="N4083" s="5"/>
    </row>
    <row r="4084">
      <c r="N4084" s="5"/>
    </row>
    <row r="4085">
      <c r="N4085" s="5"/>
    </row>
    <row r="4086">
      <c r="N4086" s="5"/>
    </row>
    <row r="4087">
      <c r="N4087" s="5"/>
    </row>
    <row r="4088">
      <c r="N4088" s="5"/>
    </row>
    <row r="4089">
      <c r="N4089" s="5"/>
    </row>
    <row r="4090">
      <c r="N4090" s="5"/>
    </row>
    <row r="4091">
      <c r="N4091" s="5"/>
    </row>
    <row r="4092">
      <c r="N4092" s="5"/>
    </row>
    <row r="4093">
      <c r="N4093" s="5"/>
    </row>
    <row r="4094">
      <c r="N4094" s="5"/>
    </row>
    <row r="4095">
      <c r="N4095" s="5"/>
    </row>
    <row r="4096">
      <c r="N4096" s="5"/>
    </row>
    <row r="4097">
      <c r="N4097" s="5"/>
    </row>
    <row r="4098">
      <c r="N4098" s="5"/>
    </row>
    <row r="4099">
      <c r="N4099" s="5"/>
    </row>
    <row r="4100">
      <c r="N4100" s="5"/>
    </row>
    <row r="4101">
      <c r="N4101" s="5"/>
    </row>
    <row r="4102">
      <c r="N4102" s="5"/>
    </row>
    <row r="4103">
      <c r="N4103" s="5"/>
    </row>
    <row r="4104">
      <c r="N4104" s="5"/>
    </row>
    <row r="4105">
      <c r="N4105" s="5"/>
    </row>
    <row r="4106">
      <c r="N4106" s="5"/>
    </row>
    <row r="4107">
      <c r="N4107" s="5"/>
    </row>
    <row r="4108">
      <c r="N4108" s="5"/>
    </row>
    <row r="4109">
      <c r="N4109" s="5"/>
    </row>
    <row r="4110">
      <c r="N4110" s="5"/>
    </row>
    <row r="4111">
      <c r="N4111" s="5"/>
    </row>
    <row r="4112">
      <c r="N4112" s="5"/>
    </row>
    <row r="4113">
      <c r="N4113" s="5"/>
    </row>
    <row r="4114">
      <c r="N4114" s="5"/>
    </row>
    <row r="4115">
      <c r="N4115" s="5"/>
    </row>
    <row r="4116">
      <c r="N4116" s="5"/>
    </row>
    <row r="4117">
      <c r="N4117" s="5"/>
    </row>
    <row r="4118">
      <c r="N4118" s="5"/>
    </row>
    <row r="4119">
      <c r="N4119" s="5"/>
    </row>
    <row r="4120">
      <c r="N4120" s="5"/>
    </row>
    <row r="4121">
      <c r="N4121" s="5"/>
    </row>
    <row r="4122">
      <c r="N4122" s="5"/>
    </row>
    <row r="4123">
      <c r="N4123" s="5"/>
    </row>
    <row r="4124">
      <c r="N4124" s="5"/>
    </row>
    <row r="4125">
      <c r="N4125" s="5"/>
    </row>
    <row r="4126">
      <c r="N4126" s="5"/>
    </row>
    <row r="4127">
      <c r="N4127" s="5"/>
    </row>
    <row r="4128">
      <c r="N4128" s="5"/>
    </row>
    <row r="4129">
      <c r="N4129" s="5"/>
    </row>
    <row r="4130">
      <c r="N4130" s="5"/>
    </row>
    <row r="4131">
      <c r="N4131" s="5"/>
    </row>
    <row r="4132">
      <c r="N4132" s="5"/>
    </row>
    <row r="4133">
      <c r="N4133" s="5"/>
    </row>
    <row r="4134">
      <c r="N4134" s="5"/>
    </row>
    <row r="4135">
      <c r="N4135" s="5"/>
    </row>
    <row r="4136">
      <c r="N4136" s="5"/>
    </row>
    <row r="4137">
      <c r="N4137" s="5"/>
    </row>
    <row r="4138">
      <c r="N4138" s="5"/>
    </row>
    <row r="4139">
      <c r="N4139" s="5"/>
    </row>
    <row r="4140">
      <c r="N4140" s="5"/>
    </row>
    <row r="4141">
      <c r="N4141" s="5"/>
    </row>
    <row r="4142">
      <c r="N4142" s="5"/>
    </row>
    <row r="4143">
      <c r="N4143" s="5"/>
    </row>
    <row r="4144">
      <c r="N4144" s="5"/>
    </row>
    <row r="4145">
      <c r="N4145" s="5"/>
    </row>
    <row r="4146">
      <c r="N4146" s="5"/>
    </row>
    <row r="4147">
      <c r="N4147" s="5"/>
    </row>
    <row r="4148">
      <c r="N4148" s="5"/>
    </row>
    <row r="4149">
      <c r="N4149" s="5"/>
    </row>
    <row r="4150">
      <c r="N4150" s="5"/>
    </row>
    <row r="4151">
      <c r="N4151" s="5"/>
    </row>
    <row r="4152">
      <c r="N4152" s="5"/>
    </row>
    <row r="4153">
      <c r="N4153" s="5"/>
    </row>
    <row r="4154">
      <c r="N4154" s="5"/>
    </row>
    <row r="4155">
      <c r="N4155" s="5"/>
    </row>
    <row r="4156">
      <c r="N4156" s="5"/>
    </row>
    <row r="4157">
      <c r="N4157" s="5"/>
    </row>
    <row r="4158">
      <c r="N4158" s="5"/>
    </row>
    <row r="4159">
      <c r="N4159" s="5"/>
    </row>
    <row r="4160">
      <c r="N4160" s="5"/>
    </row>
    <row r="4161">
      <c r="N4161" s="5"/>
    </row>
    <row r="4162">
      <c r="N4162" s="5"/>
    </row>
    <row r="4163">
      <c r="N4163" s="5"/>
    </row>
    <row r="4164">
      <c r="N4164" s="5"/>
    </row>
    <row r="4165">
      <c r="N4165" s="5"/>
    </row>
    <row r="4166">
      <c r="N4166" s="5"/>
    </row>
    <row r="4167">
      <c r="N4167" s="5"/>
    </row>
    <row r="4168">
      <c r="N4168" s="5"/>
    </row>
    <row r="4169">
      <c r="N4169" s="5"/>
    </row>
    <row r="4170">
      <c r="N4170" s="5"/>
    </row>
    <row r="4171">
      <c r="N4171" s="5"/>
    </row>
    <row r="4172">
      <c r="N4172" s="5"/>
    </row>
    <row r="4173">
      <c r="N4173" s="5"/>
    </row>
    <row r="4174">
      <c r="N4174" s="5"/>
    </row>
    <row r="4175">
      <c r="N4175" s="5"/>
    </row>
    <row r="4176">
      <c r="N4176" s="5"/>
    </row>
    <row r="4177">
      <c r="N4177" s="5"/>
    </row>
    <row r="4178">
      <c r="N4178" s="5"/>
    </row>
    <row r="4179">
      <c r="N4179" s="5"/>
    </row>
    <row r="4180">
      <c r="N4180" s="5"/>
    </row>
    <row r="4181">
      <c r="N4181" s="5"/>
    </row>
    <row r="4182">
      <c r="N4182" s="5"/>
    </row>
    <row r="4183">
      <c r="N4183" s="5"/>
    </row>
    <row r="4184">
      <c r="N4184" s="5"/>
    </row>
    <row r="4185">
      <c r="N4185" s="5"/>
    </row>
    <row r="4186">
      <c r="N4186" s="5"/>
    </row>
    <row r="4187">
      <c r="N4187" s="5"/>
    </row>
    <row r="4188">
      <c r="N4188" s="5"/>
    </row>
    <row r="4189">
      <c r="N4189" s="5"/>
    </row>
    <row r="4190">
      <c r="N4190" s="5"/>
    </row>
    <row r="4191">
      <c r="N4191" s="5"/>
    </row>
    <row r="4192">
      <c r="N4192" s="5"/>
    </row>
    <row r="4193">
      <c r="N4193" s="5"/>
    </row>
    <row r="4194">
      <c r="N4194" s="5"/>
    </row>
    <row r="4195">
      <c r="N4195" s="5"/>
    </row>
    <row r="4196">
      <c r="N4196" s="5"/>
    </row>
    <row r="4197">
      <c r="N4197" s="5"/>
    </row>
    <row r="4198">
      <c r="N4198" s="5"/>
    </row>
    <row r="4199">
      <c r="N4199" s="5"/>
    </row>
    <row r="4200">
      <c r="N4200" s="5"/>
    </row>
    <row r="4201">
      <c r="N4201" s="5"/>
    </row>
    <row r="4202">
      <c r="N4202" s="5"/>
    </row>
    <row r="4203">
      <c r="N4203" s="5"/>
    </row>
    <row r="4204">
      <c r="N4204" s="5"/>
    </row>
    <row r="4205">
      <c r="N4205" s="5"/>
    </row>
    <row r="4206">
      <c r="N4206" s="5"/>
    </row>
    <row r="4207">
      <c r="N4207" s="5"/>
    </row>
    <row r="4208">
      <c r="N4208" s="5"/>
    </row>
    <row r="4209">
      <c r="N4209" s="5"/>
    </row>
    <row r="4210">
      <c r="N4210" s="5"/>
    </row>
    <row r="4211">
      <c r="N4211" s="5"/>
    </row>
    <row r="4212">
      <c r="N4212" s="5"/>
    </row>
    <row r="4213">
      <c r="N4213" s="5"/>
    </row>
    <row r="4214">
      <c r="N4214" s="5"/>
    </row>
    <row r="4215">
      <c r="N4215" s="5"/>
    </row>
    <row r="4216">
      <c r="N4216" s="5"/>
    </row>
    <row r="4217">
      <c r="N4217" s="5"/>
    </row>
    <row r="4218">
      <c r="N4218" s="5"/>
    </row>
    <row r="4219">
      <c r="N4219" s="5"/>
    </row>
    <row r="4220">
      <c r="N4220" s="5"/>
    </row>
    <row r="4221">
      <c r="N4221" s="5"/>
    </row>
    <row r="4222">
      <c r="N4222" s="5"/>
    </row>
    <row r="4223">
      <c r="N4223" s="5"/>
    </row>
    <row r="4224">
      <c r="N4224" s="5"/>
    </row>
    <row r="4225">
      <c r="N4225" s="5"/>
    </row>
    <row r="4226">
      <c r="N4226" s="5"/>
    </row>
    <row r="4227">
      <c r="N4227" s="5"/>
    </row>
    <row r="4228">
      <c r="N4228" s="5"/>
    </row>
    <row r="4229">
      <c r="N4229" s="5"/>
    </row>
    <row r="4230">
      <c r="N4230" s="5"/>
    </row>
    <row r="4231">
      <c r="N4231" s="5"/>
    </row>
    <row r="4232">
      <c r="N4232" s="5"/>
    </row>
    <row r="4233">
      <c r="N4233" s="5"/>
    </row>
    <row r="4234">
      <c r="N4234" s="5"/>
    </row>
    <row r="4235">
      <c r="N4235" s="5"/>
    </row>
    <row r="4236">
      <c r="N4236" s="5"/>
    </row>
    <row r="4237">
      <c r="N4237" s="5"/>
    </row>
    <row r="4238">
      <c r="N4238" s="5"/>
    </row>
    <row r="4239">
      <c r="N4239" s="5"/>
    </row>
    <row r="4240">
      <c r="N4240" s="5"/>
    </row>
    <row r="4241">
      <c r="N4241" s="5"/>
    </row>
    <row r="4242">
      <c r="N4242" s="5"/>
    </row>
    <row r="4243">
      <c r="N4243" s="5"/>
    </row>
    <row r="4244">
      <c r="N4244" s="5"/>
    </row>
    <row r="4245">
      <c r="N4245" s="5"/>
    </row>
    <row r="4246">
      <c r="N4246" s="5"/>
    </row>
    <row r="4247">
      <c r="N4247" s="5"/>
    </row>
    <row r="4248">
      <c r="N4248" s="5"/>
    </row>
    <row r="4249">
      <c r="N4249" s="5"/>
    </row>
    <row r="4250">
      <c r="N4250" s="5"/>
    </row>
    <row r="4251">
      <c r="N4251" s="5"/>
    </row>
    <row r="4252">
      <c r="N4252" s="5"/>
    </row>
    <row r="4253">
      <c r="N4253" s="5"/>
    </row>
    <row r="4254">
      <c r="N4254" s="5"/>
    </row>
    <row r="4255">
      <c r="N4255" s="5"/>
    </row>
    <row r="4256">
      <c r="N4256" s="5"/>
    </row>
    <row r="4257">
      <c r="N4257" s="5"/>
    </row>
    <row r="4258">
      <c r="N4258" s="5"/>
    </row>
    <row r="4259">
      <c r="N4259" s="5"/>
    </row>
    <row r="4260">
      <c r="N4260" s="5"/>
    </row>
    <row r="4261">
      <c r="N4261" s="5"/>
    </row>
    <row r="4262">
      <c r="N4262" s="5"/>
    </row>
    <row r="4263">
      <c r="N4263" s="5"/>
    </row>
    <row r="4264">
      <c r="N4264" s="5"/>
    </row>
    <row r="4265">
      <c r="N4265" s="5"/>
    </row>
    <row r="4266">
      <c r="N4266" s="5"/>
    </row>
    <row r="4267">
      <c r="N4267" s="5"/>
    </row>
    <row r="4268">
      <c r="N4268" s="5"/>
    </row>
    <row r="4269">
      <c r="N4269" s="5"/>
    </row>
    <row r="4270">
      <c r="N4270" s="5"/>
    </row>
    <row r="4271">
      <c r="N4271" s="5"/>
    </row>
    <row r="4272">
      <c r="N4272" s="5"/>
    </row>
    <row r="4273">
      <c r="N4273" s="5"/>
    </row>
    <row r="4274">
      <c r="N4274" s="5"/>
    </row>
    <row r="4275">
      <c r="N4275" s="5"/>
    </row>
    <row r="4276">
      <c r="N4276" s="5"/>
    </row>
    <row r="4277">
      <c r="N4277" s="5"/>
    </row>
    <row r="4278">
      <c r="N4278" s="5"/>
    </row>
    <row r="4279">
      <c r="N4279" s="5"/>
    </row>
    <row r="4280">
      <c r="N4280" s="5"/>
    </row>
    <row r="4281">
      <c r="N4281" s="5"/>
    </row>
    <row r="4282">
      <c r="N4282" s="5"/>
    </row>
    <row r="4283">
      <c r="N4283" s="5"/>
    </row>
    <row r="4284">
      <c r="N4284" s="5"/>
    </row>
    <row r="4285">
      <c r="N4285" s="5"/>
    </row>
    <row r="4286">
      <c r="N4286" s="5"/>
    </row>
    <row r="4287">
      <c r="N4287" s="5"/>
    </row>
    <row r="4288">
      <c r="N4288" s="5"/>
    </row>
    <row r="4289">
      <c r="N4289" s="5"/>
    </row>
    <row r="4290">
      <c r="N4290" s="5"/>
    </row>
    <row r="4291">
      <c r="N4291" s="5"/>
    </row>
    <row r="4292">
      <c r="N4292" s="5"/>
    </row>
    <row r="4293">
      <c r="N4293" s="5"/>
    </row>
    <row r="4294">
      <c r="N4294" s="5"/>
    </row>
    <row r="4295">
      <c r="N4295" s="5"/>
    </row>
    <row r="4296">
      <c r="N4296" s="5"/>
    </row>
    <row r="4297">
      <c r="N4297" s="5"/>
    </row>
    <row r="4298">
      <c r="N4298" s="5"/>
    </row>
    <row r="4299">
      <c r="N4299" s="5"/>
    </row>
    <row r="4300">
      <c r="N4300" s="5"/>
    </row>
    <row r="4301">
      <c r="N4301" s="5"/>
    </row>
    <row r="4302">
      <c r="N4302" s="5"/>
    </row>
    <row r="4303">
      <c r="N4303" s="5"/>
    </row>
    <row r="4304">
      <c r="N4304" s="5"/>
    </row>
    <row r="4305">
      <c r="N4305" s="5"/>
    </row>
    <row r="4306">
      <c r="N4306" s="5"/>
    </row>
    <row r="4307">
      <c r="N4307" s="5"/>
    </row>
    <row r="4308">
      <c r="N4308" s="5"/>
    </row>
    <row r="4309">
      <c r="N4309" s="5"/>
    </row>
    <row r="4310">
      <c r="N4310" s="5"/>
    </row>
    <row r="4311">
      <c r="N4311" s="5"/>
    </row>
    <row r="4312">
      <c r="N4312" s="5"/>
    </row>
    <row r="4313">
      <c r="N4313" s="5"/>
    </row>
    <row r="4314">
      <c r="N4314" s="5"/>
    </row>
    <row r="4315">
      <c r="N4315" s="5"/>
    </row>
    <row r="4316">
      <c r="N4316" s="5"/>
    </row>
    <row r="4317">
      <c r="N4317" s="5"/>
    </row>
    <row r="4318">
      <c r="N4318" s="5"/>
    </row>
    <row r="4319">
      <c r="N4319" s="5"/>
    </row>
    <row r="4320">
      <c r="N4320" s="5"/>
    </row>
    <row r="4321">
      <c r="N4321" s="5"/>
    </row>
    <row r="4322">
      <c r="N4322" s="5"/>
    </row>
    <row r="4323">
      <c r="N4323" s="5"/>
    </row>
    <row r="4324">
      <c r="N4324" s="5"/>
    </row>
    <row r="4325">
      <c r="N4325" s="5"/>
    </row>
    <row r="4326">
      <c r="N4326" s="5"/>
    </row>
    <row r="4327">
      <c r="N4327" s="5"/>
    </row>
    <row r="4328">
      <c r="N4328" s="5"/>
    </row>
    <row r="4329">
      <c r="N4329" s="5"/>
    </row>
    <row r="4330">
      <c r="N4330" s="5"/>
    </row>
    <row r="4331">
      <c r="N4331" s="5"/>
    </row>
    <row r="4332">
      <c r="N4332" s="5"/>
    </row>
    <row r="4333">
      <c r="N4333" s="5"/>
    </row>
    <row r="4334">
      <c r="N4334" s="5"/>
    </row>
    <row r="4335">
      <c r="N4335" s="5"/>
    </row>
    <row r="4336">
      <c r="N4336" s="5"/>
    </row>
    <row r="4337">
      <c r="N4337" s="5"/>
    </row>
    <row r="4338">
      <c r="N4338" s="5"/>
    </row>
    <row r="4339">
      <c r="N4339" s="5"/>
    </row>
    <row r="4340">
      <c r="N4340" s="5"/>
    </row>
    <row r="4341">
      <c r="N4341" s="5"/>
    </row>
    <row r="4342">
      <c r="N4342" s="5"/>
    </row>
    <row r="4343">
      <c r="N4343" s="5"/>
    </row>
    <row r="4344">
      <c r="N4344" s="5"/>
    </row>
    <row r="4345">
      <c r="N4345" s="5"/>
    </row>
    <row r="4346">
      <c r="N4346" s="5"/>
    </row>
    <row r="4347">
      <c r="N4347" s="5"/>
    </row>
    <row r="4348">
      <c r="N4348" s="5"/>
    </row>
    <row r="4349">
      <c r="N4349" s="5"/>
    </row>
    <row r="4350">
      <c r="N4350" s="5"/>
    </row>
    <row r="4351">
      <c r="N4351" s="5"/>
    </row>
    <row r="4352">
      <c r="N4352" s="5"/>
    </row>
    <row r="4353">
      <c r="N4353" s="5"/>
    </row>
    <row r="4354">
      <c r="N4354" s="5"/>
    </row>
    <row r="4355">
      <c r="N4355" s="5"/>
    </row>
    <row r="4356">
      <c r="N4356" s="5"/>
    </row>
    <row r="4357">
      <c r="N4357" s="5"/>
    </row>
    <row r="4358">
      <c r="N4358" s="5"/>
    </row>
    <row r="4359">
      <c r="N4359" s="5"/>
    </row>
    <row r="4360">
      <c r="N4360" s="5"/>
    </row>
    <row r="4361">
      <c r="N4361" s="5"/>
    </row>
    <row r="4362">
      <c r="N4362" s="5"/>
    </row>
    <row r="4363">
      <c r="N4363" s="5"/>
    </row>
    <row r="4364">
      <c r="N4364" s="5"/>
    </row>
    <row r="4365">
      <c r="N4365" s="5"/>
    </row>
    <row r="4366">
      <c r="N4366" s="5"/>
    </row>
    <row r="4367">
      <c r="N4367" s="5"/>
    </row>
    <row r="4368">
      <c r="N4368" s="5"/>
    </row>
    <row r="4369">
      <c r="N4369" s="5"/>
    </row>
    <row r="4370">
      <c r="N4370" s="5"/>
    </row>
    <row r="4371">
      <c r="N4371" s="5"/>
    </row>
    <row r="4372">
      <c r="N4372" s="5"/>
    </row>
    <row r="4373">
      <c r="N4373" s="5"/>
    </row>
    <row r="4374">
      <c r="N4374" s="5"/>
    </row>
    <row r="4375">
      <c r="N4375" s="5"/>
    </row>
    <row r="4376">
      <c r="N4376" s="5"/>
    </row>
    <row r="4377">
      <c r="N4377" s="5"/>
    </row>
    <row r="4378">
      <c r="N4378" s="5"/>
    </row>
    <row r="4379">
      <c r="N4379" s="5"/>
    </row>
    <row r="4380">
      <c r="N4380" s="5"/>
    </row>
    <row r="4381">
      <c r="N4381" s="5"/>
    </row>
    <row r="4382">
      <c r="N4382" s="5"/>
    </row>
    <row r="4383">
      <c r="N4383" s="5"/>
    </row>
    <row r="4384">
      <c r="N4384" s="5"/>
    </row>
    <row r="4385">
      <c r="N4385" s="5"/>
    </row>
    <row r="4386">
      <c r="N4386" s="5"/>
    </row>
    <row r="4387">
      <c r="N4387" s="5"/>
    </row>
    <row r="4388">
      <c r="N4388" s="5"/>
    </row>
    <row r="4389">
      <c r="N4389" s="5"/>
    </row>
    <row r="4390">
      <c r="N4390" s="5"/>
    </row>
    <row r="4391">
      <c r="N4391" s="5"/>
    </row>
    <row r="4392">
      <c r="N4392" s="5"/>
    </row>
    <row r="4393">
      <c r="N4393" s="5"/>
    </row>
    <row r="4394">
      <c r="N4394" s="5"/>
    </row>
    <row r="4395">
      <c r="N4395" s="5"/>
    </row>
    <row r="4396">
      <c r="N4396" s="5"/>
    </row>
    <row r="4397">
      <c r="N4397" s="5"/>
    </row>
    <row r="4398">
      <c r="N4398" s="5"/>
    </row>
    <row r="4399">
      <c r="N4399" s="5"/>
    </row>
    <row r="4400">
      <c r="N4400" s="5"/>
    </row>
    <row r="4401">
      <c r="N4401" s="5"/>
    </row>
    <row r="4402">
      <c r="N4402" s="5"/>
    </row>
    <row r="4403">
      <c r="N4403" s="5"/>
    </row>
    <row r="4404">
      <c r="N4404" s="5"/>
    </row>
    <row r="4405">
      <c r="N4405" s="5"/>
    </row>
    <row r="4406">
      <c r="N4406" s="5"/>
    </row>
    <row r="4407">
      <c r="N4407" s="5"/>
    </row>
    <row r="4408">
      <c r="N4408" s="5"/>
    </row>
    <row r="4409">
      <c r="N4409" s="5"/>
    </row>
    <row r="4410">
      <c r="N4410" s="5"/>
    </row>
    <row r="4411">
      <c r="N4411" s="5"/>
    </row>
    <row r="4412">
      <c r="N4412" s="5"/>
    </row>
    <row r="4413">
      <c r="N4413" s="5"/>
    </row>
    <row r="4414">
      <c r="N4414" s="5"/>
    </row>
    <row r="4415">
      <c r="N4415" s="5"/>
    </row>
    <row r="4416">
      <c r="N4416" s="5"/>
    </row>
    <row r="4417">
      <c r="N4417" s="5"/>
    </row>
    <row r="4418">
      <c r="N4418" s="5"/>
    </row>
    <row r="4419">
      <c r="N4419" s="5"/>
    </row>
    <row r="4420">
      <c r="N4420" s="5"/>
    </row>
    <row r="4421">
      <c r="N4421" s="5"/>
    </row>
    <row r="4422">
      <c r="N4422" s="5"/>
    </row>
    <row r="4423">
      <c r="N4423" s="5"/>
    </row>
    <row r="4424">
      <c r="N4424" s="5"/>
    </row>
    <row r="4425">
      <c r="N4425" s="5"/>
    </row>
    <row r="4426">
      <c r="N4426" s="5"/>
    </row>
    <row r="4427">
      <c r="N4427" s="5"/>
    </row>
    <row r="4428">
      <c r="N4428" s="5"/>
    </row>
    <row r="4429">
      <c r="N4429" s="5"/>
    </row>
    <row r="4430">
      <c r="N4430" s="5"/>
    </row>
    <row r="4431">
      <c r="N4431" s="5"/>
    </row>
    <row r="4432">
      <c r="N4432" s="5"/>
    </row>
    <row r="4433">
      <c r="N4433" s="5"/>
    </row>
    <row r="4434">
      <c r="N4434" s="5"/>
    </row>
    <row r="4435">
      <c r="N4435" s="5"/>
    </row>
    <row r="4436">
      <c r="N4436" s="5"/>
    </row>
    <row r="4437">
      <c r="N4437" s="5"/>
    </row>
    <row r="4438">
      <c r="N4438" s="5"/>
    </row>
    <row r="4439">
      <c r="N4439" s="5"/>
    </row>
    <row r="4440">
      <c r="N4440" s="5"/>
    </row>
    <row r="4441">
      <c r="N4441" s="5"/>
    </row>
    <row r="4442">
      <c r="N4442" s="5"/>
    </row>
    <row r="4443">
      <c r="N4443" s="5"/>
    </row>
    <row r="4444">
      <c r="N4444" s="5"/>
    </row>
    <row r="4445">
      <c r="N4445" s="5"/>
    </row>
    <row r="4446">
      <c r="N4446" s="5"/>
    </row>
    <row r="4447">
      <c r="N4447" s="5"/>
    </row>
    <row r="4448">
      <c r="N4448" s="5"/>
    </row>
    <row r="4449">
      <c r="N4449" s="5"/>
    </row>
    <row r="4450">
      <c r="N4450" s="5"/>
    </row>
    <row r="4451">
      <c r="N4451" s="5"/>
    </row>
    <row r="4452">
      <c r="N4452" s="5"/>
    </row>
    <row r="4453">
      <c r="N4453" s="5"/>
    </row>
    <row r="4454">
      <c r="N4454" s="5"/>
    </row>
    <row r="4455">
      <c r="N4455" s="5"/>
    </row>
    <row r="4456">
      <c r="N4456" s="5"/>
    </row>
    <row r="4457">
      <c r="N4457" s="5"/>
    </row>
    <row r="4458">
      <c r="N4458" s="5"/>
    </row>
    <row r="4459">
      <c r="N4459" s="5"/>
    </row>
    <row r="4460">
      <c r="N4460" s="5"/>
    </row>
    <row r="4461">
      <c r="N4461" s="5"/>
    </row>
    <row r="4462">
      <c r="N4462" s="5"/>
    </row>
    <row r="4463">
      <c r="N4463" s="5"/>
    </row>
    <row r="4464">
      <c r="N4464" s="5"/>
    </row>
    <row r="4465">
      <c r="N4465" s="5"/>
    </row>
    <row r="4466">
      <c r="N4466" s="5"/>
    </row>
    <row r="4467">
      <c r="N4467" s="5"/>
    </row>
    <row r="4468">
      <c r="N4468" s="5"/>
    </row>
    <row r="4469">
      <c r="N4469" s="5"/>
    </row>
    <row r="4470">
      <c r="N4470" s="5"/>
    </row>
    <row r="4471">
      <c r="N4471" s="5"/>
    </row>
    <row r="4472">
      <c r="N4472" s="5"/>
    </row>
    <row r="4473">
      <c r="N4473" s="5"/>
    </row>
    <row r="4474">
      <c r="N4474" s="5"/>
    </row>
    <row r="4475">
      <c r="N4475" s="5"/>
    </row>
    <row r="4476">
      <c r="N4476" s="5"/>
    </row>
    <row r="4477">
      <c r="N4477" s="5"/>
    </row>
    <row r="4478">
      <c r="N4478" s="5"/>
    </row>
    <row r="4479">
      <c r="N4479" s="5"/>
    </row>
    <row r="4480">
      <c r="N4480" s="5"/>
    </row>
    <row r="4481">
      <c r="N4481" s="5"/>
    </row>
    <row r="4482">
      <c r="N4482" s="5"/>
    </row>
    <row r="4483">
      <c r="N4483" s="5"/>
    </row>
    <row r="4484">
      <c r="N4484" s="5"/>
    </row>
    <row r="4485">
      <c r="N4485" s="5"/>
    </row>
    <row r="4486">
      <c r="N4486" s="5"/>
    </row>
    <row r="4487">
      <c r="N4487" s="5"/>
    </row>
    <row r="4488">
      <c r="N4488" s="5"/>
    </row>
    <row r="4489">
      <c r="N4489" s="5"/>
    </row>
    <row r="4490">
      <c r="N4490" s="5"/>
    </row>
    <row r="4491">
      <c r="N4491" s="5"/>
    </row>
    <row r="4492">
      <c r="N4492" s="5"/>
    </row>
    <row r="4493">
      <c r="N4493" s="5"/>
    </row>
    <row r="4494">
      <c r="N4494" s="5"/>
    </row>
    <row r="4495">
      <c r="N4495" s="5"/>
    </row>
    <row r="4496">
      <c r="N4496" s="5"/>
    </row>
    <row r="4497">
      <c r="N4497" s="5"/>
    </row>
    <row r="4498">
      <c r="N4498" s="5"/>
    </row>
    <row r="4499">
      <c r="N4499" s="5"/>
    </row>
    <row r="4500">
      <c r="N4500" s="5"/>
    </row>
    <row r="4501">
      <c r="N4501" s="5"/>
    </row>
    <row r="4502">
      <c r="N4502" s="5"/>
    </row>
    <row r="4503">
      <c r="N4503" s="5"/>
    </row>
    <row r="4504">
      <c r="N4504" s="5"/>
    </row>
    <row r="4505">
      <c r="N4505" s="5"/>
    </row>
    <row r="4506">
      <c r="N4506" s="5"/>
    </row>
    <row r="4507">
      <c r="N4507" s="5"/>
    </row>
    <row r="4508">
      <c r="N4508" s="5"/>
    </row>
    <row r="4509">
      <c r="N4509" s="5"/>
    </row>
    <row r="4510">
      <c r="N4510" s="5"/>
    </row>
    <row r="4511">
      <c r="N4511" s="5"/>
    </row>
    <row r="4512">
      <c r="N4512" s="5"/>
    </row>
    <row r="4513">
      <c r="N4513" s="5"/>
    </row>
    <row r="4514">
      <c r="N4514" s="5"/>
    </row>
    <row r="4515">
      <c r="N4515" s="5"/>
    </row>
    <row r="4516">
      <c r="N4516" s="5"/>
    </row>
    <row r="4517">
      <c r="N4517" s="5"/>
    </row>
    <row r="4518">
      <c r="N4518" s="5"/>
    </row>
    <row r="4519">
      <c r="N4519" s="5"/>
    </row>
    <row r="4520">
      <c r="N4520" s="5"/>
    </row>
    <row r="4521">
      <c r="N4521" s="5"/>
    </row>
    <row r="4522">
      <c r="N4522" s="5"/>
    </row>
    <row r="4523">
      <c r="N4523" s="5"/>
    </row>
    <row r="4524">
      <c r="N4524" s="5"/>
    </row>
    <row r="4525">
      <c r="N4525" s="5"/>
    </row>
    <row r="4526">
      <c r="N4526" s="5"/>
    </row>
    <row r="4527">
      <c r="N4527" s="5"/>
    </row>
    <row r="4528">
      <c r="N4528" s="5"/>
    </row>
    <row r="4529">
      <c r="N4529" s="5"/>
    </row>
    <row r="4530">
      <c r="N4530" s="5"/>
    </row>
    <row r="4531">
      <c r="N4531" s="5"/>
    </row>
    <row r="4532">
      <c r="N4532" s="5"/>
    </row>
    <row r="4533">
      <c r="N4533" s="5"/>
    </row>
    <row r="4534">
      <c r="N4534" s="5"/>
    </row>
    <row r="4535">
      <c r="N4535" s="5"/>
    </row>
    <row r="4536">
      <c r="N4536" s="5"/>
    </row>
    <row r="4537">
      <c r="N4537" s="5"/>
    </row>
    <row r="4538">
      <c r="N4538" s="5"/>
    </row>
    <row r="4539">
      <c r="N4539" s="5"/>
    </row>
    <row r="4540">
      <c r="N4540" s="5"/>
    </row>
    <row r="4541">
      <c r="N4541" s="5"/>
    </row>
    <row r="4542">
      <c r="N4542" s="5"/>
    </row>
    <row r="4543">
      <c r="N4543" s="5"/>
    </row>
    <row r="4544">
      <c r="N4544" s="5"/>
    </row>
    <row r="4545">
      <c r="N4545" s="5"/>
    </row>
    <row r="4546">
      <c r="N4546" s="5"/>
    </row>
    <row r="4547">
      <c r="N4547" s="5"/>
    </row>
    <row r="4548">
      <c r="N4548" s="5"/>
    </row>
    <row r="4549">
      <c r="N4549" s="5"/>
    </row>
    <row r="4550">
      <c r="N4550" s="5"/>
    </row>
    <row r="4551">
      <c r="N4551" s="5"/>
    </row>
    <row r="4552">
      <c r="N4552" s="5"/>
    </row>
    <row r="4553">
      <c r="N4553" s="5"/>
    </row>
    <row r="4554">
      <c r="N4554" s="5"/>
    </row>
    <row r="4555">
      <c r="N4555" s="5"/>
    </row>
    <row r="4556">
      <c r="N4556" s="5"/>
    </row>
    <row r="4557">
      <c r="N4557" s="5"/>
    </row>
    <row r="4558">
      <c r="N4558" s="5"/>
    </row>
    <row r="4559">
      <c r="N4559" s="5"/>
    </row>
    <row r="4560">
      <c r="N4560" s="5"/>
    </row>
    <row r="4561">
      <c r="N4561" s="5"/>
    </row>
    <row r="4562">
      <c r="N4562" s="5"/>
    </row>
    <row r="4563">
      <c r="N4563" s="5"/>
    </row>
    <row r="4564">
      <c r="N4564" s="5"/>
    </row>
    <row r="4565">
      <c r="N4565" s="5"/>
    </row>
    <row r="4566">
      <c r="N4566" s="5"/>
    </row>
    <row r="4567">
      <c r="N4567" s="5"/>
    </row>
    <row r="4568">
      <c r="N4568" s="5"/>
    </row>
    <row r="4569">
      <c r="N4569" s="5"/>
    </row>
    <row r="4570">
      <c r="N4570" s="5"/>
    </row>
    <row r="4571">
      <c r="N4571" s="5"/>
    </row>
    <row r="4572">
      <c r="N4572" s="5"/>
    </row>
    <row r="4573">
      <c r="N4573" s="5"/>
    </row>
    <row r="4574">
      <c r="N4574" s="5"/>
    </row>
    <row r="4575">
      <c r="N4575" s="5"/>
    </row>
    <row r="4576">
      <c r="N4576" s="5"/>
    </row>
    <row r="4577">
      <c r="N4577" s="5"/>
    </row>
    <row r="4578">
      <c r="N4578" s="5"/>
    </row>
    <row r="4579">
      <c r="N4579" s="5"/>
    </row>
    <row r="4580">
      <c r="N4580" s="5"/>
    </row>
    <row r="4581">
      <c r="N4581" s="5"/>
    </row>
    <row r="4582">
      <c r="N4582" s="5"/>
    </row>
    <row r="4583">
      <c r="N4583" s="5"/>
    </row>
    <row r="4584">
      <c r="N4584" s="5"/>
    </row>
    <row r="4585">
      <c r="N4585" s="5"/>
    </row>
    <row r="4586">
      <c r="N4586" s="5"/>
    </row>
    <row r="4587">
      <c r="N4587" s="5"/>
    </row>
    <row r="4588">
      <c r="N4588" s="5"/>
    </row>
    <row r="4589">
      <c r="N4589" s="5"/>
    </row>
    <row r="4590">
      <c r="N4590" s="5"/>
    </row>
    <row r="4591">
      <c r="N4591" s="5"/>
    </row>
    <row r="4592">
      <c r="N4592" s="5"/>
    </row>
    <row r="4593">
      <c r="N4593" s="5"/>
    </row>
    <row r="4594">
      <c r="N4594" s="5"/>
    </row>
    <row r="4595">
      <c r="N4595" s="5"/>
    </row>
    <row r="4596">
      <c r="N4596" s="5"/>
    </row>
    <row r="4597">
      <c r="N4597" s="5"/>
    </row>
    <row r="4598">
      <c r="N4598" s="5"/>
    </row>
    <row r="4599">
      <c r="N4599" s="5"/>
    </row>
    <row r="4600">
      <c r="N4600" s="5"/>
    </row>
    <row r="4601">
      <c r="N4601" s="5"/>
    </row>
    <row r="4602">
      <c r="N4602" s="5"/>
    </row>
    <row r="4603">
      <c r="N4603" s="5"/>
    </row>
    <row r="4604">
      <c r="N4604" s="5"/>
    </row>
    <row r="4605">
      <c r="N4605" s="5"/>
    </row>
    <row r="4606">
      <c r="N4606" s="5"/>
    </row>
    <row r="4607">
      <c r="N4607" s="5"/>
    </row>
    <row r="4608">
      <c r="N4608" s="5"/>
    </row>
    <row r="4609">
      <c r="N4609" s="5"/>
    </row>
    <row r="4610">
      <c r="N4610" s="5"/>
    </row>
    <row r="4611">
      <c r="N4611" s="5"/>
    </row>
    <row r="4612">
      <c r="N4612" s="5"/>
    </row>
    <row r="4613">
      <c r="N4613" s="5"/>
    </row>
    <row r="4614">
      <c r="N4614" s="5"/>
    </row>
    <row r="4615">
      <c r="N4615" s="5"/>
    </row>
    <row r="4616">
      <c r="N4616" s="5"/>
    </row>
    <row r="4617">
      <c r="N4617" s="5"/>
    </row>
    <row r="4618">
      <c r="N4618" s="5"/>
    </row>
    <row r="4619">
      <c r="N4619" s="5"/>
    </row>
    <row r="4620">
      <c r="N4620" s="5"/>
    </row>
    <row r="4621">
      <c r="N4621" s="5"/>
    </row>
    <row r="4622">
      <c r="N4622" s="5"/>
    </row>
    <row r="4623">
      <c r="N4623" s="5"/>
    </row>
    <row r="4624">
      <c r="N4624" s="5"/>
    </row>
    <row r="4625">
      <c r="N4625" s="5"/>
    </row>
    <row r="4626">
      <c r="N4626" s="5"/>
    </row>
    <row r="4627">
      <c r="N4627" s="5"/>
    </row>
    <row r="4628">
      <c r="N4628" s="5"/>
    </row>
    <row r="4629">
      <c r="N4629" s="5"/>
    </row>
    <row r="4630">
      <c r="N4630" s="5"/>
    </row>
    <row r="4631">
      <c r="N4631" s="5"/>
    </row>
    <row r="4632">
      <c r="N4632" s="5"/>
    </row>
    <row r="4633">
      <c r="N4633" s="5"/>
    </row>
    <row r="4634">
      <c r="N4634" s="5"/>
    </row>
    <row r="4635">
      <c r="N4635" s="5"/>
    </row>
    <row r="4636">
      <c r="N4636" s="5"/>
    </row>
    <row r="4637">
      <c r="N4637" s="5"/>
    </row>
    <row r="4638">
      <c r="N4638" s="5"/>
    </row>
    <row r="4639">
      <c r="N4639" s="5"/>
    </row>
    <row r="4640">
      <c r="N4640" s="5"/>
    </row>
    <row r="4641">
      <c r="N4641" s="5"/>
    </row>
    <row r="4642">
      <c r="N4642" s="5"/>
    </row>
    <row r="4643">
      <c r="N4643" s="5"/>
    </row>
    <row r="4644">
      <c r="N4644" s="5"/>
    </row>
    <row r="4645">
      <c r="N4645" s="5"/>
    </row>
    <row r="4646">
      <c r="N4646" s="5"/>
    </row>
    <row r="4647">
      <c r="N4647" s="5"/>
    </row>
    <row r="4648">
      <c r="N4648" s="5"/>
    </row>
    <row r="4649">
      <c r="N4649" s="5"/>
    </row>
    <row r="4650">
      <c r="N4650" s="5"/>
    </row>
    <row r="4651">
      <c r="N4651" s="5"/>
    </row>
    <row r="4652">
      <c r="N4652" s="5"/>
    </row>
    <row r="4653">
      <c r="N4653" s="5"/>
    </row>
    <row r="4654">
      <c r="N4654" s="5"/>
    </row>
    <row r="4655">
      <c r="N4655" s="5"/>
    </row>
    <row r="4656">
      <c r="N4656" s="5"/>
    </row>
    <row r="4657">
      <c r="N4657" s="5"/>
    </row>
    <row r="4658">
      <c r="N4658" s="5"/>
    </row>
    <row r="4659">
      <c r="N4659" s="5"/>
    </row>
    <row r="4660">
      <c r="N4660" s="5"/>
    </row>
    <row r="4661">
      <c r="N4661" s="5"/>
    </row>
    <row r="4662">
      <c r="N4662" s="5"/>
    </row>
    <row r="4663">
      <c r="N4663" s="5"/>
    </row>
    <row r="4664">
      <c r="N4664" s="5"/>
    </row>
    <row r="4665">
      <c r="N4665" s="5"/>
    </row>
    <row r="4666">
      <c r="N4666" s="5"/>
    </row>
    <row r="4667">
      <c r="N4667" s="5"/>
    </row>
    <row r="4668">
      <c r="N4668" s="5"/>
    </row>
    <row r="4669">
      <c r="N4669" s="5"/>
    </row>
    <row r="4670">
      <c r="N4670" s="5"/>
    </row>
    <row r="4671">
      <c r="N4671" s="5"/>
    </row>
    <row r="4672">
      <c r="N4672" s="5"/>
    </row>
    <row r="4673">
      <c r="N4673" s="5"/>
    </row>
    <row r="4674">
      <c r="N4674" s="5"/>
    </row>
    <row r="4675">
      <c r="N4675" s="5"/>
    </row>
    <row r="4676">
      <c r="N4676" s="5"/>
    </row>
    <row r="4677">
      <c r="N4677" s="5"/>
    </row>
    <row r="4678">
      <c r="N4678" s="5"/>
    </row>
    <row r="4679">
      <c r="N4679" s="5"/>
    </row>
    <row r="4680">
      <c r="N4680" s="5"/>
    </row>
    <row r="4681">
      <c r="N4681" s="5"/>
    </row>
    <row r="4682">
      <c r="N4682" s="5"/>
    </row>
    <row r="4683">
      <c r="N4683" s="5"/>
    </row>
    <row r="4684">
      <c r="N4684" s="5"/>
    </row>
    <row r="4685">
      <c r="N4685" s="5"/>
    </row>
    <row r="4686">
      <c r="N4686" s="5"/>
    </row>
    <row r="4687">
      <c r="N4687" s="5"/>
    </row>
    <row r="4688">
      <c r="N4688" s="5"/>
    </row>
    <row r="4689">
      <c r="N4689" s="5"/>
    </row>
    <row r="4690">
      <c r="N4690" s="5"/>
    </row>
    <row r="4691">
      <c r="N4691" s="5"/>
    </row>
    <row r="4692">
      <c r="N4692" s="5"/>
    </row>
    <row r="4693">
      <c r="N4693" s="5"/>
    </row>
    <row r="4694">
      <c r="N4694" s="5"/>
    </row>
    <row r="4695">
      <c r="N4695" s="5"/>
    </row>
    <row r="4696">
      <c r="N4696" s="5"/>
    </row>
    <row r="4697">
      <c r="N4697" s="5"/>
    </row>
    <row r="4698">
      <c r="N4698" s="5"/>
    </row>
    <row r="4699">
      <c r="N4699" s="5"/>
    </row>
    <row r="4700">
      <c r="N4700" s="5"/>
    </row>
    <row r="4701">
      <c r="N4701" s="5"/>
    </row>
    <row r="4702">
      <c r="N4702" s="5"/>
    </row>
    <row r="4703">
      <c r="N4703" s="5"/>
    </row>
    <row r="4704">
      <c r="N4704" s="5"/>
    </row>
    <row r="4705">
      <c r="N4705" s="5"/>
    </row>
    <row r="4706">
      <c r="N4706" s="5"/>
    </row>
    <row r="4707">
      <c r="N4707" s="5"/>
    </row>
    <row r="4708">
      <c r="N4708" s="5"/>
    </row>
    <row r="4709">
      <c r="N4709" s="5"/>
    </row>
    <row r="4710">
      <c r="N4710" s="5"/>
    </row>
    <row r="4711">
      <c r="N4711" s="5"/>
    </row>
    <row r="4712">
      <c r="N4712" s="5"/>
    </row>
    <row r="4713">
      <c r="N4713" s="5"/>
    </row>
    <row r="4714">
      <c r="N4714" s="5"/>
    </row>
    <row r="4715">
      <c r="N4715" s="5"/>
    </row>
    <row r="4716">
      <c r="N4716" s="5"/>
    </row>
    <row r="4717">
      <c r="N4717" s="5"/>
    </row>
    <row r="4718">
      <c r="N4718" s="5"/>
    </row>
    <row r="4719">
      <c r="N4719" s="5"/>
    </row>
    <row r="4720">
      <c r="N4720" s="5"/>
    </row>
    <row r="4721">
      <c r="N4721" s="5"/>
    </row>
    <row r="4722">
      <c r="N4722" s="5"/>
    </row>
    <row r="4723">
      <c r="N4723" s="5"/>
    </row>
    <row r="4724">
      <c r="N4724" s="5"/>
    </row>
    <row r="4725">
      <c r="N4725" s="5"/>
    </row>
    <row r="4726">
      <c r="N4726" s="5"/>
    </row>
    <row r="4727">
      <c r="N4727" s="5"/>
    </row>
    <row r="4728">
      <c r="N4728" s="5"/>
    </row>
    <row r="4729">
      <c r="N4729" s="5"/>
    </row>
    <row r="4730">
      <c r="N4730" s="5"/>
    </row>
    <row r="4731">
      <c r="N4731" s="5"/>
    </row>
    <row r="4732">
      <c r="N4732" s="5"/>
    </row>
    <row r="4733">
      <c r="N4733" s="5"/>
    </row>
    <row r="4734">
      <c r="N4734" s="5"/>
    </row>
    <row r="4735">
      <c r="N4735" s="5"/>
    </row>
    <row r="4736">
      <c r="N4736" s="5"/>
    </row>
    <row r="4737">
      <c r="N4737" s="5"/>
    </row>
    <row r="4738">
      <c r="N4738" s="5"/>
    </row>
    <row r="4739">
      <c r="N4739" s="5"/>
    </row>
    <row r="4740">
      <c r="N4740" s="5"/>
    </row>
    <row r="4741">
      <c r="N4741" s="5"/>
    </row>
    <row r="4742">
      <c r="N4742" s="5"/>
    </row>
    <row r="4743">
      <c r="N4743" s="5"/>
    </row>
    <row r="4744">
      <c r="N4744" s="5"/>
    </row>
    <row r="4745">
      <c r="N4745" s="5"/>
    </row>
    <row r="4746">
      <c r="N4746" s="5"/>
    </row>
    <row r="4747">
      <c r="N4747" s="5"/>
    </row>
    <row r="4748">
      <c r="N4748" s="5"/>
    </row>
    <row r="4749">
      <c r="N4749" s="5"/>
    </row>
    <row r="4750">
      <c r="N4750" s="5"/>
    </row>
    <row r="4751">
      <c r="N4751" s="5"/>
    </row>
    <row r="4752">
      <c r="N4752" s="5"/>
    </row>
    <row r="4753">
      <c r="N4753" s="5"/>
    </row>
    <row r="4754">
      <c r="N4754" s="5"/>
    </row>
    <row r="4755">
      <c r="N4755" s="5"/>
    </row>
    <row r="4756">
      <c r="N4756" s="5"/>
    </row>
    <row r="4757">
      <c r="N4757" s="5"/>
    </row>
    <row r="4758">
      <c r="N4758" s="5"/>
    </row>
    <row r="4759">
      <c r="N4759" s="5"/>
    </row>
    <row r="4760">
      <c r="N4760" s="5"/>
    </row>
    <row r="4761">
      <c r="N4761" s="5"/>
    </row>
    <row r="4762">
      <c r="N4762" s="5"/>
    </row>
    <row r="4763">
      <c r="N4763" s="5"/>
    </row>
    <row r="4764">
      <c r="N4764" s="5"/>
    </row>
    <row r="4765">
      <c r="N4765" s="5"/>
    </row>
    <row r="4766">
      <c r="N4766" s="5"/>
    </row>
    <row r="4767">
      <c r="N4767" s="5"/>
    </row>
    <row r="4768">
      <c r="N4768" s="5"/>
    </row>
    <row r="4769">
      <c r="N4769" s="5"/>
    </row>
    <row r="4770">
      <c r="N4770" s="5"/>
    </row>
    <row r="4771">
      <c r="N4771" s="5"/>
    </row>
    <row r="4772">
      <c r="N4772" s="5"/>
    </row>
    <row r="4773">
      <c r="N4773" s="5"/>
    </row>
    <row r="4774">
      <c r="N4774" s="5"/>
    </row>
    <row r="4775">
      <c r="N4775" s="5"/>
    </row>
    <row r="4776">
      <c r="N4776" s="5"/>
    </row>
    <row r="4777">
      <c r="N4777" s="5"/>
    </row>
    <row r="4778">
      <c r="N4778" s="5"/>
    </row>
    <row r="4779">
      <c r="N4779" s="5"/>
    </row>
    <row r="4780">
      <c r="N4780" s="5"/>
    </row>
    <row r="4781">
      <c r="N4781" s="5"/>
    </row>
    <row r="4782">
      <c r="N4782" s="5"/>
    </row>
    <row r="4783">
      <c r="N4783" s="5"/>
    </row>
    <row r="4784">
      <c r="N4784" s="5"/>
    </row>
    <row r="4785">
      <c r="N4785" s="5"/>
    </row>
    <row r="4786">
      <c r="N4786" s="5"/>
    </row>
    <row r="4787">
      <c r="N4787" s="5"/>
    </row>
    <row r="4788">
      <c r="N4788" s="5"/>
    </row>
    <row r="4789">
      <c r="N4789" s="5"/>
    </row>
    <row r="4790">
      <c r="N4790" s="5"/>
    </row>
    <row r="4791">
      <c r="N4791" s="5"/>
    </row>
    <row r="4792">
      <c r="N4792" s="5"/>
    </row>
    <row r="4793">
      <c r="N4793" s="5"/>
    </row>
    <row r="4794">
      <c r="N4794" s="5"/>
    </row>
    <row r="4795">
      <c r="N4795" s="5"/>
    </row>
    <row r="4796">
      <c r="N4796" s="5"/>
    </row>
    <row r="4797">
      <c r="N4797" s="5"/>
    </row>
    <row r="4798">
      <c r="N4798" s="5"/>
    </row>
    <row r="4799">
      <c r="N4799" s="5"/>
    </row>
    <row r="4800">
      <c r="N4800" s="5"/>
    </row>
    <row r="4801">
      <c r="N4801" s="5"/>
    </row>
    <row r="4802">
      <c r="N4802" s="5"/>
    </row>
    <row r="4803">
      <c r="N4803" s="5"/>
    </row>
    <row r="4804">
      <c r="N4804" s="5"/>
    </row>
    <row r="4805">
      <c r="N4805" s="5"/>
    </row>
    <row r="4806">
      <c r="N4806" s="5"/>
    </row>
    <row r="4807">
      <c r="N4807" s="5"/>
    </row>
    <row r="4808">
      <c r="N4808" s="5"/>
    </row>
    <row r="4809">
      <c r="N4809" s="5"/>
    </row>
    <row r="4810">
      <c r="N4810" s="5"/>
    </row>
    <row r="4811">
      <c r="N4811" s="5"/>
    </row>
    <row r="4812">
      <c r="N4812" s="5"/>
    </row>
    <row r="4813">
      <c r="N4813" s="5"/>
    </row>
    <row r="4814">
      <c r="N4814" s="5"/>
    </row>
    <row r="4815">
      <c r="N4815" s="5"/>
    </row>
    <row r="4816">
      <c r="N4816" s="5"/>
    </row>
    <row r="4817">
      <c r="N4817" s="5"/>
    </row>
    <row r="4818">
      <c r="N4818" s="5"/>
    </row>
    <row r="4819">
      <c r="N4819" s="5"/>
    </row>
    <row r="4820">
      <c r="N4820" s="5"/>
    </row>
    <row r="4821">
      <c r="N4821" s="5"/>
    </row>
    <row r="4822">
      <c r="N4822" s="5"/>
    </row>
    <row r="4823">
      <c r="N4823" s="5"/>
    </row>
    <row r="4824">
      <c r="N4824" s="5"/>
    </row>
    <row r="4825">
      <c r="N4825" s="5"/>
    </row>
    <row r="4826">
      <c r="N4826" s="5"/>
    </row>
    <row r="4827">
      <c r="N4827" s="5"/>
    </row>
    <row r="4828">
      <c r="N4828" s="5"/>
    </row>
    <row r="4829">
      <c r="N4829" s="5"/>
    </row>
    <row r="4830">
      <c r="N4830" s="5"/>
    </row>
    <row r="4831">
      <c r="N4831" s="5"/>
    </row>
    <row r="4832">
      <c r="N4832" s="5"/>
    </row>
    <row r="4833">
      <c r="N4833" s="5"/>
    </row>
    <row r="4834">
      <c r="N4834" s="5"/>
    </row>
    <row r="4835">
      <c r="N4835" s="5"/>
    </row>
    <row r="4836">
      <c r="N4836" s="5"/>
    </row>
    <row r="4837">
      <c r="N4837" s="5"/>
    </row>
    <row r="4838">
      <c r="N4838" s="5"/>
    </row>
    <row r="4839">
      <c r="N4839" s="5"/>
    </row>
    <row r="4840">
      <c r="N4840" s="5"/>
    </row>
    <row r="4841">
      <c r="N4841" s="5"/>
    </row>
    <row r="4842">
      <c r="N4842" s="5"/>
    </row>
    <row r="4843">
      <c r="N4843" s="5"/>
    </row>
    <row r="4844">
      <c r="N4844" s="5"/>
    </row>
    <row r="4845">
      <c r="N4845" s="5"/>
    </row>
    <row r="4846">
      <c r="N4846" s="5"/>
    </row>
    <row r="4847">
      <c r="N4847" s="5"/>
    </row>
    <row r="4848">
      <c r="N4848" s="5"/>
    </row>
    <row r="4849">
      <c r="N4849" s="5"/>
    </row>
    <row r="4850">
      <c r="N4850" s="5"/>
    </row>
    <row r="4851">
      <c r="N4851" s="5"/>
    </row>
    <row r="4852">
      <c r="N4852" s="5"/>
    </row>
    <row r="4853">
      <c r="N4853" s="5"/>
    </row>
    <row r="4854">
      <c r="N4854" s="5"/>
    </row>
    <row r="4855">
      <c r="N4855" s="5"/>
    </row>
    <row r="4856">
      <c r="N4856" s="5"/>
    </row>
    <row r="4857">
      <c r="N4857" s="5"/>
    </row>
    <row r="4858">
      <c r="N4858" s="5"/>
    </row>
    <row r="4859">
      <c r="N4859" s="5"/>
    </row>
    <row r="4860">
      <c r="N4860" s="5"/>
    </row>
    <row r="4861">
      <c r="N4861" s="5"/>
    </row>
    <row r="4862">
      <c r="N4862" s="5"/>
    </row>
    <row r="4863">
      <c r="N4863" s="5"/>
    </row>
    <row r="4864">
      <c r="N4864" s="5"/>
    </row>
    <row r="4865">
      <c r="N4865" s="5"/>
    </row>
    <row r="4866">
      <c r="N4866" s="5"/>
    </row>
    <row r="4867">
      <c r="N4867" s="5"/>
    </row>
    <row r="4868">
      <c r="N4868" s="5"/>
    </row>
    <row r="4869">
      <c r="N4869" s="5"/>
    </row>
    <row r="4870">
      <c r="N4870" s="5"/>
    </row>
    <row r="4871">
      <c r="N4871" s="5"/>
    </row>
    <row r="4872">
      <c r="N4872" s="5"/>
    </row>
    <row r="4873">
      <c r="N4873" s="5"/>
    </row>
    <row r="4874">
      <c r="N4874" s="5"/>
    </row>
    <row r="4875">
      <c r="N4875" s="5"/>
    </row>
    <row r="4876">
      <c r="N4876" s="5"/>
    </row>
    <row r="4877">
      <c r="N4877" s="5"/>
    </row>
    <row r="4878">
      <c r="N4878" s="5"/>
    </row>
    <row r="4879">
      <c r="N4879" s="5"/>
    </row>
    <row r="4880">
      <c r="N4880" s="5"/>
    </row>
    <row r="4881">
      <c r="N4881" s="5"/>
    </row>
    <row r="4882">
      <c r="N4882" s="5"/>
    </row>
    <row r="4883">
      <c r="N4883" s="5"/>
    </row>
    <row r="4884">
      <c r="N4884" s="5"/>
    </row>
    <row r="4885">
      <c r="N4885" s="5"/>
    </row>
    <row r="4886">
      <c r="N4886" s="5"/>
    </row>
    <row r="4887">
      <c r="N4887" s="5"/>
    </row>
    <row r="4888">
      <c r="N4888" s="5"/>
    </row>
    <row r="4889">
      <c r="N4889" s="5"/>
    </row>
    <row r="4890">
      <c r="N4890" s="5"/>
    </row>
    <row r="4891">
      <c r="N4891" s="5"/>
    </row>
    <row r="4892">
      <c r="N4892" s="5"/>
    </row>
    <row r="4893">
      <c r="N4893" s="5"/>
    </row>
    <row r="4894">
      <c r="N4894" s="5"/>
    </row>
    <row r="4895">
      <c r="N4895" s="5"/>
    </row>
    <row r="4896">
      <c r="N4896" s="5"/>
    </row>
    <row r="4897">
      <c r="N4897" s="5"/>
    </row>
    <row r="4898">
      <c r="N4898" s="5"/>
    </row>
    <row r="4899">
      <c r="N4899" s="5"/>
    </row>
    <row r="4900">
      <c r="N4900" s="5"/>
    </row>
    <row r="4901">
      <c r="N4901" s="5"/>
    </row>
    <row r="4902">
      <c r="N4902" s="5"/>
    </row>
    <row r="4903">
      <c r="N4903" s="5"/>
    </row>
    <row r="4904">
      <c r="N4904" s="5"/>
    </row>
    <row r="4905">
      <c r="N4905" s="5"/>
    </row>
    <row r="4906">
      <c r="N4906" s="5"/>
    </row>
    <row r="4907">
      <c r="N4907" s="5"/>
    </row>
    <row r="4908">
      <c r="N4908" s="5"/>
    </row>
    <row r="4909">
      <c r="N4909" s="5"/>
    </row>
    <row r="4910">
      <c r="N4910" s="5"/>
    </row>
    <row r="4911">
      <c r="N4911" s="5"/>
    </row>
    <row r="4912">
      <c r="N4912" s="5"/>
    </row>
    <row r="4913">
      <c r="N4913" s="5"/>
    </row>
    <row r="4914">
      <c r="N4914" s="5"/>
    </row>
    <row r="4915">
      <c r="N4915" s="5"/>
    </row>
    <row r="4916">
      <c r="N4916" s="5"/>
    </row>
    <row r="4917">
      <c r="N4917" s="5"/>
    </row>
    <row r="4918">
      <c r="N4918" s="5"/>
    </row>
    <row r="4919">
      <c r="N4919" s="5"/>
    </row>
    <row r="4920">
      <c r="N4920" s="5"/>
    </row>
    <row r="4921">
      <c r="N4921" s="5"/>
    </row>
    <row r="4922">
      <c r="N4922" s="5"/>
    </row>
    <row r="4923">
      <c r="N4923" s="5"/>
    </row>
    <row r="4924">
      <c r="N4924" s="5"/>
    </row>
    <row r="4925">
      <c r="N4925" s="5"/>
    </row>
    <row r="4926">
      <c r="N4926" s="5"/>
    </row>
    <row r="4927">
      <c r="N4927" s="5"/>
    </row>
    <row r="4928">
      <c r="N4928" s="5"/>
    </row>
    <row r="4929">
      <c r="N4929" s="5"/>
    </row>
    <row r="4930">
      <c r="N4930" s="5"/>
    </row>
    <row r="4931">
      <c r="N4931" s="5"/>
    </row>
    <row r="4932">
      <c r="N4932" s="5"/>
    </row>
    <row r="4933">
      <c r="N4933" s="5"/>
    </row>
    <row r="4934">
      <c r="N4934" s="5"/>
    </row>
    <row r="4935">
      <c r="N4935" s="5"/>
    </row>
    <row r="4936">
      <c r="N4936" s="5"/>
    </row>
    <row r="4937">
      <c r="N4937" s="5"/>
    </row>
    <row r="4938">
      <c r="N4938" s="5"/>
    </row>
    <row r="4939">
      <c r="N4939" s="5"/>
    </row>
    <row r="4940">
      <c r="N4940" s="5"/>
    </row>
    <row r="4941">
      <c r="N4941" s="5"/>
    </row>
    <row r="4942">
      <c r="N4942" s="5"/>
    </row>
    <row r="4943">
      <c r="N4943" s="5"/>
    </row>
    <row r="4944">
      <c r="N4944" s="5"/>
    </row>
    <row r="4945">
      <c r="N4945" s="5"/>
    </row>
    <row r="4946">
      <c r="N4946" s="5"/>
    </row>
    <row r="4947">
      <c r="N4947" s="5"/>
    </row>
    <row r="4948">
      <c r="N4948" s="5"/>
    </row>
    <row r="4949">
      <c r="N4949" s="5"/>
    </row>
    <row r="4950">
      <c r="N4950" s="5"/>
    </row>
    <row r="4951">
      <c r="N4951" s="5"/>
    </row>
    <row r="4952">
      <c r="N4952" s="5"/>
    </row>
    <row r="4953">
      <c r="N4953" s="5"/>
    </row>
    <row r="4954">
      <c r="N4954" s="5"/>
    </row>
    <row r="4955">
      <c r="N4955" s="5"/>
    </row>
    <row r="4956">
      <c r="N4956" s="5"/>
    </row>
    <row r="4957">
      <c r="N4957" s="5"/>
    </row>
    <row r="4958">
      <c r="N4958" s="5"/>
    </row>
    <row r="4959">
      <c r="N4959" s="5"/>
    </row>
    <row r="4960">
      <c r="N4960" s="5"/>
    </row>
    <row r="4961">
      <c r="N4961" s="5"/>
    </row>
    <row r="4962">
      <c r="N4962" s="5"/>
    </row>
    <row r="4963">
      <c r="N4963" s="5"/>
    </row>
    <row r="4964">
      <c r="N4964" s="5"/>
    </row>
    <row r="4965">
      <c r="N4965" s="5"/>
    </row>
    <row r="4966">
      <c r="N4966" s="5"/>
    </row>
    <row r="4967">
      <c r="N4967" s="5"/>
    </row>
    <row r="4968">
      <c r="N4968" s="5"/>
    </row>
    <row r="4969">
      <c r="N4969" s="5"/>
    </row>
    <row r="4970">
      <c r="N4970" s="5"/>
    </row>
    <row r="4971">
      <c r="N4971" s="5"/>
    </row>
    <row r="4972">
      <c r="N4972" s="5"/>
    </row>
    <row r="4973">
      <c r="N4973" s="5"/>
    </row>
    <row r="4974">
      <c r="N4974" s="5"/>
    </row>
    <row r="4975">
      <c r="N4975" s="5"/>
    </row>
    <row r="4976">
      <c r="N4976" s="5"/>
    </row>
    <row r="4977">
      <c r="N4977" s="5"/>
    </row>
    <row r="4978">
      <c r="N4978" s="5"/>
    </row>
    <row r="4979">
      <c r="N4979" s="5"/>
    </row>
    <row r="4980">
      <c r="N4980" s="5"/>
    </row>
    <row r="4981">
      <c r="N4981" s="5"/>
    </row>
    <row r="4982">
      <c r="N4982" s="5"/>
    </row>
    <row r="4983">
      <c r="N4983" s="5"/>
    </row>
    <row r="4984">
      <c r="N4984" s="5"/>
    </row>
    <row r="4985">
      <c r="N4985" s="5"/>
    </row>
    <row r="4986">
      <c r="N4986" s="5"/>
    </row>
    <row r="4987">
      <c r="N4987" s="5"/>
    </row>
    <row r="4988">
      <c r="N4988" s="5"/>
    </row>
    <row r="4989">
      <c r="N4989" s="5"/>
    </row>
    <row r="4990">
      <c r="N4990" s="5"/>
    </row>
    <row r="4991">
      <c r="N4991" s="5"/>
    </row>
    <row r="4992">
      <c r="N4992" s="5"/>
    </row>
    <row r="4993">
      <c r="N4993" s="5"/>
    </row>
    <row r="4994">
      <c r="N4994" s="5"/>
    </row>
    <row r="4995">
      <c r="N4995" s="5"/>
    </row>
    <row r="4996">
      <c r="N4996" s="5"/>
    </row>
    <row r="4997">
      <c r="N4997" s="5"/>
    </row>
    <row r="4998">
      <c r="N4998" s="5"/>
    </row>
    <row r="4999">
      <c r="N4999" s="5"/>
    </row>
    <row r="5000">
      <c r="N5000" s="5"/>
    </row>
    <row r="5001">
      <c r="N5001" s="5"/>
    </row>
    <row r="5002">
      <c r="N5002" s="5"/>
    </row>
    <row r="5003">
      <c r="N5003" s="5"/>
    </row>
    <row r="5004">
      <c r="N5004" s="5"/>
    </row>
    <row r="5005">
      <c r="N5005" s="5"/>
    </row>
    <row r="5006">
      <c r="N5006" s="5"/>
    </row>
    <row r="5007">
      <c r="N5007" s="5"/>
    </row>
    <row r="5008">
      <c r="N5008" s="5"/>
    </row>
    <row r="5009">
      <c r="N5009" s="5"/>
    </row>
    <row r="5010">
      <c r="N5010" s="5"/>
    </row>
    <row r="5011">
      <c r="N5011" s="5"/>
    </row>
    <row r="5012">
      <c r="N5012" s="5"/>
    </row>
    <row r="5013">
      <c r="N5013" s="5"/>
    </row>
    <row r="5014">
      <c r="N5014" s="5"/>
    </row>
    <row r="5015">
      <c r="N5015" s="5"/>
    </row>
    <row r="5016">
      <c r="N5016" s="5"/>
    </row>
    <row r="5017">
      <c r="N5017" s="5"/>
    </row>
    <row r="5018">
      <c r="N5018" s="5"/>
    </row>
    <row r="5019">
      <c r="N5019" s="5"/>
    </row>
    <row r="5020">
      <c r="N5020" s="5"/>
    </row>
    <row r="5021">
      <c r="N5021" s="5"/>
    </row>
    <row r="5022">
      <c r="N5022" s="5"/>
    </row>
    <row r="5023">
      <c r="N5023" s="5"/>
    </row>
    <row r="5024">
      <c r="N5024" s="5"/>
    </row>
    <row r="5025">
      <c r="N5025" s="5"/>
    </row>
    <row r="5026">
      <c r="N5026" s="5"/>
    </row>
    <row r="5027">
      <c r="N5027" s="5"/>
    </row>
    <row r="5028">
      <c r="N5028" s="5"/>
    </row>
    <row r="5029">
      <c r="N5029" s="5"/>
    </row>
    <row r="5030">
      <c r="N5030" s="5"/>
    </row>
    <row r="5031">
      <c r="N5031" s="5"/>
    </row>
    <row r="5032">
      <c r="N5032" s="5"/>
    </row>
    <row r="5033">
      <c r="N5033" s="5"/>
    </row>
    <row r="5034">
      <c r="N5034" s="5"/>
    </row>
    <row r="5035">
      <c r="N5035" s="5"/>
    </row>
    <row r="5036">
      <c r="N5036" s="5"/>
    </row>
    <row r="5037">
      <c r="N5037" s="5"/>
    </row>
    <row r="5038">
      <c r="N5038" s="5"/>
    </row>
    <row r="5039">
      <c r="N5039" s="5"/>
    </row>
    <row r="5040">
      <c r="N5040" s="5"/>
    </row>
    <row r="5041">
      <c r="N5041" s="5"/>
    </row>
    <row r="5042">
      <c r="N5042" s="5"/>
    </row>
    <row r="5043">
      <c r="N5043" s="5"/>
    </row>
    <row r="5044">
      <c r="N5044" s="5"/>
    </row>
    <row r="5045">
      <c r="N5045" s="5"/>
    </row>
    <row r="5046">
      <c r="N5046" s="5"/>
    </row>
    <row r="5047">
      <c r="N5047" s="5"/>
    </row>
    <row r="5048">
      <c r="N5048" s="5"/>
    </row>
    <row r="5049">
      <c r="N5049" s="5"/>
    </row>
    <row r="5050">
      <c r="N5050" s="5"/>
    </row>
    <row r="5051">
      <c r="N5051" s="5"/>
    </row>
    <row r="5052">
      <c r="N5052" s="5"/>
    </row>
    <row r="5053">
      <c r="N5053" s="5"/>
    </row>
    <row r="5054">
      <c r="N5054" s="5"/>
    </row>
    <row r="5055">
      <c r="N5055" s="5"/>
    </row>
    <row r="5056">
      <c r="N5056" s="5"/>
    </row>
    <row r="5057">
      <c r="N5057" s="5"/>
    </row>
    <row r="5058">
      <c r="N5058" s="5"/>
    </row>
    <row r="5059">
      <c r="I5059" s="4"/>
      <c r="N5059" s="5"/>
    </row>
    <row r="5060">
      <c r="N5060" s="5"/>
    </row>
    <row r="5061">
      <c r="N5061" s="5"/>
    </row>
    <row r="5062">
      <c r="N5062" s="5"/>
    </row>
    <row r="5063">
      <c r="N5063" s="5"/>
    </row>
    <row r="5064">
      <c r="N5064" s="5"/>
    </row>
    <row r="5065">
      <c r="N5065" s="5"/>
    </row>
    <row r="5066">
      <c r="N5066" s="5"/>
    </row>
    <row r="5067">
      <c r="N5067" s="5"/>
    </row>
    <row r="5068">
      <c r="N5068" s="5"/>
    </row>
    <row r="5069">
      <c r="N5069" s="5"/>
    </row>
    <row r="5070">
      <c r="N5070" s="5"/>
    </row>
    <row r="5071">
      <c r="N5071" s="5"/>
    </row>
    <row r="5072">
      <c r="N5072" s="5"/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  <row r="8603">
      <c r="N8603" s="5"/>
    </row>
    <row r="8604">
      <c r="N8604" s="5"/>
    </row>
    <row r="8605">
      <c r="N8605" s="5"/>
    </row>
    <row r="8606">
      <c r="N8606" s="5"/>
    </row>
    <row r="8607">
      <c r="N8607" s="5"/>
    </row>
    <row r="8608">
      <c r="N8608" s="5"/>
    </row>
    <row r="8609">
      <c r="N8609" s="5"/>
    </row>
    <row r="8610">
      <c r="N8610" s="5"/>
    </row>
    <row r="8611">
      <c r="N8611" s="5"/>
    </row>
    <row r="8612">
      <c r="N8612" s="5"/>
    </row>
    <row r="8613">
      <c r="N8613" s="5"/>
    </row>
    <row r="8614">
      <c r="N8614" s="5"/>
    </row>
    <row r="8615">
      <c r="N8615" s="5"/>
    </row>
    <row r="8616">
      <c r="N8616" s="5"/>
    </row>
    <row r="8617">
      <c r="N8617" s="5"/>
    </row>
    <row r="8618">
      <c r="N8618" s="5"/>
    </row>
    <row r="8619">
      <c r="N8619" s="5"/>
    </row>
    <row r="8620">
      <c r="N8620" s="5"/>
    </row>
    <row r="8621">
      <c r="N8621" s="5"/>
    </row>
    <row r="8622">
      <c r="N8622" s="5"/>
    </row>
    <row r="8623">
      <c r="N8623" s="5"/>
    </row>
    <row r="8624">
      <c r="N8624" s="5"/>
    </row>
    <row r="8625">
      <c r="N8625" s="5"/>
    </row>
    <row r="8626">
      <c r="N8626" s="5"/>
    </row>
    <row r="8627">
      <c r="N8627" s="5"/>
    </row>
    <row r="8628">
      <c r="N8628" s="5"/>
    </row>
    <row r="8629">
      <c r="N8629" s="5"/>
    </row>
    <row r="8630">
      <c r="N8630" s="5"/>
    </row>
    <row r="8631">
      <c r="N8631" s="5"/>
    </row>
    <row r="8632">
      <c r="N8632" s="5"/>
    </row>
    <row r="8633">
      <c r="N8633" s="5"/>
    </row>
    <row r="8634">
      <c r="N8634" s="5"/>
    </row>
    <row r="8635">
      <c r="N8635" s="5"/>
    </row>
    <row r="8636">
      <c r="N8636" s="5"/>
    </row>
    <row r="8637">
      <c r="N8637" s="5"/>
    </row>
    <row r="8638">
      <c r="N8638" s="5"/>
    </row>
    <row r="8639">
      <c r="N8639" s="5"/>
    </row>
    <row r="8640">
      <c r="N8640" s="5"/>
    </row>
    <row r="8641">
      <c r="N8641" s="5"/>
    </row>
    <row r="8642">
      <c r="N8642" s="5"/>
    </row>
    <row r="8643">
      <c r="N8643" s="5"/>
    </row>
    <row r="8644">
      <c r="N8644" s="5"/>
    </row>
    <row r="8645">
      <c r="N8645" s="5"/>
    </row>
    <row r="8646">
      <c r="N8646" s="5"/>
    </row>
    <row r="8647">
      <c r="N8647" s="5"/>
    </row>
    <row r="8648">
      <c r="N8648" s="5"/>
    </row>
    <row r="8649">
      <c r="N8649" s="5"/>
    </row>
    <row r="8650">
      <c r="N8650" s="5"/>
    </row>
    <row r="8651">
      <c r="N8651" s="5"/>
    </row>
    <row r="8652">
      <c r="N8652" s="5"/>
    </row>
    <row r="8653">
      <c r="N8653" s="5"/>
    </row>
    <row r="8654">
      <c r="N8654" s="5"/>
    </row>
    <row r="8655">
      <c r="N8655" s="5"/>
    </row>
    <row r="8656">
      <c r="N8656" s="5"/>
    </row>
    <row r="8657">
      <c r="N8657" s="5"/>
    </row>
    <row r="8658">
      <c r="N8658" s="5"/>
    </row>
    <row r="8659">
      <c r="N8659" s="5"/>
    </row>
    <row r="8660">
      <c r="N8660" s="5"/>
    </row>
    <row r="8661">
      <c r="N8661" s="5"/>
    </row>
    <row r="8662">
      <c r="N8662" s="5"/>
    </row>
    <row r="8663">
      <c r="N8663" s="5"/>
    </row>
    <row r="8664">
      <c r="N8664" s="5"/>
    </row>
    <row r="8665">
      <c r="N8665" s="5"/>
    </row>
    <row r="8666">
      <c r="N8666" s="5"/>
    </row>
    <row r="8667">
      <c r="N8667" s="5"/>
    </row>
    <row r="8668">
      <c r="N8668" s="5"/>
    </row>
    <row r="8669">
      <c r="N8669" s="5"/>
    </row>
    <row r="8670">
      <c r="N8670" s="5"/>
    </row>
    <row r="8671">
      <c r="N8671" s="5"/>
    </row>
    <row r="8672">
      <c r="N8672" s="5"/>
    </row>
    <row r="8673">
      <c r="N8673" s="5"/>
    </row>
    <row r="8674">
      <c r="N8674" s="5"/>
    </row>
    <row r="8675">
      <c r="N8675" s="5"/>
    </row>
    <row r="8676">
      <c r="N8676" s="5"/>
    </row>
    <row r="8677">
      <c r="N8677" s="5"/>
    </row>
    <row r="8678">
      <c r="N8678" s="5"/>
    </row>
    <row r="8679">
      <c r="N8679" s="5"/>
    </row>
    <row r="8680">
      <c r="N8680" s="5"/>
    </row>
    <row r="8681">
      <c r="N8681" s="5"/>
    </row>
    <row r="8682">
      <c r="N8682" s="5"/>
    </row>
    <row r="8683">
      <c r="N8683" s="5"/>
    </row>
    <row r="8684">
      <c r="N8684" s="5"/>
    </row>
    <row r="8685">
      <c r="N8685" s="5"/>
    </row>
    <row r="8686">
      <c r="N8686" s="5"/>
    </row>
    <row r="8687">
      <c r="N8687" s="5"/>
    </row>
    <row r="8688">
      <c r="N8688" s="5"/>
    </row>
    <row r="8689">
      <c r="N8689" s="5"/>
    </row>
    <row r="8690">
      <c r="N8690" s="5"/>
    </row>
    <row r="8691">
      <c r="N8691" s="5"/>
    </row>
    <row r="8692">
      <c r="N8692" s="5"/>
    </row>
    <row r="8693">
      <c r="N8693" s="5"/>
    </row>
    <row r="8694">
      <c r="N8694" s="5"/>
    </row>
    <row r="8695">
      <c r="N8695" s="5"/>
    </row>
    <row r="8696">
      <c r="N8696" s="5"/>
    </row>
    <row r="8697">
      <c r="N8697" s="5"/>
    </row>
    <row r="8698">
      <c r="N8698" s="5"/>
    </row>
    <row r="8699">
      <c r="N8699" s="5"/>
    </row>
    <row r="8700">
      <c r="N8700" s="5"/>
    </row>
    <row r="8701">
      <c r="N8701" s="5"/>
    </row>
    <row r="8702">
      <c r="N8702" s="5"/>
    </row>
    <row r="8703">
      <c r="N8703" s="5"/>
    </row>
    <row r="8704">
      <c r="N8704" s="5"/>
    </row>
    <row r="8705">
      <c r="N8705" s="5"/>
    </row>
    <row r="8706">
      <c r="N8706" s="5"/>
    </row>
    <row r="8707">
      <c r="N8707" s="5"/>
    </row>
    <row r="8708">
      <c r="N8708" s="5"/>
    </row>
    <row r="8709">
      <c r="N8709" s="5"/>
    </row>
    <row r="8710">
      <c r="N8710" s="5"/>
    </row>
    <row r="8711">
      <c r="N8711" s="5"/>
    </row>
    <row r="8712">
      <c r="N8712" s="5"/>
    </row>
    <row r="8713">
      <c r="N8713" s="5"/>
    </row>
    <row r="8714">
      <c r="N8714" s="5"/>
    </row>
    <row r="8715">
      <c r="N8715" s="5"/>
    </row>
    <row r="8716">
      <c r="N8716" s="5"/>
    </row>
    <row r="8717">
      <c r="N8717" s="5"/>
    </row>
    <row r="8718">
      <c r="N8718" s="5"/>
    </row>
    <row r="8719">
      <c r="N8719" s="5"/>
    </row>
    <row r="8720">
      <c r="N8720" s="5"/>
    </row>
    <row r="8721">
      <c r="N8721" s="5"/>
    </row>
    <row r="8722">
      <c r="N8722" s="5"/>
    </row>
    <row r="8723">
      <c r="N8723" s="5"/>
    </row>
    <row r="8724">
      <c r="N8724" s="5"/>
    </row>
    <row r="8725">
      <c r="N8725" s="5"/>
    </row>
    <row r="8726">
      <c r="N8726" s="5"/>
    </row>
    <row r="8727">
      <c r="N8727" s="5"/>
    </row>
    <row r="8728">
      <c r="N8728" s="5"/>
    </row>
    <row r="8729">
      <c r="N8729" s="5"/>
    </row>
    <row r="8730">
      <c r="N8730" s="5"/>
    </row>
    <row r="8731">
      <c r="N8731" s="5"/>
    </row>
    <row r="8732">
      <c r="N8732" s="5"/>
    </row>
    <row r="8733">
      <c r="N8733" s="5"/>
    </row>
    <row r="8734">
      <c r="N8734" s="5"/>
    </row>
    <row r="8735">
      <c r="N8735" s="5"/>
    </row>
    <row r="8736">
      <c r="N8736" s="5"/>
    </row>
    <row r="8737">
      <c r="N8737" s="5"/>
    </row>
    <row r="8738">
      <c r="N8738" s="5"/>
    </row>
    <row r="8739">
      <c r="N8739" s="5"/>
    </row>
    <row r="8740">
      <c r="N8740" s="5"/>
    </row>
    <row r="8741">
      <c r="N8741" s="5"/>
    </row>
    <row r="8742">
      <c r="N8742" s="5"/>
    </row>
    <row r="8743">
      <c r="N8743" s="5"/>
    </row>
    <row r="8744">
      <c r="N8744" s="5"/>
    </row>
    <row r="8745">
      <c r="N8745" s="5"/>
    </row>
    <row r="8746">
      <c r="N8746" s="5"/>
    </row>
    <row r="8747">
      <c r="N8747" s="5"/>
    </row>
    <row r="8748">
      <c r="N8748" s="5"/>
    </row>
    <row r="8749">
      <c r="N8749" s="5"/>
    </row>
    <row r="8750">
      <c r="N8750" s="5"/>
    </row>
    <row r="8751">
      <c r="N8751" s="5"/>
    </row>
    <row r="8752">
      <c r="N8752" s="5"/>
    </row>
    <row r="8753">
      <c r="N8753" s="5"/>
    </row>
    <row r="8754">
      <c r="N8754" s="5"/>
    </row>
    <row r="8755">
      <c r="N8755" s="5"/>
    </row>
    <row r="8756">
      <c r="N8756" s="5"/>
    </row>
    <row r="8757">
      <c r="N8757" s="5"/>
    </row>
    <row r="8758">
      <c r="N8758" s="5"/>
    </row>
    <row r="8759">
      <c r="N8759" s="5"/>
    </row>
    <row r="8760">
      <c r="N8760" s="5"/>
    </row>
    <row r="8761">
      <c r="N8761" s="5"/>
    </row>
    <row r="8762">
      <c r="N8762" s="5"/>
    </row>
    <row r="8763">
      <c r="N8763" s="5"/>
    </row>
    <row r="8764">
      <c r="N8764" s="5"/>
    </row>
    <row r="8765">
      <c r="N8765" s="5"/>
    </row>
    <row r="8766">
      <c r="N8766" s="5"/>
    </row>
    <row r="8767">
      <c r="N8767" s="5"/>
    </row>
    <row r="8768">
      <c r="N8768" s="5"/>
    </row>
    <row r="8769">
      <c r="N8769" s="5"/>
    </row>
    <row r="8770">
      <c r="N8770" s="5"/>
    </row>
    <row r="8771">
      <c r="N8771" s="5"/>
    </row>
    <row r="8772">
      <c r="N8772" s="5"/>
    </row>
    <row r="8773">
      <c r="N8773" s="5"/>
    </row>
    <row r="8774">
      <c r="N8774" s="5"/>
    </row>
    <row r="8775">
      <c r="N8775" s="5"/>
    </row>
    <row r="8776">
      <c r="N8776" s="5"/>
    </row>
    <row r="8777">
      <c r="N8777" s="5"/>
    </row>
    <row r="8778">
      <c r="N8778" s="5"/>
    </row>
    <row r="8779">
      <c r="N8779" s="5"/>
    </row>
    <row r="8780">
      <c r="N8780" s="5"/>
    </row>
    <row r="8781">
      <c r="N8781" s="5"/>
    </row>
    <row r="8782">
      <c r="N8782" s="5"/>
    </row>
    <row r="8783">
      <c r="N8783" s="5"/>
    </row>
    <row r="8784">
      <c r="N8784" s="5"/>
    </row>
    <row r="8785">
      <c r="N8785" s="5"/>
    </row>
    <row r="8786">
      <c r="N8786" s="5"/>
    </row>
    <row r="8787">
      <c r="N8787" s="5"/>
    </row>
    <row r="8788">
      <c r="N8788" s="5"/>
    </row>
    <row r="8789">
      <c r="N8789" s="5"/>
    </row>
    <row r="8790">
      <c r="N8790" s="5"/>
    </row>
    <row r="8791">
      <c r="N8791" s="5"/>
    </row>
    <row r="8792">
      <c r="N8792" s="5"/>
    </row>
    <row r="8793">
      <c r="N8793" s="5"/>
    </row>
    <row r="8794">
      <c r="N8794" s="5"/>
    </row>
    <row r="8795">
      <c r="N8795" s="5"/>
    </row>
    <row r="8796">
      <c r="N8796" s="5"/>
    </row>
    <row r="8797">
      <c r="N8797" s="5"/>
    </row>
    <row r="8798">
      <c r="N8798" s="5"/>
    </row>
    <row r="8799">
      <c r="N8799" s="5"/>
    </row>
    <row r="8800">
      <c r="N8800" s="5"/>
    </row>
    <row r="8801">
      <c r="N8801" s="5"/>
    </row>
    <row r="8802">
      <c r="N8802" s="5"/>
    </row>
    <row r="8803">
      <c r="N8803" s="5"/>
    </row>
    <row r="8804">
      <c r="N8804" s="5"/>
    </row>
    <row r="8805">
      <c r="N8805" s="5"/>
    </row>
    <row r="8806">
      <c r="N8806" s="5"/>
    </row>
    <row r="8807">
      <c r="N8807" s="5"/>
    </row>
    <row r="8808">
      <c r="N8808" s="5"/>
    </row>
    <row r="8809">
      <c r="N8809" s="5"/>
    </row>
    <row r="8810">
      <c r="N8810" s="5"/>
    </row>
    <row r="8811">
      <c r="N8811" s="5"/>
    </row>
    <row r="8812">
      <c r="N8812" s="5"/>
    </row>
    <row r="8813">
      <c r="N8813" s="5"/>
    </row>
    <row r="8814">
      <c r="N8814" s="5"/>
    </row>
    <row r="8815">
      <c r="N8815" s="5"/>
    </row>
    <row r="8816">
      <c r="N8816" s="5"/>
    </row>
    <row r="8817">
      <c r="N8817" s="5"/>
    </row>
    <row r="8818">
      <c r="N8818" s="5"/>
    </row>
    <row r="8819">
      <c r="N8819" s="5"/>
    </row>
    <row r="8820">
      <c r="N8820" s="5"/>
    </row>
    <row r="8821">
      <c r="N8821" s="5"/>
    </row>
    <row r="8822">
      <c r="N8822" s="5"/>
    </row>
    <row r="8823">
      <c r="N8823" s="5"/>
    </row>
    <row r="8824">
      <c r="N8824" s="5"/>
    </row>
    <row r="8825">
      <c r="N8825" s="5"/>
    </row>
    <row r="8826">
      <c r="N8826" s="5"/>
    </row>
    <row r="8827">
      <c r="N8827" s="5"/>
    </row>
    <row r="8828">
      <c r="N8828" s="5"/>
    </row>
    <row r="8829">
      <c r="N8829" s="5"/>
    </row>
    <row r="8830">
      <c r="N8830" s="5"/>
    </row>
    <row r="8831">
      <c r="N8831" s="5"/>
    </row>
    <row r="8832">
      <c r="N8832" s="5"/>
    </row>
    <row r="8833">
      <c r="N8833" s="5"/>
    </row>
    <row r="8834">
      <c r="N8834" s="5"/>
    </row>
    <row r="8835">
      <c r="N8835" s="5"/>
    </row>
    <row r="8836">
      <c r="N8836" s="5"/>
    </row>
    <row r="8837">
      <c r="N8837" s="5"/>
    </row>
    <row r="8838">
      <c r="N8838" s="5"/>
    </row>
    <row r="8839">
      <c r="N8839" s="5"/>
    </row>
    <row r="8840">
      <c r="N8840" s="5"/>
    </row>
    <row r="8841">
      <c r="N8841" s="5"/>
    </row>
    <row r="8842">
      <c r="N8842" s="5"/>
    </row>
    <row r="8843">
      <c r="N8843" s="5"/>
    </row>
    <row r="8844">
      <c r="N8844" s="5"/>
    </row>
    <row r="8845">
      <c r="N8845" s="5"/>
    </row>
    <row r="8846">
      <c r="N8846" s="5"/>
    </row>
    <row r="8847">
      <c r="N8847" s="5"/>
    </row>
    <row r="8848">
      <c r="N8848" s="5"/>
    </row>
    <row r="8849">
      <c r="N8849" s="5"/>
    </row>
    <row r="8850">
      <c r="N8850" s="5"/>
    </row>
    <row r="8851">
      <c r="N8851" s="5"/>
    </row>
    <row r="8852">
      <c r="N8852" s="5"/>
    </row>
    <row r="8853">
      <c r="N8853" s="5"/>
    </row>
    <row r="8854">
      <c r="N8854" s="5"/>
    </row>
    <row r="8855">
      <c r="N8855" s="5"/>
    </row>
    <row r="8856">
      <c r="N8856" s="5"/>
    </row>
    <row r="8857">
      <c r="N8857" s="5"/>
    </row>
    <row r="8858">
      <c r="N8858" s="5"/>
    </row>
    <row r="8859">
      <c r="N8859" s="5"/>
    </row>
    <row r="8860">
      <c r="N8860" s="5"/>
    </row>
    <row r="8861">
      <c r="N8861" s="5"/>
    </row>
    <row r="8862">
      <c r="N8862" s="5"/>
    </row>
    <row r="8863">
      <c r="N8863" s="5"/>
    </row>
    <row r="8864">
      <c r="N8864" s="5"/>
    </row>
    <row r="8865">
      <c r="N8865" s="5"/>
    </row>
    <row r="8866">
      <c r="N8866" s="5"/>
    </row>
    <row r="8867">
      <c r="N8867" s="5"/>
    </row>
    <row r="8868">
      <c r="N8868" s="5"/>
    </row>
    <row r="8869">
      <c r="N8869" s="5"/>
    </row>
    <row r="8870">
      <c r="N8870" s="5"/>
    </row>
    <row r="8871">
      <c r="N8871" s="5"/>
    </row>
    <row r="8872">
      <c r="N8872" s="5"/>
    </row>
    <row r="8873">
      <c r="N8873" s="5"/>
    </row>
    <row r="8874">
      <c r="N8874" s="5"/>
    </row>
    <row r="8875">
      <c r="N8875" s="5"/>
    </row>
    <row r="8876">
      <c r="N8876" s="5"/>
    </row>
    <row r="8877">
      <c r="N8877" s="5"/>
    </row>
    <row r="8878">
      <c r="N8878" s="5"/>
    </row>
    <row r="8879">
      <c r="N8879" s="5"/>
    </row>
    <row r="8880">
      <c r="N8880" s="5"/>
    </row>
    <row r="8881">
      <c r="N8881" s="5"/>
    </row>
    <row r="8882">
      <c r="N8882" s="5"/>
    </row>
    <row r="8883">
      <c r="N8883" s="5"/>
    </row>
    <row r="8884">
      <c r="N8884" s="5"/>
    </row>
    <row r="8885">
      <c r="N8885" s="5"/>
    </row>
    <row r="8886">
      <c r="N8886" s="5"/>
    </row>
    <row r="8887">
      <c r="N8887" s="5"/>
    </row>
    <row r="8888">
      <c r="N8888" s="5"/>
    </row>
    <row r="8889">
      <c r="N8889" s="5"/>
    </row>
    <row r="8890">
      <c r="N8890" s="5"/>
    </row>
    <row r="8891">
      <c r="N8891" s="5"/>
    </row>
    <row r="8892">
      <c r="N8892" s="5"/>
    </row>
    <row r="8893">
      <c r="N8893" s="5"/>
    </row>
    <row r="8894">
      <c r="N8894" s="5"/>
    </row>
    <row r="8895">
      <c r="N8895" s="5"/>
    </row>
    <row r="8896">
      <c r="N8896" s="5"/>
    </row>
    <row r="8897">
      <c r="N8897" s="5"/>
    </row>
    <row r="8898">
      <c r="N8898" s="5"/>
    </row>
    <row r="8899">
      <c r="N8899" s="5"/>
    </row>
    <row r="8900">
      <c r="N8900" s="5"/>
    </row>
    <row r="8901">
      <c r="N8901" s="5"/>
    </row>
    <row r="8902">
      <c r="N8902" s="5"/>
    </row>
    <row r="8903">
      <c r="N8903" s="5"/>
    </row>
    <row r="8904">
      <c r="N8904" s="5"/>
    </row>
    <row r="8905">
      <c r="N8905" s="5"/>
    </row>
    <row r="8906">
      <c r="N8906" s="5"/>
    </row>
    <row r="8907">
      <c r="N8907" s="5"/>
    </row>
    <row r="8908">
      <c r="N8908" s="5"/>
    </row>
    <row r="8909">
      <c r="N8909" s="5"/>
    </row>
    <row r="8910">
      <c r="N8910" s="5"/>
    </row>
    <row r="8911">
      <c r="N8911" s="5"/>
    </row>
    <row r="8912">
      <c r="N8912" s="5"/>
    </row>
    <row r="8913">
      <c r="N8913" s="5"/>
    </row>
    <row r="8914">
      <c r="N8914" s="5"/>
    </row>
    <row r="8915">
      <c r="N8915" s="5"/>
    </row>
    <row r="8916">
      <c r="N8916" s="5"/>
    </row>
    <row r="8917">
      <c r="N8917" s="5"/>
    </row>
    <row r="8918">
      <c r="N8918" s="5"/>
    </row>
    <row r="8919">
      <c r="N8919" s="5"/>
    </row>
    <row r="8920">
      <c r="N8920" s="5"/>
    </row>
    <row r="8921">
      <c r="N8921" s="5"/>
    </row>
    <row r="8922">
      <c r="N8922" s="5"/>
    </row>
    <row r="8923">
      <c r="N8923" s="5"/>
    </row>
    <row r="8924">
      <c r="N8924" s="5"/>
    </row>
    <row r="8925">
      <c r="N8925" s="5"/>
    </row>
    <row r="8926">
      <c r="N8926" s="5"/>
    </row>
    <row r="8927">
      <c r="N8927" s="5"/>
    </row>
    <row r="8928">
      <c r="N8928" s="5"/>
    </row>
    <row r="8929">
      <c r="N8929" s="5"/>
    </row>
    <row r="8930">
      <c r="N8930" s="5"/>
    </row>
    <row r="8931">
      <c r="N8931" s="5"/>
    </row>
    <row r="8932">
      <c r="N8932" s="5"/>
    </row>
    <row r="8933">
      <c r="N8933" s="5"/>
    </row>
    <row r="8934">
      <c r="N8934" s="5"/>
    </row>
    <row r="8935">
      <c r="N8935" s="5"/>
    </row>
    <row r="8936">
      <c r="N8936" s="5"/>
    </row>
    <row r="8937">
      <c r="N8937" s="5"/>
    </row>
    <row r="8938">
      <c r="N8938" s="5"/>
    </row>
    <row r="8939">
      <c r="N8939" s="5"/>
    </row>
    <row r="8940">
      <c r="N8940" s="5"/>
    </row>
    <row r="8941">
      <c r="N8941" s="5"/>
    </row>
    <row r="8942">
      <c r="N8942" s="5"/>
    </row>
    <row r="8943">
      <c r="N8943" s="5"/>
    </row>
    <row r="8944">
      <c r="N8944" s="5"/>
    </row>
    <row r="8945">
      <c r="N8945" s="5"/>
    </row>
    <row r="8946">
      <c r="N8946" s="5"/>
    </row>
    <row r="8947">
      <c r="N8947" s="5"/>
    </row>
    <row r="8948">
      <c r="N8948" s="5"/>
    </row>
    <row r="8949">
      <c r="N8949" s="5"/>
    </row>
    <row r="8950">
      <c r="N8950" s="5"/>
    </row>
    <row r="8951">
      <c r="N8951" s="5"/>
    </row>
    <row r="8952">
      <c r="N8952" s="5"/>
    </row>
    <row r="8953">
      <c r="N8953" s="5"/>
    </row>
    <row r="8954">
      <c r="N8954" s="5"/>
    </row>
    <row r="8955">
      <c r="N8955" s="5"/>
    </row>
    <row r="8956">
      <c r="N8956" s="5"/>
    </row>
    <row r="8957">
      <c r="N8957" s="5"/>
    </row>
    <row r="8958">
      <c r="N8958" s="5"/>
    </row>
    <row r="8959">
      <c r="N8959" s="5"/>
    </row>
    <row r="8960">
      <c r="N8960" s="5"/>
    </row>
    <row r="8961">
      <c r="N8961" s="5"/>
    </row>
    <row r="8962">
      <c r="N8962" s="5"/>
    </row>
    <row r="8963">
      <c r="N8963" s="5"/>
    </row>
    <row r="8964">
      <c r="N8964" s="5"/>
    </row>
    <row r="8965">
      <c r="N8965" s="5"/>
    </row>
    <row r="8966">
      <c r="N8966" s="5"/>
    </row>
    <row r="8967">
      <c r="N8967" s="5"/>
    </row>
    <row r="8968">
      <c r="N8968" s="5"/>
    </row>
    <row r="8969">
      <c r="N8969" s="5"/>
    </row>
    <row r="8970">
      <c r="N8970" s="5"/>
    </row>
    <row r="8971">
      <c r="N8971" s="5"/>
    </row>
    <row r="8972">
      <c r="N8972" s="5"/>
    </row>
    <row r="8973">
      <c r="N8973" s="5"/>
    </row>
    <row r="8974">
      <c r="N8974" s="5"/>
    </row>
    <row r="8975">
      <c r="N8975" s="5"/>
    </row>
    <row r="8976">
      <c r="N8976" s="5"/>
    </row>
    <row r="8977">
      <c r="N8977" s="5"/>
    </row>
    <row r="8978">
      <c r="N8978" s="5"/>
    </row>
    <row r="8979">
      <c r="N8979" s="5"/>
    </row>
    <row r="8980">
      <c r="N8980" s="5"/>
    </row>
    <row r="8981">
      <c r="N8981" s="5"/>
    </row>
    <row r="8982">
      <c r="N8982" s="5"/>
    </row>
    <row r="8983">
      <c r="N8983" s="5"/>
    </row>
    <row r="8984">
      <c r="N8984" s="5"/>
    </row>
    <row r="8985">
      <c r="N8985" s="5"/>
    </row>
    <row r="8986">
      <c r="N8986" s="5"/>
    </row>
    <row r="8987">
      <c r="N8987" s="5"/>
    </row>
    <row r="8988">
      <c r="N8988" s="5"/>
    </row>
    <row r="8989">
      <c r="N8989" s="5"/>
    </row>
    <row r="8990">
      <c r="N8990" s="5"/>
    </row>
    <row r="8991">
      <c r="N8991" s="5"/>
    </row>
    <row r="8992">
      <c r="N8992" s="5"/>
    </row>
    <row r="8993">
      <c r="N8993" s="5"/>
    </row>
    <row r="8994">
      <c r="N8994" s="5"/>
    </row>
    <row r="8995">
      <c r="N8995" s="5"/>
    </row>
    <row r="8996">
      <c r="N8996" s="5"/>
    </row>
    <row r="8997">
      <c r="N8997" s="5"/>
    </row>
    <row r="8998">
      <c r="N8998" s="5"/>
    </row>
    <row r="8999">
      <c r="N8999" s="5"/>
    </row>
    <row r="9000">
      <c r="N9000" s="5"/>
    </row>
    <row r="9001">
      <c r="N9001" s="5"/>
    </row>
    <row r="9002">
      <c r="N9002" s="5"/>
    </row>
    <row r="9003">
      <c r="N9003" s="5"/>
    </row>
    <row r="9004">
      <c r="N9004" s="5"/>
    </row>
    <row r="9005">
      <c r="N9005" s="5"/>
    </row>
    <row r="9006">
      <c r="N9006" s="5"/>
    </row>
    <row r="9007">
      <c r="N9007" s="5"/>
    </row>
    <row r="9008">
      <c r="N9008" s="5"/>
    </row>
    <row r="9009">
      <c r="N9009" s="5"/>
    </row>
    <row r="9010">
      <c r="N9010" s="5"/>
    </row>
    <row r="9011">
      <c r="N9011" s="5"/>
    </row>
    <row r="9012">
      <c r="N9012" s="5"/>
    </row>
    <row r="9013">
      <c r="N9013" s="5"/>
    </row>
    <row r="9014">
      <c r="N9014" s="5"/>
    </row>
    <row r="9015">
      <c r="N9015" s="5"/>
    </row>
    <row r="9016">
      <c r="N9016" s="5"/>
    </row>
    <row r="9017">
      <c r="N9017" s="5"/>
    </row>
    <row r="9018">
      <c r="N9018" s="5"/>
    </row>
    <row r="9019">
      <c r="N9019" s="5"/>
    </row>
    <row r="9020">
      <c r="N9020" s="5"/>
    </row>
    <row r="9021">
      <c r="N9021" s="5"/>
    </row>
    <row r="9022">
      <c r="N9022" s="5"/>
    </row>
    <row r="9023">
      <c r="N9023" s="5"/>
    </row>
    <row r="9024">
      <c r="N9024" s="5"/>
    </row>
    <row r="9025">
      <c r="N9025" s="5"/>
    </row>
    <row r="9026">
      <c r="N9026" s="5"/>
    </row>
    <row r="9027">
      <c r="N9027" s="5"/>
    </row>
    <row r="9028">
      <c r="N9028" s="5"/>
    </row>
    <row r="9029">
      <c r="N9029" s="5"/>
    </row>
    <row r="9030">
      <c r="N9030" s="5"/>
    </row>
    <row r="9031">
      <c r="N9031" s="5"/>
    </row>
    <row r="9032">
      <c r="N9032" s="5"/>
    </row>
    <row r="9033">
      <c r="N9033" s="5"/>
    </row>
    <row r="9034">
      <c r="N9034" s="5"/>
    </row>
    <row r="9035">
      <c r="N9035" s="5"/>
    </row>
    <row r="9036">
      <c r="N9036" s="5"/>
    </row>
    <row r="9037">
      <c r="N9037" s="5"/>
    </row>
    <row r="9038">
      <c r="N9038" s="5"/>
    </row>
    <row r="9039">
      <c r="N9039" s="5"/>
    </row>
    <row r="9040">
      <c r="N9040" s="5"/>
    </row>
    <row r="9041">
      <c r="N9041" s="5"/>
    </row>
    <row r="9042">
      <c r="N9042" s="5"/>
    </row>
    <row r="9043">
      <c r="N9043" s="5"/>
    </row>
    <row r="9044">
      <c r="N9044" s="5"/>
    </row>
    <row r="9045">
      <c r="N9045" s="5"/>
    </row>
    <row r="9046">
      <c r="N9046" s="5"/>
    </row>
    <row r="9047">
      <c r="N9047" s="5"/>
    </row>
    <row r="9048">
      <c r="N9048" s="5"/>
    </row>
    <row r="9049">
      <c r="N9049" s="5"/>
    </row>
    <row r="9050">
      <c r="N9050" s="5"/>
    </row>
    <row r="9051">
      <c r="N9051" s="5"/>
    </row>
    <row r="9052">
      <c r="N9052" s="5"/>
    </row>
    <row r="9053">
      <c r="N9053" s="5"/>
    </row>
    <row r="9054">
      <c r="N9054" s="5"/>
    </row>
    <row r="9055">
      <c r="N9055" s="5"/>
    </row>
    <row r="9056">
      <c r="N9056" s="5"/>
    </row>
    <row r="9057">
      <c r="N9057" s="5"/>
    </row>
    <row r="9058">
      <c r="N9058" s="5"/>
    </row>
    <row r="9059">
      <c r="N9059" s="5"/>
    </row>
    <row r="9060">
      <c r="N9060" s="5"/>
    </row>
    <row r="9061">
      <c r="N9061" s="5"/>
    </row>
    <row r="9062">
      <c r="N9062" s="5"/>
    </row>
    <row r="9063">
      <c r="N9063" s="5"/>
    </row>
    <row r="9064">
      <c r="N9064" s="5"/>
    </row>
    <row r="9065">
      <c r="N9065" s="5"/>
    </row>
    <row r="9066">
      <c r="N9066" s="5"/>
    </row>
    <row r="9067">
      <c r="N9067" s="5"/>
    </row>
    <row r="9068">
      <c r="N9068" s="5"/>
    </row>
    <row r="9069">
      <c r="N9069" s="5"/>
    </row>
    <row r="9070">
      <c r="N9070" s="5"/>
    </row>
    <row r="9071">
      <c r="N9071" s="5"/>
    </row>
    <row r="9072">
      <c r="N9072" s="5"/>
    </row>
    <row r="9073">
      <c r="N9073" s="5"/>
    </row>
    <row r="9074">
      <c r="N9074" s="5"/>
    </row>
    <row r="9075">
      <c r="N9075" s="5"/>
    </row>
    <row r="9076">
      <c r="N9076" s="5"/>
    </row>
    <row r="9077">
      <c r="N9077" s="5"/>
    </row>
    <row r="9078">
      <c r="N9078" s="5"/>
    </row>
    <row r="9079">
      <c r="N9079" s="5"/>
    </row>
    <row r="9080">
      <c r="N9080" s="5"/>
    </row>
    <row r="9081">
      <c r="N9081" s="5"/>
    </row>
    <row r="9082">
      <c r="N9082" s="5"/>
    </row>
    <row r="9083">
      <c r="N9083" s="5"/>
    </row>
    <row r="9084">
      <c r="N9084" s="5"/>
    </row>
    <row r="9085">
      <c r="N9085" s="5"/>
    </row>
    <row r="9086">
      <c r="N9086" s="5"/>
    </row>
    <row r="9087">
      <c r="N9087" s="5"/>
    </row>
    <row r="9088">
      <c r="N9088" s="5"/>
    </row>
    <row r="9089">
      <c r="N9089" s="5"/>
    </row>
    <row r="9090">
      <c r="N9090" s="5"/>
    </row>
    <row r="9091">
      <c r="N9091" s="5"/>
    </row>
    <row r="9092">
      <c r="N9092" s="5"/>
    </row>
    <row r="9093">
      <c r="N9093" s="5"/>
    </row>
    <row r="9094">
      <c r="N9094" s="5"/>
    </row>
    <row r="9095">
      <c r="N9095" s="5"/>
    </row>
    <row r="9096">
      <c r="N9096" s="5"/>
    </row>
    <row r="9097">
      <c r="N9097" s="5"/>
    </row>
    <row r="9098">
      <c r="N9098" s="5"/>
    </row>
    <row r="9099">
      <c r="N9099" s="5"/>
    </row>
    <row r="9100">
      <c r="N9100" s="5"/>
    </row>
    <row r="9101">
      <c r="N9101" s="5"/>
    </row>
    <row r="9102">
      <c r="N9102" s="5"/>
    </row>
    <row r="9103">
      <c r="N9103" s="5"/>
    </row>
    <row r="9104">
      <c r="N9104" s="5"/>
    </row>
    <row r="9105">
      <c r="N9105" s="5"/>
    </row>
    <row r="9106">
      <c r="N9106" s="5"/>
    </row>
    <row r="9107">
      <c r="N9107" s="5"/>
    </row>
    <row r="9108">
      <c r="N9108" s="5"/>
    </row>
    <row r="9109">
      <c r="N9109" s="5"/>
    </row>
    <row r="9110">
      <c r="N9110" s="5"/>
    </row>
    <row r="9111">
      <c r="N9111" s="5"/>
    </row>
    <row r="9112">
      <c r="N9112" s="5"/>
    </row>
    <row r="9113">
      <c r="N9113" s="5"/>
    </row>
    <row r="9114">
      <c r="N9114" s="5"/>
    </row>
    <row r="9115">
      <c r="N9115" s="5"/>
    </row>
    <row r="9116">
      <c r="N9116" s="5"/>
    </row>
    <row r="9117">
      <c r="N9117" s="5"/>
    </row>
    <row r="9118">
      <c r="N9118" s="5"/>
    </row>
    <row r="9119">
      <c r="N9119" s="5"/>
    </row>
    <row r="9120">
      <c r="N9120" s="5"/>
    </row>
    <row r="9121">
      <c r="N9121" s="5"/>
    </row>
    <row r="9122">
      <c r="N9122" s="5"/>
    </row>
    <row r="9123">
      <c r="N9123" s="5"/>
    </row>
    <row r="9124">
      <c r="N9124" s="5"/>
    </row>
    <row r="9125">
      <c r="N9125" s="5"/>
    </row>
    <row r="9126">
      <c r="N9126" s="5"/>
    </row>
    <row r="9127">
      <c r="N9127" s="5"/>
    </row>
    <row r="9128">
      <c r="N9128" s="5"/>
    </row>
    <row r="9129">
      <c r="N9129" s="5"/>
    </row>
    <row r="9130">
      <c r="N9130" s="5"/>
    </row>
    <row r="9131">
      <c r="N9131" s="5"/>
    </row>
    <row r="9132">
      <c r="N9132" s="5"/>
    </row>
    <row r="9133">
      <c r="N9133" s="5"/>
    </row>
    <row r="9134">
      <c r="N9134" s="5"/>
    </row>
    <row r="9135">
      <c r="N9135" s="5"/>
    </row>
    <row r="9136">
      <c r="N9136" s="5"/>
    </row>
    <row r="9137">
      <c r="N9137" s="5"/>
    </row>
    <row r="9138">
      <c r="N9138" s="5"/>
    </row>
    <row r="9139">
      <c r="N9139" s="5"/>
    </row>
    <row r="9140">
      <c r="N9140" s="5"/>
    </row>
    <row r="9141">
      <c r="N9141" s="5"/>
    </row>
    <row r="9142">
      <c r="N9142" s="5"/>
    </row>
    <row r="9143">
      <c r="N9143" s="5"/>
    </row>
    <row r="9144">
      <c r="N9144" s="5"/>
    </row>
    <row r="9145">
      <c r="N9145" s="5"/>
    </row>
    <row r="9146">
      <c r="N9146" s="5"/>
    </row>
    <row r="9147">
      <c r="N9147" s="5"/>
    </row>
    <row r="9148">
      <c r="N9148" s="5"/>
    </row>
    <row r="9149">
      <c r="N9149" s="5"/>
    </row>
    <row r="9150">
      <c r="N9150" s="5"/>
    </row>
    <row r="9151">
      <c r="N9151" s="5"/>
    </row>
    <row r="9152">
      <c r="N9152" s="5"/>
    </row>
    <row r="9153">
      <c r="N9153" s="5"/>
    </row>
    <row r="9154">
      <c r="N9154" s="5"/>
    </row>
    <row r="9155">
      <c r="N9155" s="5"/>
    </row>
    <row r="9156">
      <c r="N9156" s="5"/>
    </row>
    <row r="9157">
      <c r="N9157" s="5"/>
    </row>
    <row r="9158">
      <c r="N9158" s="5"/>
    </row>
    <row r="9159">
      <c r="N9159" s="5"/>
    </row>
    <row r="9160">
      <c r="N9160" s="5"/>
    </row>
    <row r="9161">
      <c r="N9161" s="5"/>
    </row>
    <row r="9162">
      <c r="N9162" s="5"/>
    </row>
    <row r="9163">
      <c r="N9163" s="5"/>
    </row>
    <row r="9164">
      <c r="N9164" s="5"/>
    </row>
    <row r="9165">
      <c r="N9165" s="5"/>
    </row>
    <row r="9166">
      <c r="N9166" s="5"/>
    </row>
    <row r="9167">
      <c r="N9167" s="5"/>
    </row>
    <row r="9168">
      <c r="N9168" s="5"/>
    </row>
    <row r="9169">
      <c r="N9169" s="5"/>
    </row>
    <row r="9170">
      <c r="N9170" s="5"/>
    </row>
    <row r="9171">
      <c r="N9171" s="5"/>
    </row>
    <row r="9172">
      <c r="N9172" s="5"/>
    </row>
    <row r="9173">
      <c r="N9173" s="5"/>
    </row>
    <row r="9174">
      <c r="N9174" s="5"/>
    </row>
    <row r="9175">
      <c r="N9175" s="5"/>
    </row>
    <row r="9176">
      <c r="N9176" s="5"/>
    </row>
    <row r="9177">
      <c r="N9177" s="5"/>
    </row>
    <row r="9178">
      <c r="N9178" s="5"/>
    </row>
    <row r="9179">
      <c r="N9179" s="5"/>
    </row>
    <row r="9180">
      <c r="N9180" s="5"/>
    </row>
    <row r="9181">
      <c r="N9181" s="5"/>
    </row>
    <row r="9182">
      <c r="N9182" s="5"/>
    </row>
    <row r="9183">
      <c r="N9183" s="5"/>
    </row>
    <row r="9184">
      <c r="N9184" s="5"/>
    </row>
    <row r="9185">
      <c r="N9185" s="5"/>
    </row>
    <row r="9186">
      <c r="N9186" s="5"/>
    </row>
    <row r="9187">
      <c r="N9187" s="5"/>
    </row>
    <row r="9188">
      <c r="N9188" s="5"/>
    </row>
    <row r="9189">
      <c r="N9189" s="5"/>
    </row>
    <row r="9190">
      <c r="N9190" s="5"/>
    </row>
    <row r="9191">
      <c r="N9191" s="5"/>
    </row>
    <row r="9192">
      <c r="N9192" s="5"/>
    </row>
    <row r="9193">
      <c r="N9193" s="5"/>
    </row>
    <row r="9194">
      <c r="N9194" s="5"/>
    </row>
    <row r="9195">
      <c r="N9195" s="5"/>
    </row>
    <row r="9196">
      <c r="N9196" s="5"/>
    </row>
    <row r="9197">
      <c r="N9197" s="5"/>
    </row>
    <row r="9198">
      <c r="N9198" s="5"/>
    </row>
    <row r="9199">
      <c r="N9199" s="5"/>
    </row>
    <row r="9200">
      <c r="N9200" s="5"/>
    </row>
    <row r="9201">
      <c r="N9201" s="5"/>
    </row>
    <row r="9202">
      <c r="N9202" s="5"/>
    </row>
    <row r="9203">
      <c r="N9203" s="5"/>
    </row>
    <row r="9204">
      <c r="N9204" s="5"/>
    </row>
    <row r="9205">
      <c r="N9205" s="5"/>
    </row>
    <row r="9206">
      <c r="N9206" s="5"/>
    </row>
    <row r="9207">
      <c r="N9207" s="5"/>
    </row>
    <row r="9208">
      <c r="N9208" s="5"/>
    </row>
    <row r="9209">
      <c r="N9209" s="5"/>
    </row>
    <row r="9210">
      <c r="N9210" s="5"/>
    </row>
    <row r="9211">
      <c r="N9211" s="5"/>
    </row>
    <row r="9212">
      <c r="N9212" s="5"/>
    </row>
    <row r="9213">
      <c r="N9213" s="5"/>
    </row>
    <row r="9214">
      <c r="N9214" s="5"/>
    </row>
    <row r="9215">
      <c r="N9215" s="5"/>
    </row>
    <row r="9216">
      <c r="N9216" s="5"/>
    </row>
    <row r="9217">
      <c r="N9217" s="5"/>
    </row>
    <row r="9218">
      <c r="N9218" s="5"/>
    </row>
    <row r="9219">
      <c r="N9219" s="5"/>
    </row>
    <row r="9220">
      <c r="N9220" s="5"/>
    </row>
    <row r="9221">
      <c r="N9221" s="5"/>
    </row>
    <row r="9222">
      <c r="N9222" s="5"/>
    </row>
    <row r="9223">
      <c r="N9223" s="5"/>
    </row>
    <row r="9224">
      <c r="N9224" s="5"/>
    </row>
    <row r="9225">
      <c r="N9225" s="5"/>
    </row>
    <row r="9226">
      <c r="N9226" s="5"/>
    </row>
    <row r="9227">
      <c r="N9227" s="5"/>
    </row>
    <row r="9228">
      <c r="N9228" s="5"/>
    </row>
    <row r="9229">
      <c r="N9229" s="5"/>
    </row>
    <row r="9230">
      <c r="N9230" s="5"/>
    </row>
    <row r="9231">
      <c r="N9231" s="5"/>
    </row>
    <row r="9232">
      <c r="N9232" s="5"/>
    </row>
    <row r="9233">
      <c r="N9233" s="5"/>
    </row>
    <row r="9234">
      <c r="N9234" s="5"/>
    </row>
    <row r="9235">
      <c r="N9235" s="5"/>
    </row>
    <row r="9236">
      <c r="N9236" s="5"/>
    </row>
    <row r="9237">
      <c r="N9237" s="5"/>
    </row>
    <row r="9238">
      <c r="N9238" s="5"/>
    </row>
    <row r="9239">
      <c r="N9239" s="5"/>
    </row>
    <row r="9240">
      <c r="N9240" s="5"/>
    </row>
    <row r="9241">
      <c r="N9241" s="5"/>
    </row>
    <row r="9242">
      <c r="N9242" s="5"/>
    </row>
    <row r="9243">
      <c r="N9243" s="5"/>
    </row>
    <row r="9244">
      <c r="N9244" s="5"/>
    </row>
    <row r="9245">
      <c r="N9245" s="5"/>
    </row>
    <row r="9246">
      <c r="N9246" s="5"/>
    </row>
    <row r="9247">
      <c r="N9247" s="5"/>
    </row>
    <row r="9248">
      <c r="N9248" s="5"/>
    </row>
    <row r="9249">
      <c r="N9249" s="5"/>
    </row>
    <row r="9250">
      <c r="N9250" s="5"/>
    </row>
    <row r="9251">
      <c r="N9251" s="5"/>
    </row>
    <row r="9252">
      <c r="N9252" s="5"/>
    </row>
    <row r="9253">
      <c r="N9253" s="5"/>
    </row>
    <row r="9254">
      <c r="N9254" s="5"/>
    </row>
    <row r="9255">
      <c r="N9255" s="5"/>
    </row>
    <row r="9256">
      <c r="N9256" s="5"/>
    </row>
    <row r="9257">
      <c r="N9257" s="5"/>
    </row>
    <row r="9258">
      <c r="N9258" s="5"/>
    </row>
    <row r="9259">
      <c r="N9259" s="5"/>
    </row>
    <row r="9260">
      <c r="N9260" s="5"/>
    </row>
    <row r="9261">
      <c r="N9261" s="5"/>
    </row>
    <row r="9262">
      <c r="N9262" s="5"/>
    </row>
    <row r="9263">
      <c r="N9263" s="5"/>
    </row>
    <row r="9264">
      <c r="N9264" s="5"/>
    </row>
    <row r="9265">
      <c r="N9265" s="5"/>
    </row>
    <row r="9266">
      <c r="N9266" s="5"/>
    </row>
    <row r="9267">
      <c r="N9267" s="5"/>
    </row>
    <row r="9268">
      <c r="N9268" s="5"/>
    </row>
    <row r="9269">
      <c r="N9269" s="5"/>
    </row>
    <row r="9270">
      <c r="N9270" s="5"/>
    </row>
    <row r="9271">
      <c r="N9271" s="5"/>
    </row>
    <row r="9272">
      <c r="N9272" s="5"/>
    </row>
    <row r="9273">
      <c r="N9273" s="5"/>
    </row>
    <row r="9274">
      <c r="N9274" s="5"/>
    </row>
    <row r="9275">
      <c r="N9275" s="5"/>
    </row>
    <row r="9276">
      <c r="N9276" s="5"/>
    </row>
    <row r="9277">
      <c r="N9277" s="5"/>
    </row>
    <row r="9278">
      <c r="N9278" s="5"/>
    </row>
    <row r="9279">
      <c r="N9279" s="5"/>
    </row>
    <row r="9280">
      <c r="N9280" s="5"/>
    </row>
    <row r="9281">
      <c r="N9281" s="5"/>
    </row>
    <row r="9282">
      <c r="N9282" s="5"/>
    </row>
    <row r="9283">
      <c r="N9283" s="5"/>
    </row>
    <row r="9284">
      <c r="N9284" s="5"/>
    </row>
    <row r="9285">
      <c r="N9285" s="5"/>
    </row>
    <row r="9286">
      <c r="N9286" s="5"/>
    </row>
    <row r="9287">
      <c r="N9287" s="5"/>
    </row>
    <row r="9288">
      <c r="N9288" s="5"/>
    </row>
    <row r="9289">
      <c r="N9289" s="5"/>
    </row>
    <row r="9290">
      <c r="N9290" s="5"/>
    </row>
    <row r="9291">
      <c r="N9291" s="5"/>
    </row>
    <row r="9292">
      <c r="N9292" s="5"/>
    </row>
    <row r="9293">
      <c r="N9293" s="5"/>
    </row>
    <row r="9294">
      <c r="N9294" s="5"/>
    </row>
    <row r="9295">
      <c r="N9295" s="5"/>
    </row>
    <row r="9296">
      <c r="N9296" s="5"/>
    </row>
    <row r="9297">
      <c r="N9297" s="5"/>
    </row>
    <row r="9298">
      <c r="N9298" s="5"/>
    </row>
    <row r="9299">
      <c r="N9299" s="5"/>
    </row>
    <row r="9300">
      <c r="N9300" s="5"/>
    </row>
    <row r="9301">
      <c r="N9301" s="5"/>
    </row>
    <row r="9302">
      <c r="N9302" s="5"/>
    </row>
    <row r="9303">
      <c r="N9303" s="5"/>
    </row>
    <row r="9304">
      <c r="N9304" s="5"/>
    </row>
    <row r="9305">
      <c r="N9305" s="5"/>
    </row>
    <row r="9306">
      <c r="N9306" s="5"/>
    </row>
    <row r="9307">
      <c r="N9307" s="5"/>
    </row>
    <row r="9308">
      <c r="N9308" s="5"/>
    </row>
    <row r="9309">
      <c r="N9309" s="5"/>
    </row>
    <row r="9310">
      <c r="N9310" s="5"/>
    </row>
    <row r="9311">
      <c r="N9311" s="5"/>
    </row>
    <row r="9312">
      <c r="N9312" s="5"/>
    </row>
    <row r="9313">
      <c r="N9313" s="5"/>
    </row>
    <row r="9314">
      <c r="N9314" s="5"/>
    </row>
    <row r="9315">
      <c r="N9315" s="5"/>
    </row>
    <row r="9316">
      <c r="N9316" s="5"/>
    </row>
    <row r="9317">
      <c r="N9317" s="5"/>
    </row>
    <row r="9318">
      <c r="N9318" s="5"/>
    </row>
    <row r="9319">
      <c r="N9319" s="5"/>
    </row>
    <row r="9320">
      <c r="N9320" s="5"/>
    </row>
    <row r="9321">
      <c r="N9321" s="5"/>
    </row>
    <row r="9322">
      <c r="N9322" s="5"/>
    </row>
    <row r="9323">
      <c r="N9323" s="5"/>
    </row>
    <row r="9324">
      <c r="N9324" s="5"/>
    </row>
    <row r="9325">
      <c r="N9325" s="5"/>
    </row>
    <row r="9326">
      <c r="N9326" s="5"/>
    </row>
    <row r="9327">
      <c r="N9327" s="5"/>
    </row>
    <row r="9328">
      <c r="N9328" s="5"/>
    </row>
    <row r="9329">
      <c r="N9329" s="5"/>
    </row>
    <row r="9330">
      <c r="N9330" s="5"/>
    </row>
    <row r="9331">
      <c r="N9331" s="5"/>
    </row>
    <row r="9332">
      <c r="N9332" s="5"/>
    </row>
    <row r="9333">
      <c r="N9333" s="5"/>
    </row>
    <row r="9334">
      <c r="N9334" s="5"/>
    </row>
    <row r="9335">
      <c r="N9335" s="5"/>
    </row>
    <row r="9336">
      <c r="N9336" s="5"/>
    </row>
    <row r="9337">
      <c r="N9337" s="5"/>
    </row>
    <row r="9338">
      <c r="N9338" s="5"/>
    </row>
    <row r="9339">
      <c r="N9339" s="5"/>
    </row>
    <row r="9340">
      <c r="N9340" s="5"/>
    </row>
    <row r="9341">
      <c r="N9341" s="5"/>
    </row>
    <row r="9342">
      <c r="N9342" s="5"/>
    </row>
    <row r="9343">
      <c r="N9343" s="5"/>
    </row>
    <row r="9344">
      <c r="N9344" s="5"/>
    </row>
    <row r="9345">
      <c r="N9345" s="5"/>
    </row>
    <row r="9346">
      <c r="N9346" s="5"/>
    </row>
    <row r="9347">
      <c r="N9347" s="5"/>
    </row>
    <row r="9348">
      <c r="N9348" s="5"/>
    </row>
    <row r="9349">
      <c r="N9349" s="5"/>
    </row>
    <row r="9350">
      <c r="N9350" s="5"/>
    </row>
    <row r="9351">
      <c r="N9351" s="5"/>
    </row>
    <row r="9352">
      <c r="N9352" s="5"/>
    </row>
    <row r="9353">
      <c r="N9353" s="5"/>
    </row>
    <row r="9354">
      <c r="N9354" s="5"/>
    </row>
    <row r="9355">
      <c r="N9355" s="5"/>
    </row>
    <row r="9356">
      <c r="N9356" s="5"/>
    </row>
    <row r="9357">
      <c r="N9357" s="5"/>
    </row>
    <row r="9358">
      <c r="N9358" s="5"/>
    </row>
    <row r="9359">
      <c r="N9359" s="5"/>
    </row>
    <row r="9360">
      <c r="N9360" s="5"/>
    </row>
    <row r="9361">
      <c r="N9361" s="5"/>
    </row>
    <row r="9362">
      <c r="N9362" s="5"/>
    </row>
    <row r="9363">
      <c r="N9363" s="5"/>
    </row>
    <row r="9364">
      <c r="N9364" s="5"/>
    </row>
    <row r="9365">
      <c r="N9365" s="5"/>
    </row>
    <row r="9366">
      <c r="N9366" s="5"/>
    </row>
    <row r="9367">
      <c r="N9367" s="5"/>
    </row>
    <row r="9368">
      <c r="N9368" s="5"/>
    </row>
    <row r="9369">
      <c r="N9369" s="5"/>
    </row>
    <row r="9370">
      <c r="N9370" s="5"/>
    </row>
    <row r="9371">
      <c r="N9371" s="5"/>
    </row>
    <row r="9372">
      <c r="N9372" s="5"/>
    </row>
    <row r="9373">
      <c r="N9373" s="5"/>
    </row>
    <row r="9374">
      <c r="N9374" s="5"/>
    </row>
    <row r="9375">
      <c r="N9375" s="5"/>
    </row>
    <row r="9376">
      <c r="N9376" s="5"/>
    </row>
    <row r="9377">
      <c r="N9377" s="5"/>
    </row>
    <row r="9378">
      <c r="N9378" s="5"/>
    </row>
    <row r="9379">
      <c r="N9379" s="5"/>
    </row>
    <row r="9380">
      <c r="N9380" s="5"/>
    </row>
    <row r="9381">
      <c r="N9381" s="5"/>
    </row>
    <row r="9382">
      <c r="N9382" s="5"/>
    </row>
    <row r="9383">
      <c r="N9383" s="5"/>
    </row>
    <row r="9384">
      <c r="N9384" s="5"/>
    </row>
    <row r="9385">
      <c r="N9385" s="5"/>
    </row>
    <row r="9386">
      <c r="N9386" s="5"/>
    </row>
    <row r="9387">
      <c r="N9387" s="5"/>
    </row>
    <row r="9388">
      <c r="N9388" s="5"/>
    </row>
    <row r="9389">
      <c r="N9389" s="5"/>
    </row>
    <row r="9390">
      <c r="N9390" s="5"/>
    </row>
    <row r="9391">
      <c r="N9391" s="5"/>
    </row>
    <row r="9392">
      <c r="N9392" s="5"/>
    </row>
    <row r="9393">
      <c r="N9393" s="5"/>
    </row>
    <row r="9394">
      <c r="N9394" s="5"/>
    </row>
    <row r="9395">
      <c r="N9395" s="5"/>
    </row>
    <row r="9396">
      <c r="N9396" s="5"/>
    </row>
    <row r="9397">
      <c r="N9397" s="5"/>
    </row>
    <row r="9398">
      <c r="N9398" s="5"/>
    </row>
    <row r="9399">
      <c r="N9399" s="5"/>
    </row>
    <row r="9400">
      <c r="N9400" s="5"/>
    </row>
    <row r="9401">
      <c r="N9401" s="5"/>
    </row>
    <row r="9402">
      <c r="N9402" s="5"/>
    </row>
    <row r="9403">
      <c r="N9403" s="5"/>
    </row>
    <row r="9404">
      <c r="N9404" s="5"/>
    </row>
    <row r="9405">
      <c r="N9405" s="5"/>
    </row>
    <row r="9406">
      <c r="N9406" s="5"/>
    </row>
    <row r="9407">
      <c r="N9407" s="5"/>
    </row>
    <row r="9408">
      <c r="N9408" s="5"/>
    </row>
    <row r="9409">
      <c r="N9409" s="5"/>
    </row>
    <row r="9410">
      <c r="N9410" s="5"/>
    </row>
    <row r="9411">
      <c r="N9411" s="5"/>
    </row>
    <row r="9412">
      <c r="N9412" s="5"/>
    </row>
    <row r="9413">
      <c r="N9413" s="5"/>
    </row>
    <row r="9414">
      <c r="N9414" s="5"/>
    </row>
    <row r="9415">
      <c r="N9415" s="5"/>
    </row>
    <row r="9416">
      <c r="N9416" s="5"/>
    </row>
    <row r="9417">
      <c r="N9417" s="5"/>
    </row>
    <row r="9418">
      <c r="N9418" s="5"/>
    </row>
    <row r="9419">
      <c r="N9419" s="5"/>
    </row>
    <row r="9420">
      <c r="N9420" s="5"/>
    </row>
    <row r="9421">
      <c r="N9421" s="5"/>
    </row>
    <row r="9422">
      <c r="N9422" s="5"/>
    </row>
    <row r="9423">
      <c r="N9423" s="5"/>
    </row>
    <row r="9424">
      <c r="N9424" s="5"/>
    </row>
    <row r="9425">
      <c r="N9425" s="5"/>
    </row>
    <row r="9426">
      <c r="N9426" s="5"/>
    </row>
    <row r="9427">
      <c r="N9427" s="5"/>
    </row>
    <row r="9428">
      <c r="N9428" s="5"/>
    </row>
    <row r="9429">
      <c r="N9429" s="5"/>
    </row>
    <row r="9430">
      <c r="N9430" s="5"/>
    </row>
    <row r="9431">
      <c r="N9431" s="5"/>
    </row>
    <row r="9432">
      <c r="N9432" s="5"/>
    </row>
    <row r="9433">
      <c r="N9433" s="5"/>
    </row>
    <row r="9434">
      <c r="N9434" s="5"/>
    </row>
    <row r="9435">
      <c r="N9435" s="5"/>
    </row>
    <row r="9436">
      <c r="N9436" s="5"/>
    </row>
    <row r="9437">
      <c r="N9437" s="5"/>
    </row>
    <row r="9438">
      <c r="N9438" s="5"/>
    </row>
    <row r="9439">
      <c r="N9439" s="5"/>
    </row>
    <row r="9440">
      <c r="N9440" s="5"/>
    </row>
    <row r="9441">
      <c r="N9441" s="5"/>
    </row>
    <row r="9442">
      <c r="N9442" s="5"/>
    </row>
    <row r="9443">
      <c r="N9443" s="5"/>
    </row>
    <row r="9444">
      <c r="N9444" s="5"/>
    </row>
    <row r="9445">
      <c r="N9445" s="5"/>
    </row>
    <row r="9446">
      <c r="N9446" s="5"/>
    </row>
    <row r="9447">
      <c r="N9447" s="5"/>
    </row>
    <row r="9448">
      <c r="N9448" s="5"/>
    </row>
    <row r="9449">
      <c r="N9449" s="5"/>
    </row>
    <row r="9450">
      <c r="N9450" s="5"/>
    </row>
    <row r="9451">
      <c r="N9451" s="5"/>
    </row>
    <row r="9452">
      <c r="N9452" s="5"/>
    </row>
    <row r="9453">
      <c r="N9453" s="5"/>
    </row>
    <row r="9454">
      <c r="N9454" s="5"/>
    </row>
    <row r="9455">
      <c r="N9455" s="5"/>
    </row>
    <row r="9456">
      <c r="N9456" s="5"/>
    </row>
    <row r="9457">
      <c r="N9457" s="5"/>
    </row>
    <row r="9458">
      <c r="N9458" s="5"/>
    </row>
    <row r="9459">
      <c r="N9459" s="5"/>
    </row>
    <row r="9460">
      <c r="N9460" s="5"/>
    </row>
    <row r="9461">
      <c r="N9461" s="5"/>
    </row>
    <row r="9462">
      <c r="N9462" s="5"/>
    </row>
    <row r="9463">
      <c r="N9463" s="5"/>
    </row>
    <row r="9464">
      <c r="N9464" s="5"/>
    </row>
    <row r="9465">
      <c r="N9465" s="5"/>
    </row>
    <row r="9466">
      <c r="N9466" s="5"/>
    </row>
    <row r="9467">
      <c r="N9467" s="5"/>
    </row>
    <row r="9468">
      <c r="N9468" s="5"/>
    </row>
    <row r="9469">
      <c r="N9469" s="5"/>
    </row>
    <row r="9470">
      <c r="N9470" s="5"/>
    </row>
    <row r="9471">
      <c r="N9471" s="5"/>
    </row>
    <row r="9472">
      <c r="N9472" s="5"/>
    </row>
    <row r="9473">
      <c r="N9473" s="5"/>
    </row>
    <row r="9474">
      <c r="N9474" s="5"/>
    </row>
    <row r="9475">
      <c r="N9475" s="5"/>
    </row>
    <row r="9476">
      <c r="N9476" s="5"/>
    </row>
    <row r="9477">
      <c r="I9477" s="4"/>
      <c r="N9477" s="5"/>
    </row>
    <row r="9478">
      <c r="N9478" s="5"/>
    </row>
    <row r="9479">
      <c r="N9479" s="5"/>
    </row>
    <row r="9480">
      <c r="N9480" s="5"/>
    </row>
    <row r="9481">
      <c r="N9481" s="5"/>
    </row>
    <row r="9482">
      <c r="N9482" s="5"/>
    </row>
    <row r="9483">
      <c r="N9483" s="5"/>
    </row>
    <row r="9484">
      <c r="N9484" s="5"/>
    </row>
    <row r="9485">
      <c r="N9485" s="5"/>
    </row>
    <row r="9486">
      <c r="N9486" s="5"/>
    </row>
    <row r="9487">
      <c r="N9487" s="5"/>
    </row>
    <row r="9488">
      <c r="N9488" s="5"/>
    </row>
    <row r="9489">
      <c r="N9489" s="5"/>
    </row>
    <row r="9490">
      <c r="N9490" s="5"/>
    </row>
    <row r="9491">
      <c r="N9491" s="5"/>
    </row>
    <row r="9492">
      <c r="N9492" s="5"/>
    </row>
    <row r="9493">
      <c r="N9493" s="5"/>
    </row>
    <row r="9494">
      <c r="N9494" s="5"/>
    </row>
    <row r="9495">
      <c r="N9495" s="5"/>
    </row>
    <row r="9496">
      <c r="N9496" s="5"/>
    </row>
    <row r="9497">
      <c r="N9497" s="5"/>
    </row>
    <row r="9498">
      <c r="N9498" s="5"/>
    </row>
    <row r="9499">
      <c r="N9499" s="5"/>
    </row>
    <row r="9500">
      <c r="N9500" s="5"/>
    </row>
    <row r="9501">
      <c r="N9501" s="5"/>
    </row>
    <row r="9502">
      <c r="N9502" s="5"/>
    </row>
    <row r="9503">
      <c r="N9503" s="5"/>
    </row>
    <row r="9504">
      <c r="N9504" s="5"/>
    </row>
    <row r="9505">
      <c r="N9505" s="5"/>
    </row>
    <row r="9506">
      <c r="N9506" s="5"/>
    </row>
    <row r="9507">
      <c r="N9507" s="5"/>
    </row>
    <row r="9508">
      <c r="N9508" s="5"/>
    </row>
    <row r="9509">
      <c r="N9509" s="5"/>
    </row>
    <row r="9510">
      <c r="N9510" s="5"/>
    </row>
    <row r="9511">
      <c r="N9511" s="5"/>
    </row>
    <row r="9512">
      <c r="N9512" s="5"/>
    </row>
    <row r="9513">
      <c r="N9513" s="5"/>
    </row>
    <row r="9514">
      <c r="N9514" s="5"/>
    </row>
    <row r="9515">
      <c r="N9515" s="5"/>
    </row>
    <row r="9516">
      <c r="N9516" s="5"/>
    </row>
    <row r="9517">
      <c r="N9517" s="5"/>
    </row>
    <row r="9518">
      <c r="N9518" s="5"/>
    </row>
    <row r="9519">
      <c r="N9519" s="5"/>
    </row>
    <row r="9520">
      <c r="N9520" s="5"/>
    </row>
    <row r="9521">
      <c r="N9521" s="5"/>
    </row>
    <row r="9522">
      <c r="N9522" s="5"/>
    </row>
    <row r="9523">
      <c r="N9523" s="5"/>
    </row>
    <row r="9524">
      <c r="N9524" s="5"/>
    </row>
    <row r="9525">
      <c r="N9525" s="5"/>
    </row>
    <row r="9526">
      <c r="N9526" s="5"/>
    </row>
    <row r="9527">
      <c r="N9527" s="5"/>
    </row>
    <row r="9528">
      <c r="N9528" s="5"/>
    </row>
    <row r="9529">
      <c r="N9529" s="5"/>
    </row>
    <row r="9530">
      <c r="N9530" s="5"/>
    </row>
    <row r="9531">
      <c r="N9531" s="5"/>
    </row>
    <row r="9532">
      <c r="N9532" s="5"/>
    </row>
    <row r="9533">
      <c r="N9533" s="5"/>
    </row>
    <row r="9534">
      <c r="N9534" s="5"/>
    </row>
    <row r="9535">
      <c r="N9535" s="5"/>
    </row>
    <row r="9536">
      <c r="N9536" s="5"/>
    </row>
    <row r="9537">
      <c r="N9537" s="5"/>
    </row>
    <row r="9538">
      <c r="N9538" s="5"/>
    </row>
    <row r="9539">
      <c r="N9539" s="5"/>
    </row>
    <row r="9540">
      <c r="N9540" s="5"/>
    </row>
    <row r="9541">
      <c r="N9541" s="5"/>
    </row>
    <row r="9542">
      <c r="N9542" s="5"/>
    </row>
    <row r="9543">
      <c r="N9543" s="5"/>
    </row>
    <row r="9544">
      <c r="N9544" s="5"/>
    </row>
    <row r="9545">
      <c r="N9545" s="5"/>
    </row>
    <row r="9546">
      <c r="N9546" s="5"/>
    </row>
    <row r="9547">
      <c r="N9547" s="5"/>
    </row>
    <row r="9548">
      <c r="N9548" s="5"/>
    </row>
    <row r="9549">
      <c r="N9549" s="5"/>
    </row>
    <row r="9550">
      <c r="N9550" s="5"/>
    </row>
    <row r="9551">
      <c r="N9551" s="5"/>
    </row>
    <row r="9552">
      <c r="N9552" s="5"/>
    </row>
    <row r="9553">
      <c r="N9553" s="5"/>
    </row>
    <row r="9554">
      <c r="N9554" s="5"/>
    </row>
    <row r="9555">
      <c r="N9555" s="5"/>
    </row>
    <row r="9556">
      <c r="N9556" s="5"/>
    </row>
    <row r="9557">
      <c r="N9557" s="5"/>
    </row>
    <row r="9558">
      <c r="N9558" s="5"/>
    </row>
    <row r="9559">
      <c r="N9559" s="5"/>
    </row>
    <row r="9560">
      <c r="N9560" s="5"/>
    </row>
    <row r="9561">
      <c r="N9561" s="5"/>
    </row>
    <row r="9562">
      <c r="N9562" s="5"/>
    </row>
    <row r="9563">
      <c r="N9563" s="5"/>
    </row>
    <row r="9564">
      <c r="N9564" s="5"/>
    </row>
    <row r="9565">
      <c r="N9565" s="5"/>
    </row>
    <row r="9566">
      <c r="N9566" s="5"/>
    </row>
    <row r="9567">
      <c r="N9567" s="5"/>
    </row>
    <row r="9568">
      <c r="N9568" s="5"/>
    </row>
    <row r="9569">
      <c r="N9569" s="5"/>
    </row>
    <row r="9570">
      <c r="N9570" s="5"/>
    </row>
    <row r="9571">
      <c r="N9571" s="5"/>
    </row>
    <row r="9572">
      <c r="N9572" s="5"/>
    </row>
    <row r="9573">
      <c r="N9573" s="5"/>
    </row>
    <row r="9574">
      <c r="N9574" s="5"/>
    </row>
    <row r="9575">
      <c r="N9575" s="5"/>
    </row>
    <row r="9576">
      <c r="N9576" s="5"/>
    </row>
    <row r="9577">
      <c r="N9577" s="5"/>
    </row>
    <row r="9578">
      <c r="N9578" s="5"/>
    </row>
    <row r="9579">
      <c r="N9579" s="5"/>
    </row>
    <row r="9580">
      <c r="N9580" s="5"/>
    </row>
    <row r="9581">
      <c r="N9581" s="5"/>
    </row>
    <row r="9582">
      <c r="N9582" s="5"/>
    </row>
    <row r="9583">
      <c r="N9583" s="5"/>
    </row>
    <row r="9584">
      <c r="N9584" s="5"/>
    </row>
    <row r="9585">
      <c r="N9585" s="5"/>
    </row>
    <row r="9586">
      <c r="N9586" s="5"/>
    </row>
    <row r="9587">
      <c r="N9587" s="5"/>
    </row>
    <row r="9588">
      <c r="N9588" s="5"/>
    </row>
    <row r="9589">
      <c r="N9589" s="5"/>
    </row>
    <row r="9590">
      <c r="N9590" s="5"/>
    </row>
    <row r="9591">
      <c r="N9591" s="5"/>
    </row>
    <row r="9592">
      <c r="N9592" s="5"/>
    </row>
    <row r="9593">
      <c r="N9593" s="5"/>
    </row>
    <row r="9594">
      <c r="N9594" s="5"/>
    </row>
    <row r="9595">
      <c r="N9595" s="5"/>
    </row>
    <row r="9596">
      <c r="N9596" s="5"/>
    </row>
    <row r="9597">
      <c r="N9597" s="5"/>
    </row>
    <row r="9598">
      <c r="N9598" s="5"/>
    </row>
    <row r="9599">
      <c r="N9599" s="5"/>
    </row>
    <row r="9600">
      <c r="N9600" s="5"/>
    </row>
    <row r="9601">
      <c r="N9601" s="5"/>
    </row>
    <row r="9602">
      <c r="N9602" s="5"/>
    </row>
    <row r="9603">
      <c r="N9603" s="5"/>
    </row>
    <row r="9604">
      <c r="N9604" s="5"/>
    </row>
    <row r="9605">
      <c r="N9605" s="5"/>
    </row>
    <row r="9606">
      <c r="N9606" s="5"/>
    </row>
    <row r="9607">
      <c r="N9607" s="5"/>
    </row>
    <row r="9608">
      <c r="N9608" s="5"/>
    </row>
    <row r="9609">
      <c r="N9609" s="5"/>
    </row>
    <row r="9610">
      <c r="N9610" s="5"/>
    </row>
    <row r="9611">
      <c r="N9611" s="5"/>
    </row>
    <row r="9612">
      <c r="N9612" s="5"/>
    </row>
    <row r="9613">
      <c r="N9613" s="5"/>
    </row>
    <row r="9614">
      <c r="N9614" s="5"/>
    </row>
    <row r="9615">
      <c r="N9615" s="5"/>
    </row>
    <row r="9616">
      <c r="N9616" s="5"/>
    </row>
    <row r="9617">
      <c r="N9617" s="5"/>
    </row>
    <row r="9618">
      <c r="N9618" s="5"/>
    </row>
    <row r="9619">
      <c r="N9619" s="5"/>
    </row>
    <row r="9620">
      <c r="N9620" s="5"/>
    </row>
    <row r="9621">
      <c r="N9621" s="5"/>
    </row>
    <row r="9622">
      <c r="N9622" s="5"/>
    </row>
    <row r="9623">
      <c r="N9623" s="5"/>
    </row>
    <row r="9624">
      <c r="N9624" s="5"/>
    </row>
    <row r="9625">
      <c r="N9625" s="5"/>
    </row>
    <row r="9626">
      <c r="N9626" s="5"/>
    </row>
    <row r="9627">
      <c r="N9627" s="5"/>
    </row>
    <row r="9628">
      <c r="N9628" s="5"/>
    </row>
    <row r="9629">
      <c r="N9629" s="5"/>
    </row>
    <row r="9630">
      <c r="N9630" s="5"/>
    </row>
    <row r="9631">
      <c r="N9631" s="5"/>
    </row>
    <row r="9632">
      <c r="N9632" s="5"/>
    </row>
    <row r="9633">
      <c r="N9633" s="5"/>
    </row>
    <row r="9634">
      <c r="N9634" s="5"/>
    </row>
    <row r="9635">
      <c r="N9635" s="5"/>
    </row>
    <row r="9636">
      <c r="N9636" s="5"/>
    </row>
    <row r="9637">
      <c r="N9637" s="5"/>
    </row>
    <row r="9638">
      <c r="N9638" s="5"/>
    </row>
    <row r="9639">
      <c r="N9639" s="5"/>
    </row>
    <row r="9640">
      <c r="N9640" s="5"/>
    </row>
    <row r="9641">
      <c r="N9641" s="5"/>
    </row>
    <row r="9642">
      <c r="N9642" s="5"/>
    </row>
    <row r="9643">
      <c r="N9643" s="5"/>
    </row>
    <row r="9644">
      <c r="N9644" s="5"/>
    </row>
    <row r="9645">
      <c r="N9645" s="5"/>
    </row>
    <row r="9646">
      <c r="N9646" s="5"/>
    </row>
    <row r="9647">
      <c r="N9647" s="5"/>
    </row>
    <row r="9648">
      <c r="N9648" s="5"/>
    </row>
    <row r="9649">
      <c r="N9649" s="5"/>
    </row>
    <row r="9650">
      <c r="N9650" s="5"/>
    </row>
    <row r="9651">
      <c r="N9651" s="5"/>
    </row>
    <row r="9652">
      <c r="N9652" s="5"/>
    </row>
    <row r="9653">
      <c r="N9653" s="5"/>
    </row>
    <row r="9654">
      <c r="N9654" s="5"/>
    </row>
    <row r="9655">
      <c r="N9655" s="5"/>
    </row>
    <row r="9656">
      <c r="N9656" s="5"/>
    </row>
    <row r="9657">
      <c r="N9657" s="5"/>
    </row>
    <row r="9658">
      <c r="N9658" s="5"/>
    </row>
    <row r="9659">
      <c r="N9659" s="5"/>
    </row>
    <row r="9660">
      <c r="N9660" s="5"/>
    </row>
    <row r="9661">
      <c r="N9661" s="5"/>
    </row>
    <row r="9662">
      <c r="N9662" s="5"/>
    </row>
    <row r="9663">
      <c r="N9663" s="5"/>
    </row>
    <row r="9664">
      <c r="N9664" s="5"/>
    </row>
    <row r="9665">
      <c r="N9665" s="5"/>
    </row>
    <row r="9666">
      <c r="N9666" s="5"/>
    </row>
    <row r="9667">
      <c r="N9667" s="5"/>
    </row>
    <row r="9668">
      <c r="N9668" s="5"/>
    </row>
    <row r="9669">
      <c r="N9669" s="5"/>
    </row>
    <row r="9670">
      <c r="N9670" s="5"/>
    </row>
    <row r="9671">
      <c r="N9671" s="5"/>
    </row>
    <row r="9672">
      <c r="N9672" s="5"/>
    </row>
    <row r="9673">
      <c r="N9673" s="5"/>
    </row>
    <row r="9674">
      <c r="N9674" s="5"/>
    </row>
    <row r="9675">
      <c r="N9675" s="5"/>
    </row>
    <row r="9676">
      <c r="N9676" s="5"/>
    </row>
    <row r="9677">
      <c r="N9677" s="5"/>
    </row>
    <row r="9678">
      <c r="N9678" s="5"/>
    </row>
    <row r="9679">
      <c r="N9679" s="5"/>
    </row>
    <row r="9680">
      <c r="N9680" s="5"/>
    </row>
    <row r="9681">
      <c r="N9681" s="5"/>
    </row>
    <row r="9682">
      <c r="N9682" s="5"/>
    </row>
    <row r="9683">
      <c r="N9683" s="5"/>
    </row>
    <row r="9684">
      <c r="N9684" s="5"/>
    </row>
    <row r="9685">
      <c r="N9685" s="5"/>
    </row>
    <row r="9686">
      <c r="N9686" s="5"/>
    </row>
    <row r="9687">
      <c r="N9687" s="5"/>
    </row>
    <row r="9688">
      <c r="N9688" s="5"/>
    </row>
    <row r="9689">
      <c r="N9689" s="5"/>
    </row>
    <row r="9690">
      <c r="N9690" s="5"/>
    </row>
    <row r="9691">
      <c r="N9691" s="5"/>
    </row>
    <row r="9692">
      <c r="N9692" s="5"/>
    </row>
    <row r="9693">
      <c r="N9693" s="5"/>
    </row>
    <row r="9694">
      <c r="N9694" s="5"/>
    </row>
    <row r="9695">
      <c r="N9695" s="5"/>
    </row>
    <row r="9696">
      <c r="N9696" s="5"/>
    </row>
    <row r="9697">
      <c r="N9697" s="5"/>
    </row>
    <row r="9698">
      <c r="N9698" s="5"/>
    </row>
    <row r="9699">
      <c r="N9699" s="5"/>
    </row>
    <row r="9700">
      <c r="N9700" s="5"/>
    </row>
    <row r="9701">
      <c r="N9701" s="5"/>
    </row>
    <row r="9702">
      <c r="N9702" s="5"/>
    </row>
    <row r="9703">
      <c r="N9703" s="5"/>
    </row>
    <row r="9704">
      <c r="N9704" s="5"/>
    </row>
    <row r="9705">
      <c r="N9705" s="5"/>
    </row>
    <row r="9706">
      <c r="N9706" s="5"/>
    </row>
    <row r="9707">
      <c r="N9707" s="5"/>
    </row>
    <row r="9708">
      <c r="N9708" s="5"/>
    </row>
    <row r="9709">
      <c r="N9709" s="5"/>
    </row>
    <row r="9710">
      <c r="N9710" s="5"/>
    </row>
    <row r="9711">
      <c r="N9711" s="5"/>
    </row>
    <row r="9712">
      <c r="N9712" s="5"/>
    </row>
    <row r="9713">
      <c r="N9713" s="5"/>
    </row>
    <row r="9714">
      <c r="N9714" s="5"/>
    </row>
    <row r="9715">
      <c r="N9715" s="5"/>
    </row>
    <row r="9716">
      <c r="N9716" s="5"/>
    </row>
    <row r="9717">
      <c r="N9717" s="5"/>
    </row>
    <row r="9718">
      <c r="N9718" s="5"/>
    </row>
    <row r="9719">
      <c r="N9719" s="5"/>
    </row>
    <row r="9720">
      <c r="N9720" s="5"/>
    </row>
    <row r="9721">
      <c r="N9721" s="5"/>
    </row>
    <row r="9722">
      <c r="N9722" s="5"/>
    </row>
    <row r="9723">
      <c r="N9723" s="5"/>
    </row>
    <row r="9724">
      <c r="N9724" s="5"/>
    </row>
    <row r="9725">
      <c r="N9725" s="5"/>
    </row>
    <row r="9726">
      <c r="N9726" s="5"/>
    </row>
    <row r="9727">
      <c r="N9727" s="5"/>
    </row>
    <row r="9728">
      <c r="N9728" s="5"/>
    </row>
    <row r="9729">
      <c r="N9729" s="5"/>
    </row>
    <row r="9730">
      <c r="N9730" s="5"/>
    </row>
    <row r="9731">
      <c r="N9731" s="5"/>
    </row>
    <row r="9732">
      <c r="N9732" s="5"/>
    </row>
    <row r="9733">
      <c r="N9733" s="5"/>
    </row>
    <row r="9734">
      <c r="N9734" s="5"/>
    </row>
    <row r="9735">
      <c r="N9735" s="5"/>
    </row>
    <row r="9736">
      <c r="N9736" s="5"/>
    </row>
    <row r="9737">
      <c r="N9737" s="5"/>
    </row>
    <row r="9738">
      <c r="N9738" s="5"/>
    </row>
    <row r="9739">
      <c r="N9739" s="5"/>
    </row>
    <row r="9740">
      <c r="N9740" s="5"/>
    </row>
    <row r="9741">
      <c r="N9741" s="5"/>
    </row>
    <row r="9742">
      <c r="N9742" s="5"/>
    </row>
    <row r="9743">
      <c r="N9743" s="5"/>
    </row>
    <row r="9744">
      <c r="N9744" s="5"/>
    </row>
    <row r="9745">
      <c r="N9745" s="5"/>
    </row>
    <row r="9746">
      <c r="N9746" s="5"/>
    </row>
    <row r="9747">
      <c r="N9747" s="5"/>
    </row>
    <row r="9748">
      <c r="N9748" s="5"/>
    </row>
    <row r="9749">
      <c r="N9749" s="5"/>
    </row>
    <row r="9750">
      <c r="N9750" s="5"/>
    </row>
    <row r="9751">
      <c r="N9751" s="5"/>
    </row>
    <row r="9752">
      <c r="N9752" s="5"/>
    </row>
    <row r="9753">
      <c r="N9753" s="5"/>
    </row>
    <row r="9754">
      <c r="N9754" s="5"/>
    </row>
    <row r="9755">
      <c r="N9755" s="5"/>
    </row>
    <row r="9756">
      <c r="N9756" s="5"/>
    </row>
    <row r="9757">
      <c r="N9757" s="5"/>
    </row>
    <row r="9758">
      <c r="N9758" s="5"/>
    </row>
    <row r="9759">
      <c r="N9759" s="5"/>
    </row>
    <row r="9760">
      <c r="N9760" s="5"/>
    </row>
    <row r="9761">
      <c r="N9761" s="5"/>
    </row>
    <row r="9762">
      <c r="N9762" s="5"/>
    </row>
    <row r="9763">
      <c r="N9763" s="5"/>
    </row>
    <row r="9764">
      <c r="N9764" s="5"/>
    </row>
    <row r="9765">
      <c r="N9765" s="5"/>
    </row>
    <row r="9766">
      <c r="N9766" s="5"/>
    </row>
    <row r="9767">
      <c r="N9767" s="5"/>
    </row>
    <row r="9768">
      <c r="N9768" s="5"/>
    </row>
    <row r="9769">
      <c r="N9769" s="5"/>
    </row>
    <row r="9770">
      <c r="N9770" s="5"/>
    </row>
    <row r="9771">
      <c r="N9771" s="5"/>
    </row>
    <row r="9772">
      <c r="N9772" s="5"/>
    </row>
    <row r="9773">
      <c r="N9773" s="5"/>
    </row>
    <row r="9774">
      <c r="N9774" s="5"/>
    </row>
    <row r="9775">
      <c r="N9775" s="5"/>
    </row>
    <row r="9776">
      <c r="N9776" s="5"/>
    </row>
    <row r="9777">
      <c r="N9777" s="5"/>
    </row>
    <row r="9778">
      <c r="N9778" s="5"/>
    </row>
    <row r="9779">
      <c r="N9779" s="5"/>
    </row>
    <row r="9780">
      <c r="N9780" s="5"/>
    </row>
    <row r="9781">
      <c r="N9781" s="5"/>
    </row>
    <row r="9782">
      <c r="N9782" s="5"/>
    </row>
    <row r="9783">
      <c r="N9783" s="5"/>
    </row>
    <row r="9784">
      <c r="N9784" s="5"/>
    </row>
    <row r="9785">
      <c r="N9785" s="5"/>
    </row>
    <row r="9786">
      <c r="N9786" s="5"/>
    </row>
    <row r="9787">
      <c r="N9787" s="5"/>
    </row>
    <row r="9788">
      <c r="N9788" s="5"/>
    </row>
    <row r="9789">
      <c r="N9789" s="5"/>
    </row>
    <row r="9790">
      <c r="N9790" s="5"/>
    </row>
    <row r="9791">
      <c r="N9791" s="5"/>
    </row>
    <row r="9792">
      <c r="N9792" s="5"/>
    </row>
    <row r="9793">
      <c r="N9793" s="5"/>
    </row>
    <row r="9794">
      <c r="N9794" s="5"/>
    </row>
    <row r="9795">
      <c r="N9795" s="5"/>
    </row>
    <row r="9796">
      <c r="N9796" s="5"/>
    </row>
    <row r="9797">
      <c r="N9797" s="5"/>
    </row>
    <row r="9798">
      <c r="N9798" s="5"/>
    </row>
    <row r="9799">
      <c r="N9799" s="5"/>
    </row>
    <row r="9800">
      <c r="N9800" s="5"/>
    </row>
    <row r="9801">
      <c r="N9801" s="5"/>
    </row>
    <row r="9802">
      <c r="N9802" s="5"/>
    </row>
    <row r="9803">
      <c r="N9803" s="5"/>
    </row>
    <row r="9804">
      <c r="N9804" s="5"/>
    </row>
    <row r="9805">
      <c r="N9805" s="5"/>
    </row>
    <row r="9806">
      <c r="N9806" s="5"/>
    </row>
    <row r="9807">
      <c r="N9807" s="5"/>
    </row>
    <row r="9808">
      <c r="N9808" s="5"/>
    </row>
    <row r="9809">
      <c r="N9809" s="5"/>
    </row>
    <row r="9810">
      <c r="N9810" s="5"/>
    </row>
    <row r="9811">
      <c r="N9811" s="5"/>
    </row>
    <row r="9812">
      <c r="N9812" s="5"/>
    </row>
    <row r="9813">
      <c r="N9813" s="5"/>
    </row>
    <row r="9814">
      <c r="N9814" s="5"/>
    </row>
    <row r="9815">
      <c r="N9815" s="5"/>
    </row>
    <row r="9816">
      <c r="N9816" s="5"/>
    </row>
    <row r="9817">
      <c r="N9817" s="5"/>
    </row>
    <row r="9818">
      <c r="N9818" s="5"/>
    </row>
    <row r="9819">
      <c r="N9819" s="5"/>
    </row>
    <row r="9820">
      <c r="N9820" s="5"/>
    </row>
    <row r="9821">
      <c r="N9821" s="5"/>
    </row>
    <row r="9822">
      <c r="N9822" s="5"/>
    </row>
    <row r="9823">
      <c r="N9823" s="5"/>
    </row>
    <row r="9824">
      <c r="N9824" s="5"/>
    </row>
    <row r="9825">
      <c r="N9825" s="5"/>
    </row>
    <row r="9826">
      <c r="N9826" s="5"/>
    </row>
    <row r="9827">
      <c r="N9827" s="5"/>
    </row>
    <row r="9828">
      <c r="N9828" s="5"/>
    </row>
    <row r="9829">
      <c r="N9829" s="5"/>
    </row>
    <row r="9830">
      <c r="N9830" s="5"/>
    </row>
    <row r="9831">
      <c r="N9831" s="5"/>
    </row>
    <row r="9832">
      <c r="N9832" s="5"/>
    </row>
    <row r="9833">
      <c r="N9833" s="5"/>
    </row>
    <row r="9834">
      <c r="N9834" s="5"/>
    </row>
    <row r="9835">
      <c r="N9835" s="5"/>
    </row>
    <row r="9836">
      <c r="N9836" s="5"/>
    </row>
    <row r="9837">
      <c r="N9837" s="5"/>
    </row>
    <row r="9838">
      <c r="N9838" s="5"/>
    </row>
    <row r="9839">
      <c r="N9839" s="5"/>
    </row>
    <row r="9840">
      <c r="N9840" s="5"/>
    </row>
    <row r="9841">
      <c r="N9841" s="5"/>
    </row>
    <row r="9842">
      <c r="N9842" s="5"/>
    </row>
    <row r="9843">
      <c r="N9843" s="5"/>
    </row>
    <row r="9844">
      <c r="N9844" s="5"/>
    </row>
    <row r="9845">
      <c r="N9845" s="5"/>
    </row>
    <row r="9846">
      <c r="N9846" s="5"/>
    </row>
    <row r="9847">
      <c r="N9847" s="5"/>
    </row>
    <row r="9848">
      <c r="N9848" s="5"/>
    </row>
    <row r="9849">
      <c r="N9849" s="5"/>
    </row>
    <row r="9850">
      <c r="N9850" s="5"/>
    </row>
    <row r="9851">
      <c r="N9851" s="5"/>
    </row>
    <row r="9852">
      <c r="N9852" s="5"/>
    </row>
    <row r="9853">
      <c r="N9853" s="5"/>
    </row>
    <row r="9854">
      <c r="N9854" s="5"/>
    </row>
    <row r="9855">
      <c r="N9855" s="5"/>
    </row>
    <row r="9856">
      <c r="N9856" s="5"/>
    </row>
    <row r="9857">
      <c r="N9857" s="5"/>
    </row>
    <row r="9858">
      <c r="N9858" s="5"/>
    </row>
    <row r="9859">
      <c r="N9859" s="5"/>
    </row>
    <row r="9860">
      <c r="N9860" s="5"/>
    </row>
    <row r="9861">
      <c r="N9861" s="5"/>
    </row>
    <row r="9862">
      <c r="N9862" s="5"/>
    </row>
    <row r="9863">
      <c r="N9863" s="5"/>
    </row>
    <row r="9864">
      <c r="N9864" s="5"/>
    </row>
    <row r="9865">
      <c r="N9865" s="5"/>
    </row>
    <row r="9866">
      <c r="N9866" s="5"/>
    </row>
    <row r="9867">
      <c r="N9867" s="5"/>
    </row>
    <row r="9868">
      <c r="N9868" s="5"/>
    </row>
    <row r="9869">
      <c r="N9869" s="5"/>
    </row>
    <row r="9870">
      <c r="N9870" s="5"/>
    </row>
    <row r="9871">
      <c r="N9871" s="5"/>
    </row>
    <row r="9872">
      <c r="N9872" s="5"/>
    </row>
    <row r="9873">
      <c r="N9873" s="5"/>
    </row>
    <row r="9874">
      <c r="N9874" s="5"/>
    </row>
    <row r="9875">
      <c r="N9875" s="5"/>
    </row>
    <row r="9876">
      <c r="N9876" s="5"/>
    </row>
    <row r="9877">
      <c r="N9877" s="5"/>
    </row>
    <row r="9878">
      <c r="N9878" s="5"/>
    </row>
    <row r="9879">
      <c r="N9879" s="5"/>
    </row>
    <row r="9880">
      <c r="N9880" s="5"/>
    </row>
    <row r="9881">
      <c r="N9881" s="5"/>
    </row>
    <row r="9882">
      <c r="N9882" s="5"/>
    </row>
    <row r="9883">
      <c r="N9883" s="5"/>
    </row>
    <row r="9884">
      <c r="N9884" s="5"/>
    </row>
    <row r="9885">
      <c r="N9885" s="5"/>
    </row>
    <row r="9886">
      <c r="N9886" s="5"/>
    </row>
    <row r="9887">
      <c r="N9887" s="5"/>
    </row>
    <row r="9888">
      <c r="N9888" s="5"/>
    </row>
    <row r="9889">
      <c r="N9889" s="5"/>
    </row>
    <row r="9890">
      <c r="N9890" s="5"/>
    </row>
    <row r="9891">
      <c r="N9891" s="5"/>
    </row>
    <row r="9892">
      <c r="N9892" s="5"/>
    </row>
    <row r="9893">
      <c r="N9893" s="5"/>
    </row>
    <row r="9894">
      <c r="N9894" s="5"/>
    </row>
    <row r="9895">
      <c r="N9895" s="5"/>
    </row>
    <row r="9896">
      <c r="N9896" s="5"/>
    </row>
    <row r="9897">
      <c r="N9897" s="5"/>
    </row>
    <row r="9898">
      <c r="N9898" s="5"/>
    </row>
    <row r="9899">
      <c r="N9899" s="5"/>
    </row>
    <row r="9900">
      <c r="N9900" s="5"/>
    </row>
    <row r="9901">
      <c r="N9901" s="5"/>
    </row>
    <row r="9902">
      <c r="N9902" s="5"/>
    </row>
    <row r="9903">
      <c r="N9903" s="5"/>
    </row>
    <row r="9904">
      <c r="N9904" s="5"/>
    </row>
    <row r="9905">
      <c r="N9905" s="5"/>
    </row>
    <row r="9906">
      <c r="N9906" s="5"/>
    </row>
    <row r="9907">
      <c r="N9907" s="5"/>
    </row>
    <row r="9908">
      <c r="N9908" s="5"/>
    </row>
    <row r="9909">
      <c r="N9909" s="5"/>
    </row>
    <row r="9910">
      <c r="N9910" s="5"/>
    </row>
    <row r="9911">
      <c r="N9911" s="5"/>
    </row>
    <row r="9912">
      <c r="N9912" s="5"/>
    </row>
    <row r="9913">
      <c r="N9913" s="5"/>
    </row>
    <row r="9914">
      <c r="N9914" s="5"/>
    </row>
    <row r="9915">
      <c r="N9915" s="5"/>
    </row>
    <row r="9916">
      <c r="N9916" s="5"/>
    </row>
    <row r="9917">
      <c r="N9917" s="5"/>
    </row>
    <row r="9918">
      <c r="N9918" s="5"/>
    </row>
    <row r="9919">
      <c r="N9919" s="5"/>
    </row>
    <row r="9920">
      <c r="N9920" s="5"/>
    </row>
    <row r="9921">
      <c r="N9921" s="5"/>
    </row>
    <row r="9922">
      <c r="N9922" s="5"/>
    </row>
    <row r="9923">
      <c r="N9923" s="5"/>
    </row>
    <row r="9924">
      <c r="N9924" s="5"/>
    </row>
    <row r="9925">
      <c r="N9925" s="5"/>
    </row>
    <row r="9926">
      <c r="N9926" s="5"/>
    </row>
    <row r="9927">
      <c r="N9927" s="5"/>
    </row>
    <row r="9928">
      <c r="N9928" s="5"/>
    </row>
    <row r="9929">
      <c r="N9929" s="5"/>
    </row>
    <row r="9930">
      <c r="N9930" s="5"/>
    </row>
    <row r="9931">
      <c r="N9931" s="5"/>
    </row>
    <row r="9932">
      <c r="N9932" s="5"/>
    </row>
    <row r="9933">
      <c r="N9933" s="5"/>
    </row>
    <row r="9934">
      <c r="N9934" s="5"/>
    </row>
    <row r="9935">
      <c r="N9935" s="5"/>
    </row>
    <row r="9936">
      <c r="N9936" s="5"/>
    </row>
    <row r="9937">
      <c r="N9937" s="5"/>
    </row>
    <row r="9938">
      <c r="N9938" s="5"/>
    </row>
    <row r="9939">
      <c r="N9939" s="5"/>
    </row>
    <row r="9940">
      <c r="N9940" s="5"/>
    </row>
    <row r="9941">
      <c r="N9941" s="5"/>
    </row>
    <row r="9942">
      <c r="N9942" s="5"/>
    </row>
    <row r="9943">
      <c r="N9943" s="5"/>
    </row>
    <row r="9944">
      <c r="N9944" s="5"/>
    </row>
    <row r="9945">
      <c r="N9945" s="5"/>
    </row>
    <row r="9946">
      <c r="N9946" s="5"/>
    </row>
    <row r="9947">
      <c r="N9947" s="5"/>
    </row>
    <row r="9948">
      <c r="N9948" s="5"/>
    </row>
    <row r="9949">
      <c r="N9949" s="5"/>
    </row>
    <row r="9950">
      <c r="N9950" s="5"/>
    </row>
    <row r="9951">
      <c r="N9951" s="5"/>
    </row>
    <row r="9952">
      <c r="N9952" s="5"/>
    </row>
    <row r="9953">
      <c r="N9953" s="5"/>
    </row>
    <row r="9954">
      <c r="N9954" s="5"/>
    </row>
    <row r="9955">
      <c r="N9955" s="5"/>
    </row>
    <row r="9956">
      <c r="N9956" s="5"/>
    </row>
    <row r="9957">
      <c r="N9957" s="5"/>
    </row>
    <row r="9958">
      <c r="N9958" s="5"/>
    </row>
    <row r="9959">
      <c r="N9959" s="5"/>
    </row>
    <row r="9960">
      <c r="N9960" s="5"/>
    </row>
    <row r="9961">
      <c r="N9961" s="5"/>
    </row>
    <row r="9962">
      <c r="N9962" s="5"/>
    </row>
    <row r="9963">
      <c r="N9963" s="5"/>
    </row>
    <row r="9964">
      <c r="N9964" s="5"/>
    </row>
    <row r="9965">
      <c r="N9965" s="5"/>
    </row>
    <row r="9966">
      <c r="N9966" s="5"/>
    </row>
    <row r="9967">
      <c r="N9967" s="5"/>
    </row>
    <row r="9968">
      <c r="N9968" s="5"/>
    </row>
    <row r="9969">
      <c r="N9969" s="5"/>
    </row>
    <row r="9970">
      <c r="N9970" s="5"/>
    </row>
    <row r="9971">
      <c r="N9971" s="5"/>
    </row>
    <row r="9972">
      <c r="N9972" s="5"/>
    </row>
    <row r="9973">
      <c r="N9973" s="5"/>
    </row>
    <row r="9974">
      <c r="N9974" s="5"/>
    </row>
    <row r="9975">
      <c r="N9975" s="5"/>
    </row>
    <row r="9976">
      <c r="N9976" s="5"/>
    </row>
    <row r="9977">
      <c r="N9977" s="5"/>
    </row>
    <row r="9978">
      <c r="N9978" s="5"/>
    </row>
    <row r="9979">
      <c r="N9979" s="5"/>
    </row>
    <row r="9980">
      <c r="N9980" s="5"/>
    </row>
    <row r="9981">
      <c r="N9981" s="5"/>
    </row>
    <row r="9982">
      <c r="N9982" s="5"/>
    </row>
    <row r="9983">
      <c r="N9983" s="5"/>
    </row>
    <row r="9984">
      <c r="N9984" s="5"/>
    </row>
    <row r="9985">
      <c r="N9985" s="5"/>
    </row>
    <row r="9986">
      <c r="N9986" s="5"/>
    </row>
    <row r="9987">
      <c r="N9987" s="5"/>
    </row>
    <row r="9988">
      <c r="N9988" s="5"/>
    </row>
    <row r="9989">
      <c r="N9989" s="5"/>
    </row>
    <row r="9990">
      <c r="N9990" s="5"/>
    </row>
    <row r="9991">
      <c r="N9991" s="5"/>
    </row>
    <row r="9992">
      <c r="N9992" s="5"/>
    </row>
    <row r="9993">
      <c r="N9993" s="5"/>
    </row>
    <row r="9994">
      <c r="N9994" s="5"/>
    </row>
    <row r="9995">
      <c r="N9995" s="5"/>
    </row>
    <row r="9996">
      <c r="N9996" s="5"/>
    </row>
    <row r="9997">
      <c r="N9997" s="5"/>
    </row>
    <row r="9998">
      <c r="N9998" s="5"/>
    </row>
    <row r="9999">
      <c r="N9999" s="5"/>
    </row>
    <row r="10000">
      <c r="N10000" s="5"/>
    </row>
    <row r="10001">
      <c r="N10001" s="5"/>
    </row>
    <row r="10002">
      <c r="N10002" s="5"/>
    </row>
    <row r="10003">
      <c r="N10003" s="5"/>
    </row>
    <row r="10004">
      <c r="N10004" s="5"/>
    </row>
    <row r="10005">
      <c r="N10005" s="5"/>
    </row>
    <row r="10006">
      <c r="N10006" s="5"/>
    </row>
    <row r="10007">
      <c r="N10007" s="5"/>
    </row>
    <row r="10008">
      <c r="N10008" s="5"/>
    </row>
    <row r="10009">
      <c r="N10009" s="5"/>
    </row>
    <row r="10010">
      <c r="N10010" s="5"/>
    </row>
    <row r="10011">
      <c r="N10011" s="5"/>
    </row>
    <row r="10012">
      <c r="N10012" s="5"/>
    </row>
    <row r="10013">
      <c r="N10013" s="5"/>
    </row>
    <row r="10014">
      <c r="N10014" s="5"/>
    </row>
    <row r="10015">
      <c r="N10015" s="5"/>
    </row>
    <row r="10016">
      <c r="N10016" s="5"/>
    </row>
    <row r="10017">
      <c r="N10017" s="5"/>
    </row>
    <row r="10018">
      <c r="N10018" s="5"/>
    </row>
    <row r="10019">
      <c r="N10019" s="5"/>
    </row>
    <row r="10020">
      <c r="N10020" s="5"/>
    </row>
    <row r="10021">
      <c r="N10021" s="5"/>
    </row>
    <row r="10022">
      <c r="N10022" s="5"/>
    </row>
    <row r="10023">
      <c r="N10023" s="5"/>
    </row>
    <row r="10024">
      <c r="N10024" s="5"/>
    </row>
    <row r="10025">
      <c r="N10025" s="5"/>
    </row>
    <row r="10026">
      <c r="N10026" s="5"/>
    </row>
    <row r="10027">
      <c r="N10027" s="5"/>
    </row>
    <row r="10028">
      <c r="N10028" s="5"/>
    </row>
    <row r="10029">
      <c r="N10029" s="5"/>
    </row>
    <row r="10030">
      <c r="N10030" s="5"/>
    </row>
    <row r="10031">
      <c r="N10031" s="5"/>
    </row>
    <row r="10032">
      <c r="N10032" s="5"/>
    </row>
    <row r="10033">
      <c r="N10033" s="5"/>
    </row>
    <row r="10034">
      <c r="N10034" s="5"/>
    </row>
    <row r="10035">
      <c r="N10035" s="5"/>
    </row>
    <row r="10036">
      <c r="N10036" s="5"/>
    </row>
    <row r="10037">
      <c r="N10037" s="5"/>
    </row>
    <row r="10038">
      <c r="N10038" s="5"/>
    </row>
    <row r="10039">
      <c r="N10039" s="5"/>
    </row>
    <row r="10040">
      <c r="N10040" s="5"/>
    </row>
    <row r="10041">
      <c r="N10041" s="5"/>
    </row>
    <row r="10042">
      <c r="N10042" s="5"/>
    </row>
    <row r="10043">
      <c r="N10043" s="5"/>
    </row>
    <row r="10044">
      <c r="N10044" s="5"/>
    </row>
    <row r="10045">
      <c r="N10045" s="5"/>
    </row>
    <row r="10046">
      <c r="N10046" s="5"/>
    </row>
    <row r="10047">
      <c r="N10047" s="5"/>
    </row>
    <row r="10048">
      <c r="N10048" s="5"/>
    </row>
    <row r="10049">
      <c r="N10049" s="5"/>
    </row>
    <row r="10050">
      <c r="N10050" s="5"/>
    </row>
    <row r="10051">
      <c r="N10051" s="5"/>
    </row>
    <row r="10052">
      <c r="N10052" s="5"/>
    </row>
    <row r="10053">
      <c r="N10053" s="5"/>
    </row>
    <row r="10054">
      <c r="N10054" s="5"/>
    </row>
    <row r="10055">
      <c r="N10055" s="5"/>
    </row>
    <row r="10056">
      <c r="N10056" s="5"/>
    </row>
    <row r="10057">
      <c r="N10057" s="5"/>
    </row>
    <row r="10058">
      <c r="N10058" s="5"/>
    </row>
    <row r="10059">
      <c r="N10059" s="5"/>
    </row>
    <row r="10060">
      <c r="N10060" s="5"/>
    </row>
    <row r="10061">
      <c r="N10061" s="5"/>
    </row>
    <row r="10062">
      <c r="N10062" s="5"/>
    </row>
    <row r="10063">
      <c r="N10063" s="5"/>
    </row>
    <row r="10064">
      <c r="N10064" s="5"/>
    </row>
    <row r="10065">
      <c r="N10065" s="5"/>
    </row>
    <row r="10066">
      <c r="N10066" s="5"/>
    </row>
    <row r="10067">
      <c r="N10067" s="5"/>
    </row>
    <row r="10068">
      <c r="N10068" s="5"/>
    </row>
    <row r="10069">
      <c r="N10069" s="5"/>
    </row>
    <row r="10070">
      <c r="N10070" s="5"/>
    </row>
    <row r="10071">
      <c r="N10071" s="5"/>
    </row>
    <row r="10072">
      <c r="N10072" s="5"/>
    </row>
    <row r="10073">
      <c r="N10073" s="5"/>
    </row>
    <row r="10074">
      <c r="N10074" s="5"/>
    </row>
    <row r="10075">
      <c r="N10075" s="5"/>
    </row>
    <row r="10076">
      <c r="N10076" s="5"/>
    </row>
    <row r="10077">
      <c r="N10077" s="5"/>
    </row>
    <row r="10078">
      <c r="N10078" s="5"/>
    </row>
    <row r="10079">
      <c r="N10079" s="5"/>
    </row>
    <row r="10080">
      <c r="N10080" s="5"/>
    </row>
    <row r="10081">
      <c r="N10081" s="5"/>
    </row>
    <row r="10082">
      <c r="N10082" s="5"/>
    </row>
    <row r="10083">
      <c r="N10083" s="5"/>
    </row>
    <row r="10084">
      <c r="N10084" s="5"/>
    </row>
    <row r="10085">
      <c r="N10085" s="5"/>
    </row>
    <row r="10086">
      <c r="N10086" s="5"/>
    </row>
    <row r="10087">
      <c r="N10087" s="5"/>
    </row>
    <row r="10088">
      <c r="N10088" s="5"/>
    </row>
    <row r="10089">
      <c r="N10089" s="5"/>
    </row>
    <row r="10090">
      <c r="N10090" s="5"/>
    </row>
    <row r="10091">
      <c r="N10091" s="5"/>
    </row>
    <row r="10092">
      <c r="N10092" s="5"/>
    </row>
    <row r="10093">
      <c r="N10093" s="5"/>
    </row>
    <row r="10094">
      <c r="N10094" s="5"/>
    </row>
    <row r="10095">
      <c r="N10095" s="5"/>
    </row>
    <row r="10096">
      <c r="N10096" s="5"/>
    </row>
    <row r="10097">
      <c r="N10097" s="5"/>
    </row>
    <row r="10098">
      <c r="N10098" s="5"/>
    </row>
    <row r="10099">
      <c r="N10099" s="5"/>
    </row>
    <row r="10100">
      <c r="N10100" s="5"/>
    </row>
    <row r="10101">
      <c r="N10101" s="5"/>
    </row>
    <row r="10102">
      <c r="N10102" s="5"/>
    </row>
    <row r="10103">
      <c r="N10103" s="5"/>
    </row>
    <row r="10104">
      <c r="N10104" s="5"/>
    </row>
    <row r="10105">
      <c r="N10105" s="5"/>
    </row>
    <row r="10106">
      <c r="N10106" s="5"/>
    </row>
    <row r="10107">
      <c r="N10107" s="5"/>
    </row>
    <row r="10108">
      <c r="N10108" s="5"/>
    </row>
    <row r="10109">
      <c r="N10109" s="5"/>
    </row>
    <row r="10110">
      <c r="N10110" s="5"/>
    </row>
    <row r="10111">
      <c r="N10111" s="5"/>
    </row>
    <row r="10112">
      <c r="N10112" s="5"/>
    </row>
    <row r="10113">
      <c r="N10113" s="5"/>
    </row>
    <row r="10114">
      <c r="N10114" s="5"/>
    </row>
    <row r="10115">
      <c r="N10115" s="5"/>
    </row>
    <row r="10116">
      <c r="N10116" s="5"/>
    </row>
    <row r="10117">
      <c r="N10117" s="5"/>
    </row>
    <row r="10118">
      <c r="N10118" s="5"/>
    </row>
    <row r="10119">
      <c r="N10119" s="5"/>
    </row>
    <row r="10120">
      <c r="N10120" s="5"/>
    </row>
    <row r="10121">
      <c r="N10121" s="5"/>
    </row>
    <row r="10122">
      <c r="N10122" s="5"/>
    </row>
    <row r="10123">
      <c r="N10123" s="5"/>
    </row>
    <row r="10124">
      <c r="N10124" s="5"/>
    </row>
    <row r="10125">
      <c r="N10125" s="5"/>
    </row>
    <row r="10126">
      <c r="N10126" s="5"/>
    </row>
    <row r="10127">
      <c r="N10127" s="5"/>
    </row>
    <row r="10128">
      <c r="N10128" s="5"/>
    </row>
    <row r="10129">
      <c r="N10129" s="5"/>
    </row>
    <row r="10130">
      <c r="N10130" s="5"/>
    </row>
    <row r="10131">
      <c r="N10131" s="5"/>
    </row>
    <row r="10132">
      <c r="N10132" s="5"/>
    </row>
    <row r="10133">
      <c r="N10133" s="5"/>
    </row>
    <row r="10134">
      <c r="N10134" s="5"/>
    </row>
    <row r="10135">
      <c r="N10135" s="5"/>
    </row>
    <row r="10136">
      <c r="N10136" s="5"/>
    </row>
    <row r="10137">
      <c r="N10137" s="5"/>
    </row>
    <row r="10138">
      <c r="N10138" s="5"/>
    </row>
    <row r="10139">
      <c r="N10139" s="5"/>
    </row>
    <row r="10140">
      <c r="N10140" s="5"/>
    </row>
    <row r="10141">
      <c r="N10141" s="5"/>
    </row>
    <row r="10142">
      <c r="N10142" s="5"/>
    </row>
    <row r="10143">
      <c r="N10143" s="5"/>
    </row>
    <row r="10144">
      <c r="N10144" s="5"/>
    </row>
    <row r="10145">
      <c r="N10145" s="5"/>
    </row>
    <row r="10146">
      <c r="N10146" s="5"/>
    </row>
    <row r="10147">
      <c r="N10147" s="5"/>
    </row>
    <row r="10148">
      <c r="N10148" s="5"/>
    </row>
    <row r="10149">
      <c r="N10149" s="5"/>
    </row>
    <row r="10150">
      <c r="N10150" s="5"/>
    </row>
    <row r="10151">
      <c r="N10151" s="5"/>
    </row>
    <row r="10152">
      <c r="N10152" s="5"/>
    </row>
    <row r="10153">
      <c r="N10153" s="5"/>
    </row>
    <row r="10154">
      <c r="N10154" s="5"/>
    </row>
    <row r="10155">
      <c r="N10155" s="5"/>
    </row>
    <row r="10156">
      <c r="N10156" s="5"/>
    </row>
    <row r="10157">
      <c r="N10157" s="5"/>
    </row>
    <row r="10158">
      <c r="N10158" s="5"/>
    </row>
    <row r="10159">
      <c r="N10159" s="5"/>
    </row>
    <row r="10160">
      <c r="N10160" s="5"/>
    </row>
    <row r="10161">
      <c r="N10161" s="5"/>
    </row>
    <row r="10162">
      <c r="N10162" s="5"/>
    </row>
    <row r="10163">
      <c r="N10163" s="5"/>
    </row>
    <row r="10164">
      <c r="N10164" s="5"/>
    </row>
    <row r="10165">
      <c r="N10165" s="5"/>
    </row>
    <row r="10166">
      <c r="N10166" s="5"/>
    </row>
    <row r="10167">
      <c r="N10167" s="5"/>
    </row>
    <row r="10168">
      <c r="N10168" s="5"/>
    </row>
    <row r="10169">
      <c r="N10169" s="5"/>
    </row>
    <row r="10170">
      <c r="N10170" s="5"/>
    </row>
    <row r="10171">
      <c r="N10171" s="5"/>
    </row>
    <row r="10172">
      <c r="N10172" s="5"/>
    </row>
    <row r="10173">
      <c r="N10173" s="5"/>
    </row>
    <row r="10174">
      <c r="N10174" s="5"/>
    </row>
    <row r="10175">
      <c r="N10175" s="5"/>
    </row>
    <row r="10176">
      <c r="N10176" s="5"/>
    </row>
    <row r="10177">
      <c r="N10177" s="5"/>
    </row>
    <row r="10178">
      <c r="N10178" s="5"/>
    </row>
    <row r="10179">
      <c r="N10179" s="5"/>
    </row>
    <row r="10180">
      <c r="N10180" s="5"/>
    </row>
    <row r="10181">
      <c r="N10181" s="5"/>
    </row>
    <row r="10182">
      <c r="N10182" s="5"/>
    </row>
    <row r="10183">
      <c r="N10183" s="5"/>
    </row>
    <row r="10184">
      <c r="N10184" s="5"/>
    </row>
    <row r="10185">
      <c r="N10185" s="5"/>
    </row>
    <row r="10186">
      <c r="N10186" s="5"/>
    </row>
    <row r="10187">
      <c r="N10187" s="5"/>
    </row>
    <row r="10188">
      <c r="N10188" s="5"/>
    </row>
    <row r="10189">
      <c r="N10189" s="5"/>
    </row>
    <row r="10190">
      <c r="N10190" s="5"/>
    </row>
    <row r="10191">
      <c r="N10191" s="5"/>
    </row>
    <row r="10192">
      <c r="N10192" s="5"/>
    </row>
    <row r="10193">
      <c r="N10193" s="5"/>
    </row>
    <row r="10194">
      <c r="N10194" s="5"/>
    </row>
    <row r="10195">
      <c r="N10195" s="5"/>
    </row>
    <row r="10196">
      <c r="N10196" s="5"/>
    </row>
    <row r="10197">
      <c r="N10197" s="5"/>
    </row>
    <row r="10198">
      <c r="N10198" s="5"/>
    </row>
    <row r="10199">
      <c r="N10199" s="5"/>
    </row>
    <row r="10200">
      <c r="N10200" s="5"/>
    </row>
    <row r="10201">
      <c r="N10201" s="5"/>
    </row>
    <row r="10202">
      <c r="N10202" s="5"/>
    </row>
    <row r="10203">
      <c r="N10203" s="5"/>
    </row>
    <row r="10204">
      <c r="N10204" s="5"/>
    </row>
    <row r="10205">
      <c r="N10205" s="5"/>
    </row>
    <row r="10206">
      <c r="N10206" s="5"/>
    </row>
    <row r="10207">
      <c r="N10207" s="5"/>
    </row>
    <row r="10208">
      <c r="N10208" s="5"/>
    </row>
    <row r="10209">
      <c r="N10209" s="5"/>
    </row>
    <row r="10210">
      <c r="N10210" s="5"/>
    </row>
    <row r="10211">
      <c r="N10211" s="5"/>
    </row>
    <row r="10212">
      <c r="N10212" s="5"/>
    </row>
    <row r="10213">
      <c r="N10213" s="5"/>
    </row>
    <row r="10214">
      <c r="N10214" s="5"/>
    </row>
    <row r="10215">
      <c r="N10215" s="5"/>
    </row>
    <row r="10216">
      <c r="N10216" s="5"/>
    </row>
    <row r="10217">
      <c r="N10217" s="5"/>
    </row>
    <row r="10218">
      <c r="N10218" s="5"/>
    </row>
    <row r="10219">
      <c r="N10219" s="5"/>
    </row>
    <row r="10220">
      <c r="N10220" s="5"/>
    </row>
    <row r="10221">
      <c r="N10221" s="5"/>
    </row>
    <row r="10222">
      <c r="N10222" s="5"/>
    </row>
    <row r="10223">
      <c r="N10223" s="5"/>
    </row>
    <row r="10224">
      <c r="N10224" s="5"/>
    </row>
    <row r="10225">
      <c r="N10225" s="5"/>
    </row>
    <row r="10226">
      <c r="N10226" s="5"/>
    </row>
    <row r="10227">
      <c r="N10227" s="5"/>
    </row>
    <row r="10228">
      <c r="N10228" s="5"/>
    </row>
    <row r="10229">
      <c r="N10229" s="5"/>
    </row>
    <row r="10230">
      <c r="N10230" s="5"/>
    </row>
    <row r="10231">
      <c r="N10231" s="5"/>
    </row>
    <row r="10232">
      <c r="N10232" s="5"/>
    </row>
    <row r="10233">
      <c r="N10233" s="5"/>
    </row>
    <row r="10234">
      <c r="N10234" s="5"/>
    </row>
    <row r="10235">
      <c r="N10235" s="5"/>
    </row>
    <row r="10236">
      <c r="N10236" s="5"/>
    </row>
    <row r="10237">
      <c r="N10237" s="5"/>
    </row>
    <row r="10238">
      <c r="N10238" s="5"/>
    </row>
    <row r="10239">
      <c r="N10239" s="5"/>
    </row>
    <row r="10240">
      <c r="N10240" s="5"/>
    </row>
    <row r="10241">
      <c r="N10241" s="5"/>
    </row>
    <row r="10242">
      <c r="N10242" s="5"/>
    </row>
    <row r="10243">
      <c r="N10243" s="5"/>
    </row>
    <row r="10244">
      <c r="N10244" s="5"/>
    </row>
    <row r="10245">
      <c r="N10245" s="5"/>
    </row>
    <row r="10246">
      <c r="N10246" s="5"/>
    </row>
    <row r="10247">
      <c r="N10247" s="5"/>
    </row>
    <row r="10248">
      <c r="N10248" s="5"/>
    </row>
    <row r="10249">
      <c r="N10249" s="5"/>
    </row>
    <row r="10250">
      <c r="N10250" s="5"/>
    </row>
    <row r="10251">
      <c r="N10251" s="5"/>
    </row>
    <row r="10252">
      <c r="N10252" s="5"/>
    </row>
    <row r="10253">
      <c r="N10253" s="5"/>
    </row>
    <row r="10254">
      <c r="N10254" s="5"/>
    </row>
    <row r="10255">
      <c r="N10255" s="5"/>
    </row>
    <row r="10256">
      <c r="N10256" s="5"/>
    </row>
    <row r="10257">
      <c r="N10257" s="5"/>
    </row>
    <row r="10258">
      <c r="N10258" s="5"/>
    </row>
    <row r="10259">
      <c r="N10259" s="5"/>
    </row>
    <row r="10260">
      <c r="N10260" s="5"/>
    </row>
    <row r="10261">
      <c r="N10261" s="5"/>
    </row>
    <row r="10262">
      <c r="N10262" s="5"/>
    </row>
    <row r="10263">
      <c r="N10263" s="5"/>
    </row>
    <row r="10264">
      <c r="N10264" s="5"/>
    </row>
    <row r="10265">
      <c r="N10265" s="5"/>
    </row>
    <row r="10266">
      <c r="N10266" s="5"/>
    </row>
    <row r="10267">
      <c r="N10267" s="5"/>
    </row>
    <row r="10268">
      <c r="N10268" s="5"/>
    </row>
    <row r="10269">
      <c r="N10269" s="5"/>
    </row>
    <row r="10270">
      <c r="N10270" s="5"/>
    </row>
    <row r="10271">
      <c r="N10271" s="5"/>
    </row>
    <row r="10272">
      <c r="N10272" s="5"/>
    </row>
    <row r="10273">
      <c r="N10273" s="5"/>
    </row>
    <row r="10274">
      <c r="N10274" s="5"/>
    </row>
    <row r="10275">
      <c r="N10275" s="5"/>
    </row>
    <row r="10276">
      <c r="N10276" s="5"/>
    </row>
    <row r="10277">
      <c r="N10277" s="5"/>
    </row>
    <row r="10278">
      <c r="N10278" s="5"/>
    </row>
    <row r="10279">
      <c r="N10279" s="5"/>
    </row>
    <row r="10280">
      <c r="N10280" s="5"/>
    </row>
    <row r="10281">
      <c r="N10281" s="5"/>
    </row>
    <row r="10282">
      <c r="N10282" s="5"/>
    </row>
    <row r="10283">
      <c r="N10283" s="5"/>
    </row>
    <row r="10284">
      <c r="N10284" s="5"/>
    </row>
    <row r="10285">
      <c r="N10285" s="5"/>
    </row>
    <row r="10286">
      <c r="N10286" s="5"/>
    </row>
    <row r="10287">
      <c r="N10287" s="5"/>
    </row>
    <row r="10288">
      <c r="N10288" s="5"/>
    </row>
    <row r="10289">
      <c r="N10289" s="5"/>
    </row>
    <row r="10290">
      <c r="N10290" s="5"/>
    </row>
    <row r="10291">
      <c r="N10291" s="5"/>
    </row>
    <row r="10292">
      <c r="N10292" s="5"/>
    </row>
    <row r="10293">
      <c r="N10293" s="5"/>
    </row>
    <row r="10294">
      <c r="N10294" s="5"/>
    </row>
    <row r="10295">
      <c r="N10295" s="5"/>
    </row>
    <row r="10296">
      <c r="N10296" s="5"/>
    </row>
    <row r="10297">
      <c r="N10297" s="5"/>
    </row>
    <row r="10298">
      <c r="N10298" s="5"/>
    </row>
    <row r="10299">
      <c r="N10299" s="5"/>
    </row>
    <row r="10300">
      <c r="N10300" s="5"/>
    </row>
    <row r="10301">
      <c r="N10301" s="5"/>
    </row>
    <row r="10302">
      <c r="N10302" s="5"/>
    </row>
    <row r="10303">
      <c r="N10303" s="5"/>
    </row>
    <row r="10304">
      <c r="N10304" s="5"/>
    </row>
    <row r="10305">
      <c r="N10305" s="5"/>
    </row>
    <row r="10306">
      <c r="N10306" s="5"/>
    </row>
    <row r="10307">
      <c r="N10307" s="5"/>
    </row>
    <row r="10308">
      <c r="N10308" s="5"/>
    </row>
    <row r="10309">
      <c r="N10309" s="5"/>
    </row>
    <row r="10310">
      <c r="N10310" s="5"/>
    </row>
    <row r="10311">
      <c r="N10311" s="5"/>
    </row>
    <row r="10312">
      <c r="N10312" s="5"/>
    </row>
    <row r="10313">
      <c r="N10313" s="5"/>
    </row>
    <row r="10314">
      <c r="N10314" s="5"/>
    </row>
    <row r="10315">
      <c r="N10315" s="5"/>
    </row>
    <row r="10316">
      <c r="N10316" s="5"/>
    </row>
    <row r="10317">
      <c r="N10317" s="5"/>
    </row>
    <row r="10318">
      <c r="N10318" s="5"/>
    </row>
    <row r="10319">
      <c r="N10319" s="5"/>
    </row>
    <row r="10320">
      <c r="N10320" s="5"/>
    </row>
    <row r="10321">
      <c r="N10321" s="5"/>
    </row>
    <row r="10322">
      <c r="N10322" s="5"/>
    </row>
    <row r="10323">
      <c r="N10323" s="5"/>
    </row>
    <row r="10324">
      <c r="N10324" s="5"/>
    </row>
    <row r="10325">
      <c r="N10325" s="5"/>
    </row>
    <row r="10326">
      <c r="N10326" s="5"/>
    </row>
    <row r="10327">
      <c r="N10327" s="5"/>
    </row>
    <row r="10328">
      <c r="N10328" s="5"/>
    </row>
    <row r="10329">
      <c r="N10329" s="5"/>
    </row>
    <row r="10330">
      <c r="N10330" s="5"/>
    </row>
    <row r="10331">
      <c r="N10331" s="5"/>
    </row>
    <row r="10332">
      <c r="N10332" s="5"/>
    </row>
    <row r="10333">
      <c r="N10333" s="5"/>
    </row>
    <row r="10334">
      <c r="N10334" s="5"/>
    </row>
    <row r="10335">
      <c r="N10335" s="5"/>
    </row>
    <row r="10336">
      <c r="N10336" s="5"/>
    </row>
    <row r="10337">
      <c r="N10337" s="5"/>
    </row>
    <row r="10338">
      <c r="N10338" s="5"/>
    </row>
    <row r="10339">
      <c r="N10339" s="5"/>
    </row>
    <row r="10340">
      <c r="N10340" s="5"/>
    </row>
    <row r="10341">
      <c r="N10341" s="5"/>
    </row>
    <row r="10342">
      <c r="N10342" s="5"/>
    </row>
    <row r="10343">
      <c r="N10343" s="5"/>
    </row>
    <row r="10344">
      <c r="N10344" s="5"/>
    </row>
    <row r="10345">
      <c r="N10345" s="5"/>
    </row>
    <row r="10346">
      <c r="N10346" s="5"/>
    </row>
    <row r="10347">
      <c r="N10347" s="5"/>
    </row>
    <row r="10348">
      <c r="N10348" s="5"/>
    </row>
    <row r="10349">
      <c r="N10349" s="5"/>
    </row>
    <row r="10350">
      <c r="N10350" s="5"/>
    </row>
    <row r="10351">
      <c r="N10351" s="5"/>
    </row>
    <row r="10352">
      <c r="N10352" s="5"/>
    </row>
    <row r="10353">
      <c r="N10353" s="5"/>
    </row>
    <row r="10354">
      <c r="N10354" s="5"/>
    </row>
    <row r="10355">
      <c r="N10355" s="5"/>
    </row>
    <row r="10356">
      <c r="N10356" s="5"/>
    </row>
    <row r="10357">
      <c r="N10357" s="5"/>
    </row>
    <row r="10358">
      <c r="N10358" s="5"/>
    </row>
    <row r="10359">
      <c r="N10359" s="5"/>
    </row>
    <row r="10360">
      <c r="N10360" s="5"/>
    </row>
    <row r="10361">
      <c r="N10361" s="5"/>
    </row>
    <row r="10362">
      <c r="N10362" s="5"/>
    </row>
    <row r="10363">
      <c r="N10363" s="5"/>
    </row>
    <row r="10364">
      <c r="N10364" s="5"/>
    </row>
    <row r="10365">
      <c r="N10365" s="5"/>
    </row>
    <row r="10366">
      <c r="N10366" s="5"/>
    </row>
    <row r="10367">
      <c r="N10367" s="5"/>
    </row>
    <row r="10368">
      <c r="N10368" s="5"/>
    </row>
    <row r="10369">
      <c r="N10369" s="5"/>
    </row>
    <row r="10370">
      <c r="N10370" s="5"/>
    </row>
    <row r="10371">
      <c r="N10371" s="5"/>
    </row>
    <row r="10372">
      <c r="N10372" s="5"/>
    </row>
    <row r="10373">
      <c r="N10373" s="5"/>
    </row>
    <row r="10374">
      <c r="N10374" s="5"/>
    </row>
    <row r="10375">
      <c r="N10375" s="5"/>
    </row>
    <row r="10376">
      <c r="N10376" s="5"/>
    </row>
    <row r="10377">
      <c r="N10377" s="5"/>
    </row>
    <row r="10378">
      <c r="N10378" s="5"/>
    </row>
    <row r="10379">
      <c r="N10379" s="5"/>
    </row>
    <row r="10380">
      <c r="N10380" s="5"/>
    </row>
    <row r="10381">
      <c r="N10381" s="5"/>
    </row>
    <row r="10382">
      <c r="N10382" s="5"/>
    </row>
    <row r="10383">
      <c r="N10383" s="5"/>
    </row>
    <row r="10384">
      <c r="N10384" s="5"/>
    </row>
    <row r="10385">
      <c r="N10385" s="5"/>
    </row>
    <row r="10386">
      <c r="N10386" s="5"/>
    </row>
    <row r="10387">
      <c r="N10387" s="5"/>
    </row>
    <row r="10388">
      <c r="N10388" s="5"/>
    </row>
    <row r="10389">
      <c r="N10389" s="5"/>
    </row>
    <row r="10390">
      <c r="N10390" s="5"/>
    </row>
    <row r="10391">
      <c r="N10391" s="5"/>
    </row>
    <row r="10392">
      <c r="N10392" s="5"/>
    </row>
    <row r="10393">
      <c r="N10393" s="5"/>
    </row>
    <row r="10394">
      <c r="N10394" s="5"/>
    </row>
    <row r="10395">
      <c r="N10395" s="5"/>
    </row>
    <row r="10396">
      <c r="N10396" s="5"/>
    </row>
    <row r="10397">
      <c r="N10397" s="5"/>
    </row>
    <row r="10398">
      <c r="N10398" s="5"/>
    </row>
    <row r="10399">
      <c r="N10399" s="5"/>
    </row>
    <row r="10400">
      <c r="N10400" s="5"/>
    </row>
    <row r="10401">
      <c r="N10401" s="5"/>
    </row>
    <row r="10402">
      <c r="N10402" s="5"/>
    </row>
    <row r="10403">
      <c r="N10403" s="5"/>
    </row>
    <row r="10404">
      <c r="N10404" s="5"/>
    </row>
    <row r="10405">
      <c r="N10405" s="5"/>
    </row>
    <row r="10406">
      <c r="N10406" s="5"/>
    </row>
    <row r="10407">
      <c r="N10407" s="5"/>
    </row>
    <row r="10408">
      <c r="N10408" s="5"/>
    </row>
    <row r="10409">
      <c r="N10409" s="5"/>
    </row>
    <row r="10410">
      <c r="N10410" s="5"/>
    </row>
    <row r="10411">
      <c r="N10411" s="5"/>
    </row>
    <row r="10412">
      <c r="N10412" s="5"/>
    </row>
    <row r="10413">
      <c r="N10413" s="5"/>
    </row>
    <row r="10414">
      <c r="N10414" s="5"/>
    </row>
    <row r="10415">
      <c r="N10415" s="5"/>
    </row>
    <row r="10416">
      <c r="N10416" s="5"/>
    </row>
    <row r="10417">
      <c r="N10417" s="5"/>
    </row>
    <row r="10418">
      <c r="N10418" s="5"/>
    </row>
    <row r="10419">
      <c r="N10419" s="5"/>
    </row>
    <row r="10420">
      <c r="N10420" s="5"/>
    </row>
    <row r="10421">
      <c r="N10421" s="5"/>
    </row>
    <row r="10422">
      <c r="N10422" s="5"/>
    </row>
    <row r="10423">
      <c r="N10423" s="5"/>
    </row>
    <row r="10424">
      <c r="N10424" s="5"/>
    </row>
    <row r="10425">
      <c r="N10425" s="5"/>
    </row>
    <row r="10426">
      <c r="N10426" s="5"/>
    </row>
    <row r="10427">
      <c r="N10427" s="5"/>
    </row>
    <row r="10428">
      <c r="N10428" s="5"/>
    </row>
    <row r="10429">
      <c r="N10429" s="5"/>
    </row>
    <row r="10430">
      <c r="N10430" s="5"/>
    </row>
    <row r="10431">
      <c r="N10431" s="5"/>
    </row>
    <row r="10432">
      <c r="N10432" s="5"/>
    </row>
    <row r="10433">
      <c r="N10433" s="5"/>
    </row>
    <row r="10434">
      <c r="N10434" s="5"/>
    </row>
    <row r="10435">
      <c r="N10435" s="5"/>
    </row>
    <row r="10436">
      <c r="N10436" s="5"/>
    </row>
    <row r="10437">
      <c r="N10437" s="5"/>
    </row>
    <row r="10438">
      <c r="N10438" s="5"/>
    </row>
    <row r="10439">
      <c r="N10439" s="5"/>
    </row>
    <row r="10440">
      <c r="N10440" s="5"/>
    </row>
    <row r="10441">
      <c r="N10441" s="5"/>
    </row>
    <row r="10442">
      <c r="N10442" s="5"/>
    </row>
    <row r="10443">
      <c r="N10443" s="5"/>
    </row>
    <row r="10444">
      <c r="N10444" s="5"/>
    </row>
    <row r="10445">
      <c r="N10445" s="5"/>
    </row>
    <row r="10446">
      <c r="N10446" s="5"/>
    </row>
    <row r="10447">
      <c r="N10447" s="5"/>
    </row>
    <row r="10448">
      <c r="N10448" s="5"/>
    </row>
    <row r="10449">
      <c r="N10449" s="5"/>
    </row>
    <row r="10450">
      <c r="N10450" s="5"/>
    </row>
    <row r="10451">
      <c r="N10451" s="5"/>
    </row>
    <row r="10452">
      <c r="N10452" s="5"/>
    </row>
    <row r="10453">
      <c r="N10453" s="5"/>
    </row>
    <row r="10454">
      <c r="N10454" s="5"/>
    </row>
    <row r="10455">
      <c r="N10455" s="5"/>
    </row>
    <row r="10456">
      <c r="N10456" s="5"/>
    </row>
    <row r="10457">
      <c r="N10457" s="5"/>
    </row>
    <row r="10458">
      <c r="N10458" s="5"/>
    </row>
    <row r="10459">
      <c r="N10459" s="5"/>
    </row>
    <row r="10460">
      <c r="N10460" s="5"/>
    </row>
    <row r="10461">
      <c r="N10461" s="5"/>
    </row>
    <row r="10462">
      <c r="N10462" s="5"/>
    </row>
    <row r="10463">
      <c r="N10463" s="5"/>
    </row>
    <row r="10464">
      <c r="N10464" s="5"/>
    </row>
    <row r="10465">
      <c r="N10465" s="5"/>
    </row>
    <row r="10466">
      <c r="N10466" s="5"/>
    </row>
    <row r="10467">
      <c r="N10467" s="5"/>
    </row>
    <row r="10468">
      <c r="N10468" s="5"/>
    </row>
    <row r="10469">
      <c r="N10469" s="5"/>
    </row>
    <row r="10470">
      <c r="N10470" s="5"/>
    </row>
    <row r="10471">
      <c r="N10471" s="5"/>
    </row>
    <row r="10472">
      <c r="N10472" s="5"/>
    </row>
    <row r="10473">
      <c r="N10473" s="5"/>
    </row>
    <row r="10474">
      <c r="N10474" s="5"/>
    </row>
    <row r="10475">
      <c r="N10475" s="5"/>
    </row>
    <row r="10476">
      <c r="N10476" s="5"/>
    </row>
    <row r="10477">
      <c r="N10477" s="5"/>
    </row>
    <row r="10478">
      <c r="N10478" s="5"/>
    </row>
    <row r="10479">
      <c r="N10479" s="5"/>
    </row>
    <row r="10480">
      <c r="N10480" s="5"/>
    </row>
    <row r="10481">
      <c r="N10481" s="5"/>
    </row>
    <row r="10482">
      <c r="N10482" s="5"/>
    </row>
    <row r="10483">
      <c r="N10483" s="5"/>
    </row>
    <row r="10484">
      <c r="N10484" s="5"/>
    </row>
    <row r="10485">
      <c r="N10485" s="5"/>
    </row>
    <row r="10486">
      <c r="N10486" s="5"/>
    </row>
    <row r="10487">
      <c r="N10487" s="5"/>
    </row>
    <row r="10488">
      <c r="N10488" s="5"/>
    </row>
    <row r="10489">
      <c r="N10489" s="5"/>
    </row>
    <row r="10490">
      <c r="N10490" s="5"/>
    </row>
    <row r="10491">
      <c r="N10491" s="5"/>
    </row>
    <row r="10492">
      <c r="N10492" s="5"/>
    </row>
    <row r="10493">
      <c r="N10493" s="5"/>
    </row>
    <row r="10494">
      <c r="N10494" s="5"/>
    </row>
    <row r="10495">
      <c r="N10495" s="5"/>
    </row>
    <row r="10496">
      <c r="N10496" s="5"/>
    </row>
    <row r="10497">
      <c r="N10497" s="5"/>
    </row>
    <row r="10498">
      <c r="N10498" s="5"/>
    </row>
    <row r="10499">
      <c r="N10499" s="5"/>
    </row>
    <row r="10500">
      <c r="N10500" s="5"/>
    </row>
    <row r="10501">
      <c r="N10501" s="5"/>
    </row>
    <row r="10502">
      <c r="N10502" s="5"/>
    </row>
    <row r="10503">
      <c r="N10503" s="5"/>
    </row>
    <row r="10504">
      <c r="N10504" s="5"/>
    </row>
    <row r="10505">
      <c r="N10505" s="5"/>
    </row>
    <row r="10506">
      <c r="N10506" s="5"/>
    </row>
    <row r="10507">
      <c r="N10507" s="5"/>
    </row>
    <row r="10508">
      <c r="N10508" s="5"/>
    </row>
    <row r="10509">
      <c r="N10509" s="5"/>
    </row>
    <row r="10510">
      <c r="N10510" s="5"/>
    </row>
    <row r="10511">
      <c r="N10511" s="5"/>
    </row>
    <row r="10512">
      <c r="N10512" s="5"/>
    </row>
    <row r="10513">
      <c r="N10513" s="5"/>
    </row>
    <row r="10514">
      <c r="N10514" s="5"/>
    </row>
    <row r="10515">
      <c r="N10515" s="5"/>
    </row>
    <row r="10516">
      <c r="N10516" s="5"/>
    </row>
    <row r="10517">
      <c r="N10517" s="5"/>
    </row>
    <row r="10518">
      <c r="N10518" s="5"/>
    </row>
    <row r="10519">
      <c r="N10519" s="5"/>
    </row>
    <row r="10520">
      <c r="N10520" s="5"/>
    </row>
    <row r="10521">
      <c r="N10521" s="5"/>
    </row>
    <row r="10522">
      <c r="N10522" s="5"/>
    </row>
    <row r="10523">
      <c r="N10523" s="5"/>
    </row>
    <row r="10524">
      <c r="N10524" s="5"/>
    </row>
    <row r="10525">
      <c r="N10525" s="5"/>
    </row>
    <row r="10526">
      <c r="N10526" s="5"/>
    </row>
    <row r="10527">
      <c r="N10527" s="5"/>
    </row>
    <row r="10528">
      <c r="N10528" s="5"/>
    </row>
    <row r="10529">
      <c r="N10529" s="5"/>
    </row>
    <row r="10530">
      <c r="N10530" s="5"/>
    </row>
    <row r="10531">
      <c r="N10531" s="5"/>
    </row>
    <row r="10532">
      <c r="N10532" s="5"/>
    </row>
    <row r="10533">
      <c r="N10533" s="5"/>
    </row>
    <row r="10534">
      <c r="N10534" s="5"/>
    </row>
    <row r="10535">
      <c r="N10535" s="5"/>
    </row>
    <row r="10536">
      <c r="N10536" s="5"/>
    </row>
    <row r="10537">
      <c r="N10537" s="5"/>
    </row>
    <row r="10538">
      <c r="N10538" s="5"/>
    </row>
    <row r="10539">
      <c r="N10539" s="5"/>
    </row>
    <row r="10540">
      <c r="N10540" s="5"/>
    </row>
    <row r="10541">
      <c r="N10541" s="5"/>
    </row>
    <row r="10542">
      <c r="N10542" s="5"/>
    </row>
    <row r="10543">
      <c r="N10543" s="5"/>
    </row>
    <row r="10544">
      <c r="N10544" s="5"/>
    </row>
    <row r="10545">
      <c r="N10545" s="5"/>
    </row>
    <row r="10546">
      <c r="N10546" s="5"/>
    </row>
    <row r="10547">
      <c r="N10547" s="5"/>
    </row>
    <row r="10548">
      <c r="N10548" s="5"/>
    </row>
    <row r="10549">
      <c r="N10549" s="5"/>
    </row>
    <row r="10550">
      <c r="N10550" s="5"/>
    </row>
    <row r="10551">
      <c r="N10551" s="5"/>
    </row>
    <row r="10552">
      <c r="N10552" s="5"/>
    </row>
    <row r="10553">
      <c r="N10553" s="5"/>
    </row>
    <row r="10554">
      <c r="N10554" s="5"/>
    </row>
    <row r="10555">
      <c r="N10555" s="5"/>
    </row>
    <row r="10556">
      <c r="N10556" s="5"/>
    </row>
    <row r="10557">
      <c r="N10557" s="5"/>
    </row>
    <row r="10558">
      <c r="N10558" s="5"/>
    </row>
    <row r="10559">
      <c r="N10559" s="5"/>
    </row>
    <row r="10560">
      <c r="N10560" s="5"/>
    </row>
    <row r="10561">
      <c r="N10561" s="5"/>
    </row>
    <row r="10562">
      <c r="N10562" s="5"/>
    </row>
    <row r="10563">
      <c r="N10563" s="5"/>
    </row>
    <row r="10564">
      <c r="N10564" s="5"/>
    </row>
    <row r="10565">
      <c r="N10565" s="5"/>
    </row>
    <row r="10566">
      <c r="N10566" s="5"/>
    </row>
    <row r="10567">
      <c r="N10567" s="5"/>
    </row>
    <row r="10568">
      <c r="N10568" s="5"/>
    </row>
    <row r="10569">
      <c r="N10569" s="5"/>
    </row>
    <row r="10570">
      <c r="N10570" s="5"/>
    </row>
    <row r="10571">
      <c r="N10571" s="5"/>
    </row>
    <row r="10572">
      <c r="N10572" s="5"/>
    </row>
    <row r="10573">
      <c r="N10573" s="5"/>
    </row>
    <row r="10574">
      <c r="N10574" s="5"/>
    </row>
    <row r="10575">
      <c r="N10575" s="5"/>
    </row>
    <row r="10576">
      <c r="N10576" s="5"/>
    </row>
    <row r="10577">
      <c r="N10577" s="5"/>
    </row>
    <row r="10578">
      <c r="N10578" s="5"/>
    </row>
    <row r="10579">
      <c r="N10579" s="5"/>
    </row>
    <row r="10580">
      <c r="N10580" s="5"/>
    </row>
    <row r="10581">
      <c r="N10581" s="5"/>
    </row>
    <row r="10582">
      <c r="N10582" s="5"/>
    </row>
    <row r="10583">
      <c r="N10583" s="5"/>
    </row>
    <row r="10584">
      <c r="N10584" s="5"/>
    </row>
    <row r="10585">
      <c r="N10585" s="5"/>
    </row>
    <row r="10586">
      <c r="N10586" s="5"/>
    </row>
    <row r="10587">
      <c r="N10587" s="5"/>
    </row>
    <row r="10588">
      <c r="N10588" s="5"/>
    </row>
    <row r="10589">
      <c r="N10589" s="5"/>
    </row>
    <row r="10590">
      <c r="N10590" s="5"/>
    </row>
    <row r="10591">
      <c r="N10591" s="5"/>
    </row>
    <row r="10592">
      <c r="N10592" s="5"/>
    </row>
    <row r="10593">
      <c r="N10593" s="5"/>
    </row>
    <row r="10594">
      <c r="N10594" s="5"/>
    </row>
    <row r="10595">
      <c r="N10595" s="5"/>
    </row>
    <row r="10596">
      <c r="N10596" s="5"/>
    </row>
    <row r="10597">
      <c r="N10597" s="5"/>
    </row>
    <row r="10598">
      <c r="N10598" s="5"/>
    </row>
    <row r="10599">
      <c r="N10599" s="5"/>
    </row>
    <row r="10600">
      <c r="N10600" s="5"/>
    </row>
    <row r="10601">
      <c r="N10601" s="5"/>
    </row>
    <row r="10602">
      <c r="N10602" s="5"/>
    </row>
    <row r="10603">
      <c r="N10603" s="5"/>
    </row>
    <row r="10604">
      <c r="N10604" s="5"/>
    </row>
    <row r="10605">
      <c r="N10605" s="5"/>
    </row>
    <row r="10606">
      <c r="N10606" s="5"/>
    </row>
    <row r="10607">
      <c r="N10607" s="5"/>
    </row>
    <row r="10608">
      <c r="N10608" s="5"/>
    </row>
    <row r="10609">
      <c r="N10609" s="5"/>
    </row>
    <row r="10610">
      <c r="N10610" s="5"/>
    </row>
    <row r="10611">
      <c r="N10611" s="5"/>
    </row>
    <row r="10612">
      <c r="N10612" s="5"/>
    </row>
    <row r="10613">
      <c r="N10613" s="5"/>
    </row>
    <row r="10614">
      <c r="N10614" s="5"/>
    </row>
    <row r="10615">
      <c r="N10615" s="5"/>
    </row>
    <row r="10616">
      <c r="N10616" s="5"/>
    </row>
    <row r="10617">
      <c r="N10617" s="5"/>
    </row>
    <row r="10618">
      <c r="N10618" s="5"/>
    </row>
    <row r="10619">
      <c r="N10619" s="5"/>
    </row>
    <row r="10620">
      <c r="N10620" s="5"/>
    </row>
    <row r="10621">
      <c r="N10621" s="5"/>
    </row>
    <row r="10622">
      <c r="N10622" s="5"/>
    </row>
    <row r="10623">
      <c r="N10623" s="5"/>
    </row>
    <row r="10624">
      <c r="N10624" s="5"/>
    </row>
    <row r="10625">
      <c r="N10625" s="5"/>
    </row>
    <row r="10626">
      <c r="N10626" s="5"/>
    </row>
    <row r="10627">
      <c r="N10627" s="5"/>
    </row>
    <row r="10628">
      <c r="N10628" s="5"/>
    </row>
    <row r="10629">
      <c r="N10629" s="5"/>
    </row>
    <row r="10630">
      <c r="N10630" s="5"/>
    </row>
    <row r="10631">
      <c r="N10631" s="5"/>
    </row>
    <row r="10632">
      <c r="N10632" s="5"/>
    </row>
    <row r="10633">
      <c r="N10633" s="5"/>
    </row>
    <row r="10634">
      <c r="N10634" s="5"/>
    </row>
    <row r="10635">
      <c r="N10635" s="5"/>
    </row>
    <row r="10636">
      <c r="N10636" s="5"/>
    </row>
    <row r="10637">
      <c r="N10637" s="5"/>
    </row>
    <row r="10638">
      <c r="N10638" s="5"/>
    </row>
    <row r="10639">
      <c r="N10639" s="5"/>
    </row>
    <row r="10640">
      <c r="N10640" s="5"/>
    </row>
    <row r="10641">
      <c r="N10641" s="5"/>
    </row>
    <row r="10642">
      <c r="N10642" s="5"/>
    </row>
    <row r="10643">
      <c r="N10643" s="5"/>
    </row>
    <row r="10644">
      <c r="N10644" s="5"/>
    </row>
    <row r="10645">
      <c r="N10645" s="5"/>
    </row>
    <row r="10646">
      <c r="N10646" s="5"/>
    </row>
    <row r="10647">
      <c r="N10647" s="5"/>
    </row>
    <row r="10648">
      <c r="N10648" s="5"/>
    </row>
    <row r="10649">
      <c r="N10649" s="5"/>
    </row>
    <row r="10650">
      <c r="N10650" s="5"/>
    </row>
    <row r="10651">
      <c r="N10651" s="5"/>
    </row>
    <row r="10652">
      <c r="N10652" s="5"/>
    </row>
    <row r="10653">
      <c r="N10653" s="5"/>
    </row>
    <row r="10654">
      <c r="N10654" s="5"/>
    </row>
    <row r="10655">
      <c r="N10655" s="5"/>
    </row>
    <row r="10656">
      <c r="N10656" s="5"/>
    </row>
    <row r="10657">
      <c r="N10657" s="5"/>
    </row>
    <row r="10658">
      <c r="N10658" s="5"/>
    </row>
    <row r="10659">
      <c r="N10659" s="5"/>
    </row>
    <row r="10660">
      <c r="N10660" s="5"/>
    </row>
    <row r="10661">
      <c r="N10661" s="5"/>
    </row>
    <row r="10662">
      <c r="N10662" s="5"/>
    </row>
    <row r="10663">
      <c r="N10663" s="5"/>
    </row>
    <row r="10664">
      <c r="N10664" s="5"/>
    </row>
    <row r="10665">
      <c r="N10665" s="5"/>
    </row>
    <row r="10666">
      <c r="N10666" s="5"/>
    </row>
    <row r="10667">
      <c r="N10667" s="5"/>
    </row>
    <row r="10668">
      <c r="N10668" s="5"/>
    </row>
    <row r="10669">
      <c r="N10669" s="5"/>
    </row>
    <row r="10670">
      <c r="N10670" s="5"/>
    </row>
    <row r="10671">
      <c r="N10671" s="5"/>
    </row>
    <row r="10672">
      <c r="N10672" s="5"/>
    </row>
    <row r="10673">
      <c r="N10673" s="5"/>
    </row>
    <row r="10674">
      <c r="N10674" s="5"/>
    </row>
    <row r="10675">
      <c r="N10675" s="5"/>
    </row>
    <row r="10676">
      <c r="N10676" s="5"/>
    </row>
    <row r="10677">
      <c r="N10677" s="5"/>
    </row>
    <row r="10678">
      <c r="N10678" s="5"/>
    </row>
    <row r="10679">
      <c r="N10679" s="5"/>
    </row>
    <row r="10680">
      <c r="N10680" s="5"/>
    </row>
    <row r="10681">
      <c r="N10681" s="5"/>
    </row>
    <row r="10682">
      <c r="N10682" s="5"/>
    </row>
    <row r="10683">
      <c r="N10683" s="5"/>
    </row>
    <row r="10684">
      <c r="N10684" s="5"/>
    </row>
    <row r="10685">
      <c r="N10685" s="5"/>
    </row>
    <row r="10686">
      <c r="N10686" s="5"/>
    </row>
    <row r="10687">
      <c r="N10687" s="5"/>
    </row>
    <row r="10688">
      <c r="N10688" s="5"/>
    </row>
    <row r="10689">
      <c r="N10689" s="5"/>
    </row>
    <row r="10690">
      <c r="N10690" s="5"/>
    </row>
    <row r="10691">
      <c r="N10691" s="5"/>
    </row>
    <row r="10692">
      <c r="N10692" s="5"/>
    </row>
    <row r="10693">
      <c r="N10693" s="5"/>
    </row>
    <row r="10694">
      <c r="N10694" s="5"/>
    </row>
    <row r="10695">
      <c r="N10695" s="5"/>
    </row>
    <row r="10696">
      <c r="N10696" s="5"/>
    </row>
    <row r="10697">
      <c r="N10697" s="5"/>
    </row>
    <row r="10698">
      <c r="N10698" s="5"/>
    </row>
    <row r="10699">
      <c r="N10699" s="5"/>
    </row>
    <row r="10700">
      <c r="N10700" s="5"/>
    </row>
    <row r="10701">
      <c r="N10701" s="5"/>
    </row>
    <row r="10702">
      <c r="N10702" s="5"/>
    </row>
    <row r="10703">
      <c r="N10703" s="5"/>
    </row>
    <row r="10704">
      <c r="N10704" s="5"/>
    </row>
    <row r="10705">
      <c r="N10705" s="5"/>
    </row>
    <row r="10706">
      <c r="N10706" s="5"/>
    </row>
    <row r="10707">
      <c r="N10707" s="5"/>
    </row>
    <row r="10708">
      <c r="N10708" s="5"/>
    </row>
    <row r="10709">
      <c r="N10709" s="5"/>
    </row>
    <row r="10710">
      <c r="N10710" s="5"/>
    </row>
    <row r="10711">
      <c r="N10711" s="5"/>
    </row>
    <row r="10712">
      <c r="N10712" s="5"/>
    </row>
    <row r="10713">
      <c r="N10713" s="5"/>
    </row>
    <row r="10714">
      <c r="N10714" s="5"/>
    </row>
    <row r="10715">
      <c r="N10715" s="5"/>
    </row>
    <row r="10716">
      <c r="N10716" s="5"/>
    </row>
    <row r="10717">
      <c r="N10717" s="5"/>
    </row>
    <row r="10718">
      <c r="N10718" s="5"/>
    </row>
    <row r="10719">
      <c r="N10719" s="5"/>
    </row>
    <row r="10720">
      <c r="N10720" s="5"/>
    </row>
    <row r="10721">
      <c r="N10721" s="5"/>
    </row>
    <row r="10722">
      <c r="N10722" s="5"/>
    </row>
    <row r="10723">
      <c r="N10723" s="5"/>
    </row>
    <row r="10724">
      <c r="N10724" s="5"/>
    </row>
    <row r="10725">
      <c r="N10725" s="5"/>
    </row>
    <row r="10726">
      <c r="N10726" s="5"/>
    </row>
    <row r="10727">
      <c r="N10727" s="5"/>
    </row>
    <row r="10728">
      <c r="N10728" s="5"/>
    </row>
    <row r="10729">
      <c r="N10729" s="5"/>
    </row>
    <row r="10730">
      <c r="N10730" s="5"/>
    </row>
    <row r="10731">
      <c r="N10731" s="5"/>
    </row>
    <row r="10732">
      <c r="N10732" s="5"/>
    </row>
    <row r="10733">
      <c r="N10733" s="5"/>
    </row>
    <row r="10734">
      <c r="N10734" s="5"/>
    </row>
    <row r="10735">
      <c r="N10735" s="5"/>
    </row>
    <row r="10736">
      <c r="N10736" s="5"/>
    </row>
    <row r="10737">
      <c r="N10737" s="5"/>
    </row>
    <row r="10738">
      <c r="N10738" s="5"/>
    </row>
    <row r="10739">
      <c r="N10739" s="5"/>
    </row>
    <row r="10740">
      <c r="N10740" s="5"/>
    </row>
    <row r="10741">
      <c r="N10741" s="5"/>
    </row>
    <row r="10742">
      <c r="N10742" s="5"/>
    </row>
    <row r="10743">
      <c r="N10743" s="5"/>
    </row>
    <row r="10744">
      <c r="N10744" s="5"/>
    </row>
    <row r="10745">
      <c r="N10745" s="5"/>
    </row>
    <row r="10746">
      <c r="N10746" s="5"/>
    </row>
    <row r="10747">
      <c r="N10747" s="5"/>
    </row>
    <row r="10748">
      <c r="N10748" s="5"/>
    </row>
    <row r="10749">
      <c r="N10749" s="5"/>
    </row>
    <row r="10750">
      <c r="N10750" s="5"/>
    </row>
    <row r="10751">
      <c r="N10751" s="5"/>
    </row>
    <row r="10752">
      <c r="N10752" s="5"/>
    </row>
    <row r="10753">
      <c r="N10753" s="5"/>
    </row>
    <row r="10754">
      <c r="N10754" s="5"/>
    </row>
    <row r="10755">
      <c r="N10755" s="5"/>
    </row>
    <row r="10756">
      <c r="N10756" s="5"/>
    </row>
    <row r="10757">
      <c r="N10757" s="5"/>
    </row>
    <row r="10758">
      <c r="N10758" s="5"/>
    </row>
    <row r="10759">
      <c r="N10759" s="5"/>
    </row>
    <row r="10760">
      <c r="N10760" s="5"/>
    </row>
    <row r="10761">
      <c r="N10761" s="5"/>
    </row>
    <row r="10762">
      <c r="N10762" s="5"/>
    </row>
    <row r="10763">
      <c r="N10763" s="5"/>
    </row>
    <row r="10764">
      <c r="N10764" s="5"/>
    </row>
    <row r="10765">
      <c r="N10765" s="5"/>
    </row>
    <row r="10766">
      <c r="N10766" s="5"/>
    </row>
    <row r="10767">
      <c r="N10767" s="5"/>
    </row>
    <row r="10768">
      <c r="N10768" s="5"/>
    </row>
    <row r="10769">
      <c r="N10769" s="5"/>
    </row>
    <row r="10770">
      <c r="N10770" s="5"/>
    </row>
    <row r="10771">
      <c r="N10771" s="5"/>
    </row>
    <row r="10772">
      <c r="N10772" s="5"/>
    </row>
    <row r="10773">
      <c r="N10773" s="5"/>
    </row>
    <row r="10774">
      <c r="N10774" s="5"/>
    </row>
    <row r="10775">
      <c r="N10775" s="5"/>
    </row>
    <row r="10776">
      <c r="N10776" s="5"/>
    </row>
    <row r="10777">
      <c r="N10777" s="5"/>
    </row>
    <row r="10778">
      <c r="N10778" s="5"/>
    </row>
    <row r="10779">
      <c r="N10779" s="5"/>
    </row>
    <row r="10780">
      <c r="N10780" s="5"/>
    </row>
    <row r="10781">
      <c r="N10781" s="5"/>
    </row>
    <row r="10782">
      <c r="N10782" s="5"/>
    </row>
    <row r="10783">
      <c r="N10783" s="5"/>
    </row>
    <row r="10784">
      <c r="N10784" s="5"/>
    </row>
    <row r="10785">
      <c r="N10785" s="5"/>
    </row>
    <row r="10786">
      <c r="N10786" s="5"/>
    </row>
    <row r="10787">
      <c r="N10787" s="5"/>
    </row>
    <row r="10788">
      <c r="N10788" s="5"/>
    </row>
    <row r="10789">
      <c r="N10789" s="5"/>
    </row>
    <row r="10790">
      <c r="N10790" s="5"/>
    </row>
    <row r="10791">
      <c r="N10791" s="5"/>
    </row>
    <row r="10792">
      <c r="N10792" s="5"/>
    </row>
    <row r="10793">
      <c r="N10793" s="5"/>
    </row>
    <row r="10794">
      <c r="N10794" s="5"/>
    </row>
    <row r="10795">
      <c r="N10795" s="5"/>
    </row>
    <row r="10796">
      <c r="N10796" s="5"/>
    </row>
    <row r="10797">
      <c r="N10797" s="5"/>
    </row>
    <row r="10798">
      <c r="N10798" s="5"/>
    </row>
    <row r="10799">
      <c r="N10799" s="5"/>
    </row>
    <row r="10800">
      <c r="N10800" s="5"/>
    </row>
    <row r="10801">
      <c r="N10801" s="5"/>
    </row>
    <row r="10802">
      <c r="N10802" s="5"/>
    </row>
    <row r="10803">
      <c r="N10803" s="5"/>
    </row>
    <row r="10804">
      <c r="N10804" s="5"/>
    </row>
    <row r="10805">
      <c r="N10805" s="5"/>
    </row>
    <row r="10806">
      <c r="N10806" s="5"/>
    </row>
    <row r="10807">
      <c r="N10807" s="5"/>
    </row>
    <row r="10808">
      <c r="N10808" s="5"/>
    </row>
    <row r="10809">
      <c r="N10809" s="5"/>
    </row>
    <row r="10810">
      <c r="N10810" s="5"/>
    </row>
    <row r="10811">
      <c r="N10811" s="5"/>
    </row>
    <row r="10812">
      <c r="N10812" s="5"/>
    </row>
    <row r="10813">
      <c r="N10813" s="5"/>
    </row>
    <row r="10814">
      <c r="N10814" s="5"/>
    </row>
    <row r="10815">
      <c r="N10815" s="5"/>
    </row>
    <row r="10816">
      <c r="N10816" s="5"/>
    </row>
    <row r="10817">
      <c r="N10817" s="5"/>
    </row>
    <row r="10818">
      <c r="N10818" s="5"/>
    </row>
    <row r="10819">
      <c r="N10819" s="5"/>
    </row>
    <row r="10820">
      <c r="N10820" s="5"/>
    </row>
    <row r="10821">
      <c r="N10821" s="5"/>
    </row>
    <row r="10822">
      <c r="N10822" s="5"/>
    </row>
    <row r="10823">
      <c r="N10823" s="5"/>
    </row>
    <row r="10824">
      <c r="N10824" s="5"/>
    </row>
    <row r="10825">
      <c r="N10825" s="5"/>
    </row>
    <row r="10826">
      <c r="N10826" s="5"/>
    </row>
    <row r="10827">
      <c r="N10827" s="5"/>
    </row>
    <row r="10828">
      <c r="N10828" s="5"/>
    </row>
    <row r="10829">
      <c r="N10829" s="5"/>
    </row>
    <row r="10830">
      <c r="N10830" s="5"/>
    </row>
    <row r="10831">
      <c r="N10831" s="5"/>
    </row>
    <row r="10832">
      <c r="N10832" s="5"/>
    </row>
    <row r="10833">
      <c r="N10833" s="5"/>
    </row>
    <row r="10834">
      <c r="N10834" s="5"/>
    </row>
    <row r="10835">
      <c r="N10835" s="5"/>
    </row>
    <row r="10836">
      <c r="N10836" s="5"/>
    </row>
    <row r="10837">
      <c r="N10837" s="5"/>
    </row>
    <row r="10838">
      <c r="N10838" s="5"/>
    </row>
    <row r="10839">
      <c r="N10839" s="5"/>
    </row>
    <row r="10840">
      <c r="N10840" s="5"/>
    </row>
    <row r="10841">
      <c r="N10841" s="5"/>
    </row>
    <row r="10842">
      <c r="N10842" s="5"/>
    </row>
    <row r="10843">
      <c r="N10843" s="5"/>
    </row>
    <row r="10844">
      <c r="N10844" s="5"/>
    </row>
    <row r="10845">
      <c r="N10845" s="5"/>
    </row>
    <row r="10846">
      <c r="N10846" s="5"/>
    </row>
    <row r="10847">
      <c r="N10847" s="5"/>
    </row>
    <row r="10848">
      <c r="N10848" s="5"/>
    </row>
    <row r="10849">
      <c r="N10849" s="5"/>
    </row>
    <row r="10850">
      <c r="N10850" s="5"/>
    </row>
    <row r="10851">
      <c r="N10851" s="5"/>
    </row>
    <row r="10852">
      <c r="N10852" s="5"/>
    </row>
    <row r="10853">
      <c r="N10853" s="5"/>
    </row>
    <row r="10854">
      <c r="N10854" s="5"/>
    </row>
    <row r="10855">
      <c r="N10855" s="5"/>
    </row>
    <row r="10856">
      <c r="N10856" s="5"/>
    </row>
    <row r="10857">
      <c r="N10857" s="5"/>
    </row>
    <row r="10858">
      <c r="N10858" s="5"/>
    </row>
    <row r="10859">
      <c r="N10859" s="5"/>
    </row>
    <row r="10860">
      <c r="N10860" s="5"/>
    </row>
    <row r="10861">
      <c r="N10861" s="5"/>
    </row>
    <row r="10862">
      <c r="N10862" s="5"/>
    </row>
    <row r="10863">
      <c r="N10863" s="5"/>
    </row>
    <row r="10864">
      <c r="N10864" s="5"/>
    </row>
    <row r="10865">
      <c r="N10865" s="5"/>
    </row>
    <row r="10866">
      <c r="N10866" s="5"/>
    </row>
    <row r="10867">
      <c r="N10867" s="5"/>
    </row>
    <row r="10868">
      <c r="N10868" s="5"/>
    </row>
    <row r="10869">
      <c r="N10869" s="5"/>
    </row>
    <row r="10870">
      <c r="N10870" s="5"/>
    </row>
    <row r="10871">
      <c r="N10871" s="5"/>
    </row>
    <row r="10872">
      <c r="N10872" s="5"/>
    </row>
    <row r="10873">
      <c r="N10873" s="5"/>
    </row>
    <row r="10874">
      <c r="N10874" s="5"/>
    </row>
    <row r="10875">
      <c r="N10875" s="5"/>
    </row>
    <row r="10876">
      <c r="N10876" s="5"/>
    </row>
    <row r="10877">
      <c r="N10877" s="5"/>
    </row>
    <row r="10878">
      <c r="N10878" s="5"/>
    </row>
    <row r="10879">
      <c r="N10879" s="5"/>
    </row>
    <row r="10880">
      <c r="N10880" s="5"/>
    </row>
    <row r="10881">
      <c r="N10881" s="5"/>
    </row>
    <row r="10882">
      <c r="N10882" s="5"/>
    </row>
    <row r="10883">
      <c r="N10883" s="5"/>
    </row>
    <row r="10884">
      <c r="N10884" s="5"/>
    </row>
    <row r="10885">
      <c r="N10885" s="5"/>
    </row>
    <row r="10886">
      <c r="N10886" s="5"/>
    </row>
    <row r="10887">
      <c r="N10887" s="5"/>
    </row>
    <row r="10888">
      <c r="N10888" s="5"/>
    </row>
    <row r="10889">
      <c r="N10889" s="5"/>
    </row>
    <row r="10890">
      <c r="N10890" s="5"/>
    </row>
    <row r="10891">
      <c r="N10891" s="5"/>
    </row>
    <row r="10892">
      <c r="N10892" s="5"/>
    </row>
    <row r="10893">
      <c r="N10893" s="5"/>
    </row>
    <row r="10894">
      <c r="N10894" s="5"/>
    </row>
    <row r="10895">
      <c r="N10895" s="5"/>
    </row>
    <row r="10896">
      <c r="N10896" s="5"/>
    </row>
    <row r="10897">
      <c r="N10897" s="5"/>
    </row>
    <row r="10898">
      <c r="N10898" s="5"/>
    </row>
    <row r="10899">
      <c r="N10899" s="5"/>
    </row>
    <row r="10900">
      <c r="N10900" s="5"/>
    </row>
    <row r="10901">
      <c r="N10901" s="5"/>
    </row>
    <row r="10902">
      <c r="N10902" s="5"/>
    </row>
    <row r="10903">
      <c r="N10903" s="5"/>
    </row>
    <row r="10904">
      <c r="N10904" s="5"/>
    </row>
    <row r="10905">
      <c r="N10905" s="5"/>
    </row>
    <row r="10906">
      <c r="N10906" s="5"/>
    </row>
    <row r="10907">
      <c r="N10907" s="5"/>
    </row>
    <row r="10908">
      <c r="N10908" s="5"/>
    </row>
    <row r="10909">
      <c r="N10909" s="5"/>
    </row>
    <row r="10910">
      <c r="N10910" s="5"/>
    </row>
    <row r="10911">
      <c r="N10911" s="5"/>
    </row>
    <row r="10912">
      <c r="N10912" s="5"/>
    </row>
    <row r="10913">
      <c r="N10913" s="5"/>
    </row>
    <row r="10914">
      <c r="N10914" s="5"/>
    </row>
    <row r="10915">
      <c r="N10915" s="5"/>
    </row>
    <row r="10916">
      <c r="N10916" s="5"/>
    </row>
    <row r="10917">
      <c r="N10917" s="5"/>
    </row>
    <row r="10918">
      <c r="N10918" s="5"/>
    </row>
    <row r="10919">
      <c r="N10919" s="5"/>
    </row>
    <row r="10920">
      <c r="N10920" s="5"/>
    </row>
    <row r="10921">
      <c r="N10921" s="5"/>
    </row>
    <row r="10922">
      <c r="N10922" s="5"/>
    </row>
    <row r="10923">
      <c r="N10923" s="5"/>
    </row>
    <row r="10924">
      <c r="N10924" s="5"/>
    </row>
    <row r="10925">
      <c r="N10925" s="5"/>
    </row>
    <row r="10926">
      <c r="N10926" s="5"/>
    </row>
    <row r="10927">
      <c r="N10927" s="5"/>
    </row>
    <row r="10928">
      <c r="N10928" s="5"/>
    </row>
    <row r="10929">
      <c r="N10929" s="5"/>
    </row>
    <row r="10930">
      <c r="N10930" s="5"/>
    </row>
    <row r="10931">
      <c r="N10931" s="5"/>
    </row>
    <row r="10932">
      <c r="N10932" s="5"/>
    </row>
    <row r="10933">
      <c r="N10933" s="5"/>
    </row>
    <row r="10934">
      <c r="N10934" s="5"/>
    </row>
    <row r="10935">
      <c r="N10935" s="5"/>
    </row>
    <row r="10936">
      <c r="N10936" s="5"/>
    </row>
    <row r="10937">
      <c r="N10937" s="5"/>
    </row>
    <row r="10938">
      <c r="N10938" s="5"/>
    </row>
    <row r="10939">
      <c r="N10939" s="5"/>
    </row>
    <row r="10940">
      <c r="N10940" s="5"/>
    </row>
    <row r="10941">
      <c r="N10941" s="5"/>
    </row>
    <row r="10942">
      <c r="N10942" s="5"/>
    </row>
    <row r="10943">
      <c r="N10943" s="5"/>
    </row>
    <row r="10944">
      <c r="N10944" s="5"/>
    </row>
    <row r="10945">
      <c r="N10945" s="5"/>
    </row>
    <row r="10946">
      <c r="N10946" s="5"/>
    </row>
    <row r="10947">
      <c r="N10947" s="5"/>
    </row>
    <row r="10948">
      <c r="N10948" s="5"/>
    </row>
    <row r="10949">
      <c r="N10949" s="5"/>
    </row>
    <row r="10950">
      <c r="N10950" s="5"/>
    </row>
    <row r="10951">
      <c r="N10951" s="5"/>
    </row>
    <row r="10952">
      <c r="N10952" s="5"/>
    </row>
    <row r="10953">
      <c r="N10953" s="5"/>
    </row>
    <row r="10954">
      <c r="N10954" s="5"/>
    </row>
    <row r="10955">
      <c r="N10955" s="5"/>
    </row>
    <row r="10956">
      <c r="N10956" s="5"/>
    </row>
    <row r="10957">
      <c r="N10957" s="5"/>
    </row>
    <row r="10958">
      <c r="N10958" s="5"/>
    </row>
    <row r="10959">
      <c r="N10959" s="5"/>
    </row>
    <row r="10960">
      <c r="N10960" s="5"/>
    </row>
    <row r="10961">
      <c r="N10961" s="5"/>
    </row>
    <row r="10962">
      <c r="N10962" s="5"/>
    </row>
    <row r="10963">
      <c r="N10963" s="5"/>
    </row>
    <row r="10964">
      <c r="N10964" s="5"/>
    </row>
    <row r="10965">
      <c r="N10965" s="5"/>
    </row>
    <row r="10966">
      <c r="N10966" s="5"/>
    </row>
    <row r="10967">
      <c r="N10967" s="5"/>
    </row>
    <row r="10968">
      <c r="N10968" s="5"/>
    </row>
    <row r="10969">
      <c r="N10969" s="5"/>
    </row>
    <row r="10970">
      <c r="N10970" s="5"/>
    </row>
    <row r="10971">
      <c r="N10971" s="5"/>
    </row>
    <row r="10972">
      <c r="N10972" s="5"/>
    </row>
    <row r="10973">
      <c r="N10973" s="5"/>
    </row>
    <row r="10974">
      <c r="N10974" s="5"/>
    </row>
    <row r="10975">
      <c r="N10975" s="5"/>
    </row>
    <row r="10976">
      <c r="N10976" s="5"/>
    </row>
    <row r="10977">
      <c r="N10977" s="5"/>
    </row>
    <row r="10978">
      <c r="N10978" s="5"/>
    </row>
    <row r="10979">
      <c r="N10979" s="5"/>
    </row>
    <row r="10980">
      <c r="N10980" s="5"/>
    </row>
    <row r="10981">
      <c r="N10981" s="5"/>
    </row>
    <row r="10982">
      <c r="N10982" s="5"/>
    </row>
    <row r="10983">
      <c r="N10983" s="5"/>
    </row>
    <row r="10984">
      <c r="N10984" s="5"/>
    </row>
    <row r="10985">
      <c r="N10985" s="5"/>
    </row>
    <row r="10986">
      <c r="N10986" s="5"/>
    </row>
    <row r="10987">
      <c r="N10987" s="5"/>
    </row>
    <row r="10988">
      <c r="N10988" s="5"/>
    </row>
    <row r="10989">
      <c r="N10989" s="5"/>
    </row>
    <row r="10990">
      <c r="N10990" s="5"/>
    </row>
    <row r="10991">
      <c r="N10991" s="5"/>
    </row>
    <row r="10992">
      <c r="N10992" s="5"/>
    </row>
    <row r="10993">
      <c r="N10993" s="5"/>
    </row>
    <row r="10994">
      <c r="N10994" s="5"/>
    </row>
    <row r="10995">
      <c r="N10995" s="5"/>
    </row>
    <row r="10996">
      <c r="N10996" s="5"/>
    </row>
    <row r="10997">
      <c r="N10997" s="5"/>
    </row>
    <row r="10998">
      <c r="N10998" s="5"/>
    </row>
    <row r="10999">
      <c r="N10999" s="5"/>
    </row>
    <row r="11000">
      <c r="N11000" s="5"/>
    </row>
    <row r="11001">
      <c r="N11001" s="5"/>
    </row>
    <row r="11002">
      <c r="N11002" s="5"/>
    </row>
    <row r="11003">
      <c r="N11003" s="5"/>
    </row>
    <row r="11004">
      <c r="N11004" s="5"/>
    </row>
    <row r="11005">
      <c r="N11005" s="5"/>
    </row>
    <row r="11006">
      <c r="N11006" s="5"/>
    </row>
    <row r="11007">
      <c r="N11007" s="5"/>
    </row>
    <row r="11008">
      <c r="N11008" s="5"/>
    </row>
    <row r="11009">
      <c r="N11009" s="5"/>
    </row>
    <row r="11010">
      <c r="N11010" s="5"/>
    </row>
    <row r="11011">
      <c r="N11011" s="5"/>
    </row>
    <row r="11012">
      <c r="N11012" s="5"/>
    </row>
    <row r="11013">
      <c r="N11013" s="5"/>
    </row>
    <row r="11014">
      <c r="N11014" s="5"/>
    </row>
    <row r="11015">
      <c r="N11015" s="5"/>
    </row>
    <row r="11016">
      <c r="N11016" s="5"/>
    </row>
    <row r="11017">
      <c r="N11017" s="5"/>
    </row>
    <row r="11018">
      <c r="N11018" s="5"/>
    </row>
    <row r="11019">
      <c r="N11019" s="5"/>
    </row>
    <row r="11020">
      <c r="N11020" s="5"/>
    </row>
    <row r="11021">
      <c r="N11021" s="5"/>
    </row>
    <row r="11022">
      <c r="N11022" s="5"/>
    </row>
    <row r="11023">
      <c r="N11023" s="5"/>
    </row>
    <row r="11024">
      <c r="N11024" s="5"/>
    </row>
    <row r="11025">
      <c r="N11025" s="5"/>
    </row>
    <row r="11026">
      <c r="N11026" s="5"/>
    </row>
    <row r="11027">
      <c r="N11027" s="5"/>
    </row>
    <row r="11028">
      <c r="N11028" s="5"/>
    </row>
    <row r="11029">
      <c r="N11029" s="5"/>
    </row>
    <row r="11030">
      <c r="N11030" s="5"/>
    </row>
    <row r="11031">
      <c r="N11031" s="5"/>
    </row>
    <row r="11032">
      <c r="N11032" s="5"/>
    </row>
    <row r="11033">
      <c r="N11033" s="5"/>
    </row>
    <row r="11034">
      <c r="N11034" s="5"/>
    </row>
    <row r="11035">
      <c r="N11035" s="5"/>
    </row>
    <row r="11036">
      <c r="N11036" s="5"/>
    </row>
    <row r="11037">
      <c r="N11037" s="5"/>
    </row>
    <row r="11038">
      <c r="N11038" s="5"/>
    </row>
    <row r="11039">
      <c r="N11039" s="5"/>
    </row>
    <row r="11040">
      <c r="N11040" s="5"/>
    </row>
    <row r="11041">
      <c r="N11041" s="5"/>
    </row>
    <row r="11042">
      <c r="N11042" s="5"/>
    </row>
    <row r="11043">
      <c r="N11043" s="5"/>
    </row>
    <row r="11044">
      <c r="N11044" s="5"/>
    </row>
    <row r="11045">
      <c r="N11045" s="5"/>
    </row>
    <row r="11046">
      <c r="N11046" s="5"/>
    </row>
    <row r="11047">
      <c r="N11047" s="5"/>
    </row>
    <row r="11048">
      <c r="N11048" s="5"/>
    </row>
    <row r="11049">
      <c r="N11049" s="5"/>
    </row>
    <row r="11050">
      <c r="N11050" s="5"/>
    </row>
    <row r="11051">
      <c r="N11051" s="5"/>
    </row>
    <row r="11052">
      <c r="N11052" s="5"/>
    </row>
    <row r="11053">
      <c r="N11053" s="5"/>
    </row>
    <row r="11054">
      <c r="N11054" s="5"/>
    </row>
    <row r="11055">
      <c r="N11055" s="5"/>
    </row>
    <row r="11056">
      <c r="N11056" s="5"/>
    </row>
    <row r="11057">
      <c r="N11057" s="5"/>
    </row>
    <row r="11058">
      <c r="N11058" s="5"/>
    </row>
    <row r="11059">
      <c r="N11059" s="5"/>
    </row>
    <row r="11060">
      <c r="N11060" s="5"/>
    </row>
    <row r="11061">
      <c r="N11061" s="5"/>
    </row>
    <row r="11062">
      <c r="N11062" s="5"/>
    </row>
    <row r="11063">
      <c r="N11063" s="5"/>
    </row>
    <row r="11064">
      <c r="N11064" s="5"/>
    </row>
    <row r="11065">
      <c r="N11065" s="5"/>
    </row>
    <row r="11066">
      <c r="N11066" s="5"/>
    </row>
    <row r="11067">
      <c r="N11067" s="5"/>
    </row>
    <row r="11068">
      <c r="N11068" s="5"/>
    </row>
    <row r="11069">
      <c r="N11069" s="5"/>
    </row>
    <row r="11070">
      <c r="N11070" s="5"/>
    </row>
    <row r="11071">
      <c r="N11071" s="5"/>
    </row>
    <row r="11072">
      <c r="N11072" s="5"/>
    </row>
    <row r="11073">
      <c r="N11073" s="5"/>
    </row>
    <row r="11074">
      <c r="N11074" s="5"/>
    </row>
    <row r="11075">
      <c r="N11075" s="5"/>
    </row>
    <row r="11076">
      <c r="N11076" s="5"/>
    </row>
    <row r="11077">
      <c r="N11077" s="5"/>
    </row>
    <row r="11078">
      <c r="N11078" s="5"/>
    </row>
    <row r="11079">
      <c r="N11079" s="5"/>
    </row>
    <row r="11080">
      <c r="N11080" s="5"/>
    </row>
    <row r="11081">
      <c r="N11081" s="5"/>
    </row>
    <row r="11082">
      <c r="N11082" s="5"/>
    </row>
    <row r="11083">
      <c r="N11083" s="5"/>
    </row>
    <row r="11084">
      <c r="N11084" s="5"/>
    </row>
    <row r="11085">
      <c r="N11085" s="5"/>
    </row>
    <row r="11086">
      <c r="N11086" s="5"/>
    </row>
    <row r="11087">
      <c r="N11087" s="5"/>
    </row>
    <row r="11088">
      <c r="N11088" s="5"/>
    </row>
    <row r="11089">
      <c r="N11089" s="5"/>
    </row>
    <row r="11090">
      <c r="N11090" s="5"/>
    </row>
    <row r="11091">
      <c r="N11091" s="5"/>
    </row>
    <row r="11092">
      <c r="N11092" s="5"/>
    </row>
    <row r="11093">
      <c r="N11093" s="5"/>
    </row>
    <row r="11094">
      <c r="N11094" s="5"/>
    </row>
    <row r="11095">
      <c r="N11095" s="5"/>
    </row>
    <row r="11096">
      <c r="N11096" s="5"/>
    </row>
    <row r="11097">
      <c r="N11097" s="5"/>
    </row>
    <row r="11098">
      <c r="N11098" s="5"/>
    </row>
    <row r="11099">
      <c r="N11099" s="5"/>
    </row>
    <row r="11100">
      <c r="N11100" s="5"/>
    </row>
    <row r="11101">
      <c r="N11101" s="5"/>
    </row>
    <row r="11102">
      <c r="N11102" s="5"/>
    </row>
    <row r="11103">
      <c r="N11103" s="5"/>
    </row>
    <row r="11104">
      <c r="N11104" s="5"/>
    </row>
    <row r="11105">
      <c r="N11105" s="5"/>
    </row>
    <row r="11106">
      <c r="N11106" s="5"/>
    </row>
    <row r="11107">
      <c r="N11107" s="5"/>
    </row>
    <row r="11108">
      <c r="N11108" s="5"/>
    </row>
    <row r="11109">
      <c r="N11109" s="5"/>
    </row>
    <row r="11110">
      <c r="N11110" s="5"/>
    </row>
    <row r="11111">
      <c r="N11111" s="5"/>
    </row>
    <row r="11112">
      <c r="N11112" s="5"/>
    </row>
    <row r="11113">
      <c r="N11113" s="5"/>
    </row>
    <row r="11114">
      <c r="N11114" s="5"/>
    </row>
    <row r="11115">
      <c r="N11115" s="5"/>
    </row>
    <row r="11116">
      <c r="N11116" s="5"/>
    </row>
    <row r="11117">
      <c r="N11117" s="5"/>
    </row>
    <row r="11118">
      <c r="N11118" s="5"/>
    </row>
    <row r="11119">
      <c r="N11119" s="5"/>
    </row>
    <row r="11120">
      <c r="N11120" s="5"/>
    </row>
    <row r="11121">
      <c r="N11121" s="5"/>
    </row>
    <row r="11122">
      <c r="N11122" s="5"/>
    </row>
    <row r="11123">
      <c r="N11123" s="5"/>
    </row>
    <row r="11124">
      <c r="N11124" s="5"/>
    </row>
    <row r="11125">
      <c r="N11125" s="5"/>
    </row>
    <row r="11126">
      <c r="N11126" s="5"/>
    </row>
    <row r="11127">
      <c r="N11127" s="5"/>
    </row>
    <row r="11128">
      <c r="N11128" s="5"/>
    </row>
    <row r="11129">
      <c r="N11129" s="5"/>
    </row>
    <row r="11130">
      <c r="N11130" s="5"/>
    </row>
    <row r="11131">
      <c r="N11131" s="5"/>
    </row>
    <row r="11132">
      <c r="N11132" s="5"/>
    </row>
    <row r="11133">
      <c r="N11133" s="5"/>
    </row>
    <row r="11134">
      <c r="N11134" s="5"/>
    </row>
    <row r="11135">
      <c r="N11135" s="5"/>
    </row>
    <row r="11136">
      <c r="N11136" s="5"/>
    </row>
    <row r="11137">
      <c r="N11137" s="5"/>
    </row>
    <row r="11138">
      <c r="N11138" s="5"/>
    </row>
    <row r="11139">
      <c r="N11139" s="5"/>
    </row>
    <row r="11140">
      <c r="N11140" s="5"/>
    </row>
    <row r="11141">
      <c r="N11141" s="5"/>
    </row>
    <row r="11142">
      <c r="N11142" s="5"/>
    </row>
    <row r="11143">
      <c r="N11143" s="5"/>
    </row>
    <row r="11144">
      <c r="N11144" s="5"/>
    </row>
    <row r="11145">
      <c r="N11145" s="5"/>
    </row>
    <row r="11146">
      <c r="N11146" s="5"/>
    </row>
    <row r="11147">
      <c r="N11147" s="5"/>
    </row>
    <row r="11148">
      <c r="N11148" s="5"/>
    </row>
    <row r="11149">
      <c r="N11149" s="5"/>
    </row>
    <row r="11150">
      <c r="N11150" s="5"/>
    </row>
    <row r="11151">
      <c r="N11151" s="5"/>
    </row>
    <row r="11152">
      <c r="N11152" s="5"/>
    </row>
    <row r="11153">
      <c r="N11153" s="5"/>
    </row>
    <row r="11154">
      <c r="N11154" s="5"/>
    </row>
    <row r="11155">
      <c r="N11155" s="5"/>
    </row>
    <row r="11156">
      <c r="N11156" s="5"/>
    </row>
    <row r="11157">
      <c r="N11157" s="5"/>
    </row>
    <row r="11158">
      <c r="N11158" s="5"/>
    </row>
    <row r="11159">
      <c r="N11159" s="5"/>
    </row>
    <row r="11160">
      <c r="N11160" s="5"/>
    </row>
    <row r="11161">
      <c r="N11161" s="5"/>
    </row>
    <row r="11162">
      <c r="N11162" s="5"/>
    </row>
    <row r="11163">
      <c r="N11163" s="5"/>
    </row>
    <row r="11164">
      <c r="N11164" s="5"/>
    </row>
    <row r="11165">
      <c r="N11165" s="5"/>
    </row>
    <row r="11166">
      <c r="N11166" s="5"/>
    </row>
    <row r="11167">
      <c r="N11167" s="5"/>
    </row>
    <row r="11168">
      <c r="N11168" s="5"/>
    </row>
    <row r="11169">
      <c r="N11169" s="5"/>
    </row>
    <row r="11170">
      <c r="N11170" s="5"/>
    </row>
    <row r="11171">
      <c r="N11171" s="5"/>
    </row>
    <row r="11172">
      <c r="N11172" s="5"/>
    </row>
    <row r="11173">
      <c r="N11173" s="5"/>
    </row>
    <row r="11174">
      <c r="N11174" s="5"/>
    </row>
    <row r="11175">
      <c r="N11175" s="5"/>
    </row>
    <row r="11176">
      <c r="N11176" s="5"/>
    </row>
    <row r="11177">
      <c r="N11177" s="5"/>
    </row>
    <row r="11178">
      <c r="N11178" s="5"/>
    </row>
    <row r="11179">
      <c r="N11179" s="5"/>
    </row>
    <row r="11180">
      <c r="N11180" s="5"/>
    </row>
    <row r="11181">
      <c r="N11181" s="5"/>
    </row>
    <row r="11182">
      <c r="N11182" s="5"/>
    </row>
    <row r="11183">
      <c r="N11183" s="5"/>
    </row>
    <row r="11184">
      <c r="N11184" s="5"/>
    </row>
    <row r="11185">
      <c r="N11185" s="5"/>
    </row>
    <row r="11186">
      <c r="N11186" s="5"/>
    </row>
    <row r="11187">
      <c r="N11187" s="5"/>
    </row>
    <row r="11188">
      <c r="N11188" s="5"/>
    </row>
    <row r="11189">
      <c r="N11189" s="5"/>
    </row>
    <row r="11190">
      <c r="N11190" s="5"/>
    </row>
    <row r="11191">
      <c r="N11191" s="5"/>
    </row>
    <row r="11192">
      <c r="N11192" s="5"/>
    </row>
    <row r="11193">
      <c r="N11193" s="5"/>
    </row>
    <row r="11194">
      <c r="N11194" s="5"/>
    </row>
    <row r="11195">
      <c r="N11195" s="5"/>
    </row>
    <row r="11196">
      <c r="N11196" s="5"/>
    </row>
    <row r="11197">
      <c r="N11197" s="5"/>
    </row>
    <row r="11198">
      <c r="N11198" s="5"/>
    </row>
    <row r="11199">
      <c r="N11199" s="5"/>
    </row>
    <row r="11200">
      <c r="N11200" s="5"/>
    </row>
    <row r="11201">
      <c r="N11201" s="5"/>
    </row>
    <row r="11202">
      <c r="N11202" s="5"/>
    </row>
    <row r="11203">
      <c r="N11203" s="5"/>
    </row>
    <row r="11204">
      <c r="N11204" s="5"/>
    </row>
    <row r="11205">
      <c r="N11205" s="5"/>
    </row>
    <row r="11206">
      <c r="N11206" s="5"/>
    </row>
    <row r="11207">
      <c r="N11207" s="5"/>
    </row>
    <row r="11208">
      <c r="N11208" s="5"/>
    </row>
    <row r="11209">
      <c r="N11209" s="5"/>
    </row>
    <row r="11210">
      <c r="N11210" s="5"/>
    </row>
    <row r="11211">
      <c r="N11211" s="5"/>
    </row>
    <row r="11212">
      <c r="N11212" s="5"/>
    </row>
    <row r="11213">
      <c r="N11213" s="5"/>
    </row>
    <row r="11214">
      <c r="N11214" s="5"/>
    </row>
    <row r="11215">
      <c r="N11215" s="5"/>
    </row>
    <row r="11216">
      <c r="N11216" s="5"/>
    </row>
    <row r="11217">
      <c r="N11217" s="5"/>
    </row>
    <row r="11218">
      <c r="N11218" s="5"/>
    </row>
    <row r="11219">
      <c r="N11219" s="5"/>
    </row>
    <row r="11220">
      <c r="N11220" s="5"/>
    </row>
    <row r="11221">
      <c r="N11221" s="5"/>
    </row>
    <row r="11222">
      <c r="N11222" s="5"/>
    </row>
    <row r="11223">
      <c r="N11223" s="5"/>
    </row>
    <row r="11224">
      <c r="N11224" s="5"/>
    </row>
    <row r="11225">
      <c r="N11225" s="5"/>
    </row>
    <row r="11226">
      <c r="N11226" s="5"/>
    </row>
    <row r="11227">
      <c r="N11227" s="5"/>
    </row>
    <row r="11228">
      <c r="N11228" s="5"/>
    </row>
    <row r="11229">
      <c r="N11229" s="5"/>
    </row>
    <row r="11230">
      <c r="N11230" s="5"/>
    </row>
    <row r="11231">
      <c r="N11231" s="5"/>
    </row>
    <row r="11232">
      <c r="N11232" s="5"/>
    </row>
    <row r="11233">
      <c r="N11233" s="5"/>
    </row>
    <row r="11234">
      <c r="N11234" s="5"/>
    </row>
    <row r="11235">
      <c r="N11235" s="5"/>
    </row>
    <row r="11236">
      <c r="N11236" s="5"/>
    </row>
    <row r="11237">
      <c r="N11237" s="5"/>
    </row>
    <row r="11238">
      <c r="N11238" s="5"/>
    </row>
    <row r="11239">
      <c r="N11239" s="5"/>
    </row>
    <row r="11240">
      <c r="N11240" s="5"/>
    </row>
    <row r="11241">
      <c r="N11241" s="5"/>
    </row>
    <row r="11242">
      <c r="N11242" s="5"/>
    </row>
    <row r="11243">
      <c r="N11243" s="5"/>
    </row>
    <row r="11244">
      <c r="N11244" s="5"/>
    </row>
    <row r="11245">
      <c r="N11245" s="5"/>
    </row>
    <row r="11246">
      <c r="N11246" s="5"/>
    </row>
    <row r="11247">
      <c r="N11247" s="5"/>
    </row>
    <row r="11248">
      <c r="N11248" s="5"/>
    </row>
    <row r="11249">
      <c r="N11249" s="5"/>
    </row>
    <row r="11250">
      <c r="N11250" s="5"/>
    </row>
    <row r="11251">
      <c r="N11251" s="5"/>
    </row>
    <row r="11252">
      <c r="N11252" s="5"/>
    </row>
    <row r="11253">
      <c r="N11253" s="5"/>
    </row>
    <row r="11254">
      <c r="N11254" s="5"/>
    </row>
    <row r="11255">
      <c r="N11255" s="5"/>
    </row>
    <row r="11256">
      <c r="N11256" s="5"/>
    </row>
    <row r="11257">
      <c r="N11257" s="5"/>
    </row>
    <row r="11258">
      <c r="N11258" s="5"/>
    </row>
    <row r="11259">
      <c r="N11259" s="5"/>
    </row>
    <row r="11260">
      <c r="N11260" s="5"/>
    </row>
    <row r="11261">
      <c r="N11261" s="5"/>
    </row>
    <row r="11262">
      <c r="N11262" s="5"/>
    </row>
    <row r="11263">
      <c r="N11263" s="5"/>
    </row>
    <row r="11264">
      <c r="N11264" s="5"/>
    </row>
    <row r="11265">
      <c r="N11265" s="5"/>
    </row>
    <row r="11266">
      <c r="N11266" s="5"/>
    </row>
    <row r="11267">
      <c r="N11267" s="5"/>
    </row>
    <row r="11268">
      <c r="N11268" s="5"/>
    </row>
    <row r="11269">
      <c r="N11269" s="5"/>
    </row>
    <row r="11270">
      <c r="N11270" s="5"/>
    </row>
    <row r="11271">
      <c r="N11271" s="5"/>
    </row>
    <row r="11272">
      <c r="N11272" s="5"/>
    </row>
    <row r="11273">
      <c r="N11273" s="5"/>
    </row>
    <row r="11274">
      <c r="N11274" s="5"/>
    </row>
    <row r="11275">
      <c r="N11275" s="5"/>
    </row>
    <row r="11276">
      <c r="N11276" s="5"/>
    </row>
    <row r="11277">
      <c r="N11277" s="5"/>
    </row>
    <row r="11278">
      <c r="N11278" s="5"/>
    </row>
    <row r="11279">
      <c r="N11279" s="5"/>
    </row>
    <row r="11280">
      <c r="N11280" s="5"/>
    </row>
    <row r="11281">
      <c r="N11281" s="5"/>
    </row>
    <row r="11282">
      <c r="N11282" s="5"/>
    </row>
    <row r="11283">
      <c r="N11283" s="5"/>
    </row>
    <row r="11284">
      <c r="N11284" s="5"/>
    </row>
    <row r="11285">
      <c r="N11285" s="5"/>
    </row>
    <row r="11286">
      <c r="N11286" s="5"/>
    </row>
    <row r="11287">
      <c r="N11287" s="5"/>
    </row>
    <row r="11288">
      <c r="N11288" s="5"/>
    </row>
    <row r="11289">
      <c r="N11289" s="5"/>
    </row>
    <row r="11290">
      <c r="N11290" s="5"/>
    </row>
    <row r="11291">
      <c r="N11291" s="5"/>
    </row>
    <row r="11292">
      <c r="N11292" s="5"/>
    </row>
    <row r="11293">
      <c r="N11293" s="5"/>
    </row>
    <row r="11294">
      <c r="N11294" s="5"/>
    </row>
    <row r="11295">
      <c r="N11295" s="5"/>
    </row>
    <row r="11296">
      <c r="N11296" s="5"/>
    </row>
    <row r="11297">
      <c r="N11297" s="5"/>
    </row>
    <row r="11298">
      <c r="N11298" s="5"/>
    </row>
    <row r="11299">
      <c r="N11299" s="5"/>
    </row>
    <row r="11300">
      <c r="N11300" s="5"/>
    </row>
    <row r="11301">
      <c r="N11301" s="5"/>
    </row>
    <row r="11302">
      <c r="N11302" s="5"/>
    </row>
    <row r="11303">
      <c r="N11303" s="5"/>
    </row>
    <row r="11304">
      <c r="N11304" s="5"/>
    </row>
    <row r="11305">
      <c r="N11305" s="5"/>
    </row>
    <row r="11306">
      <c r="N11306" s="5"/>
    </row>
    <row r="11307">
      <c r="N11307" s="5"/>
    </row>
    <row r="11308">
      <c r="N11308" s="5"/>
    </row>
    <row r="11309">
      <c r="N11309" s="5"/>
    </row>
    <row r="11310">
      <c r="N11310" s="5"/>
    </row>
    <row r="11311">
      <c r="N11311" s="5"/>
    </row>
    <row r="11312">
      <c r="N11312" s="5"/>
    </row>
    <row r="11313">
      <c r="N11313" s="5"/>
    </row>
    <row r="11314">
      <c r="N11314" s="5"/>
    </row>
    <row r="11315">
      <c r="N11315" s="5"/>
    </row>
    <row r="11316">
      <c r="N11316" s="5"/>
    </row>
    <row r="11317">
      <c r="N11317" s="5"/>
    </row>
    <row r="11318">
      <c r="N11318" s="5"/>
    </row>
    <row r="11319">
      <c r="N11319" s="5"/>
    </row>
    <row r="11320">
      <c r="N11320" s="5"/>
    </row>
    <row r="11321">
      <c r="N11321" s="5"/>
    </row>
    <row r="11322">
      <c r="N11322" s="5"/>
    </row>
    <row r="11323">
      <c r="N11323" s="5"/>
    </row>
    <row r="11324">
      <c r="N11324" s="5"/>
    </row>
    <row r="11325">
      <c r="N11325" s="5"/>
    </row>
    <row r="11326">
      <c r="N11326" s="5"/>
    </row>
    <row r="11327">
      <c r="N11327" s="5"/>
    </row>
    <row r="11328">
      <c r="N11328" s="5"/>
    </row>
    <row r="11329">
      <c r="N11329" s="5"/>
    </row>
    <row r="11330">
      <c r="N11330" s="5"/>
    </row>
    <row r="11331">
      <c r="N11331" s="5"/>
    </row>
    <row r="11332">
      <c r="N11332" s="5"/>
    </row>
    <row r="11333">
      <c r="N11333" s="5"/>
    </row>
    <row r="11334">
      <c r="N11334" s="5"/>
    </row>
    <row r="11335">
      <c r="N11335" s="5"/>
    </row>
    <row r="11336">
      <c r="N11336" s="5"/>
    </row>
    <row r="11337">
      <c r="N11337" s="5"/>
    </row>
    <row r="11338">
      <c r="N11338" s="5"/>
    </row>
    <row r="11339">
      <c r="N11339" s="5"/>
    </row>
    <row r="11340">
      <c r="N11340" s="5"/>
    </row>
    <row r="11341">
      <c r="N11341" s="5"/>
    </row>
    <row r="11342">
      <c r="N11342" s="5"/>
    </row>
    <row r="11343">
      <c r="N11343" s="5"/>
    </row>
    <row r="11344">
      <c r="N11344" s="5"/>
    </row>
    <row r="11345">
      <c r="N11345" s="5"/>
    </row>
    <row r="11346">
      <c r="N11346" s="5"/>
    </row>
    <row r="11347">
      <c r="N11347" s="5"/>
    </row>
    <row r="11348">
      <c r="N11348" s="5"/>
    </row>
    <row r="11349">
      <c r="N11349" s="5"/>
    </row>
    <row r="11350">
      <c r="N11350" s="5"/>
    </row>
    <row r="11351">
      <c r="N11351" s="5"/>
    </row>
    <row r="11352">
      <c r="N11352" s="5"/>
    </row>
    <row r="11353">
      <c r="N11353" s="5"/>
    </row>
    <row r="11354">
      <c r="N11354" s="5"/>
    </row>
    <row r="11355">
      <c r="N11355" s="5"/>
    </row>
    <row r="11356">
      <c r="N11356" s="5"/>
    </row>
    <row r="11357">
      <c r="N11357" s="5"/>
    </row>
    <row r="11358">
      <c r="N11358" s="5"/>
    </row>
    <row r="11359">
      <c r="N11359" s="5"/>
    </row>
    <row r="11360">
      <c r="N11360" s="5"/>
    </row>
    <row r="11361">
      <c r="N11361" s="5"/>
    </row>
    <row r="11362">
      <c r="N11362" s="5"/>
    </row>
    <row r="11363">
      <c r="N11363" s="5"/>
    </row>
    <row r="11364">
      <c r="N11364" s="5"/>
    </row>
    <row r="11365">
      <c r="N11365" s="5"/>
    </row>
    <row r="11366">
      <c r="N11366" s="5"/>
    </row>
    <row r="11367">
      <c r="N11367" s="5"/>
    </row>
    <row r="11368">
      <c r="N11368" s="5"/>
    </row>
    <row r="11369">
      <c r="N11369" s="5"/>
    </row>
    <row r="11370">
      <c r="N11370" s="5"/>
    </row>
    <row r="11371">
      <c r="N11371" s="5"/>
    </row>
    <row r="11372">
      <c r="N11372" s="5"/>
    </row>
    <row r="11373">
      <c r="N11373" s="5"/>
    </row>
    <row r="11374">
      <c r="N11374" s="5"/>
    </row>
    <row r="11375">
      <c r="N11375" s="5"/>
    </row>
    <row r="11376">
      <c r="N11376" s="5"/>
    </row>
    <row r="11377">
      <c r="N11377" s="5"/>
    </row>
    <row r="11378">
      <c r="N11378" s="5"/>
    </row>
    <row r="11379">
      <c r="N11379" s="5"/>
    </row>
    <row r="11380">
      <c r="N11380" s="5"/>
    </row>
    <row r="11381">
      <c r="N11381" s="5"/>
    </row>
    <row r="11382">
      <c r="N11382" s="5"/>
    </row>
    <row r="11383">
      <c r="N11383" s="5"/>
    </row>
    <row r="11384">
      <c r="N11384" s="5"/>
    </row>
    <row r="11385">
      <c r="N11385" s="5"/>
    </row>
    <row r="11386">
      <c r="N11386" s="5"/>
    </row>
    <row r="11387">
      <c r="N11387" s="5"/>
    </row>
    <row r="11388">
      <c r="N11388" s="5"/>
    </row>
    <row r="11389">
      <c r="N11389" s="5"/>
    </row>
    <row r="11390">
      <c r="N11390" s="5"/>
    </row>
    <row r="11391">
      <c r="N11391" s="5"/>
    </row>
    <row r="11392">
      <c r="N11392" s="5"/>
    </row>
    <row r="11393">
      <c r="N11393" s="5"/>
    </row>
    <row r="11394">
      <c r="N11394" s="5"/>
    </row>
    <row r="11395">
      <c r="N11395" s="5"/>
    </row>
    <row r="11396">
      <c r="N11396" s="5"/>
    </row>
    <row r="11397">
      <c r="N11397" s="5"/>
    </row>
    <row r="11398">
      <c r="N11398" s="5"/>
    </row>
    <row r="11399">
      <c r="N11399" s="5"/>
    </row>
    <row r="11400">
      <c r="N11400" s="5"/>
    </row>
    <row r="11401">
      <c r="N11401" s="5"/>
    </row>
    <row r="11402">
      <c r="N11402" s="5"/>
    </row>
    <row r="11403">
      <c r="N11403" s="5"/>
    </row>
    <row r="11404">
      <c r="N11404" s="5"/>
    </row>
    <row r="11405">
      <c r="N11405" s="5"/>
    </row>
    <row r="11406">
      <c r="N11406" s="5"/>
    </row>
    <row r="11407">
      <c r="N11407" s="5"/>
    </row>
    <row r="11408">
      <c r="N11408" s="5"/>
    </row>
    <row r="11409">
      <c r="N11409" s="5"/>
    </row>
    <row r="11410">
      <c r="N11410" s="5"/>
    </row>
    <row r="11411">
      <c r="N11411" s="5"/>
    </row>
    <row r="11412">
      <c r="N11412" s="5"/>
    </row>
    <row r="11413">
      <c r="N11413" s="5"/>
    </row>
    <row r="11414">
      <c r="N11414" s="5"/>
    </row>
    <row r="11415">
      <c r="N11415" s="5"/>
    </row>
    <row r="11416">
      <c r="N11416" s="5"/>
    </row>
    <row r="11417">
      <c r="N11417" s="5"/>
    </row>
    <row r="11418">
      <c r="N11418" s="5"/>
    </row>
    <row r="11419">
      <c r="N11419" s="5"/>
    </row>
    <row r="11420">
      <c r="N11420" s="5"/>
    </row>
    <row r="11421">
      <c r="N11421" s="5"/>
    </row>
    <row r="11422">
      <c r="N11422" s="5"/>
    </row>
    <row r="11423">
      <c r="N11423" s="5"/>
    </row>
    <row r="11424">
      <c r="N11424" s="5"/>
    </row>
    <row r="11425">
      <c r="N11425" s="5"/>
    </row>
    <row r="11426">
      <c r="N11426" s="5"/>
    </row>
    <row r="11427">
      <c r="N11427" s="5"/>
    </row>
    <row r="11428">
      <c r="N11428" s="5"/>
    </row>
    <row r="11429">
      <c r="N11429" s="5"/>
    </row>
    <row r="11430">
      <c r="N11430" s="5"/>
    </row>
    <row r="11431">
      <c r="N11431" s="5"/>
    </row>
    <row r="11432">
      <c r="N11432" s="5"/>
    </row>
    <row r="11433">
      <c r="N11433" s="5"/>
    </row>
    <row r="11434">
      <c r="N11434" s="5"/>
    </row>
    <row r="11435">
      <c r="N11435" s="5"/>
    </row>
    <row r="11436">
      <c r="N11436" s="5"/>
    </row>
    <row r="11437">
      <c r="N11437" s="5"/>
    </row>
    <row r="11438">
      <c r="N11438" s="5"/>
    </row>
    <row r="11439">
      <c r="N11439" s="5"/>
    </row>
    <row r="11440">
      <c r="N11440" s="5"/>
    </row>
    <row r="11441">
      <c r="N11441" s="5"/>
    </row>
    <row r="11442">
      <c r="N11442" s="5"/>
    </row>
    <row r="11443">
      <c r="N11443" s="5"/>
    </row>
    <row r="11444">
      <c r="N11444" s="5"/>
    </row>
    <row r="11445">
      <c r="N11445" s="5"/>
    </row>
    <row r="11446">
      <c r="N11446" s="5"/>
    </row>
    <row r="11447">
      <c r="N11447" s="5"/>
    </row>
    <row r="11448">
      <c r="N11448" s="5"/>
    </row>
    <row r="11449">
      <c r="N11449" s="5"/>
    </row>
    <row r="11450">
      <c r="N11450" s="5"/>
    </row>
    <row r="11451">
      <c r="N11451" s="5"/>
    </row>
    <row r="11452">
      <c r="N11452" s="5"/>
    </row>
    <row r="11453">
      <c r="N11453" s="5"/>
    </row>
    <row r="11454">
      <c r="N11454" s="5"/>
    </row>
    <row r="11455">
      <c r="N11455" s="5"/>
    </row>
    <row r="11456">
      <c r="N11456" s="5"/>
    </row>
    <row r="11457">
      <c r="N11457" s="5"/>
    </row>
    <row r="11458">
      <c r="N11458" s="5"/>
    </row>
    <row r="11459">
      <c r="N11459" s="5"/>
    </row>
    <row r="11460">
      <c r="N11460" s="5"/>
    </row>
    <row r="11461">
      <c r="N11461" s="5"/>
    </row>
    <row r="11462">
      <c r="N11462" s="5"/>
    </row>
    <row r="11463">
      <c r="N11463" s="5"/>
    </row>
    <row r="11464">
      <c r="N11464" s="5"/>
    </row>
    <row r="11465">
      <c r="N11465" s="5"/>
    </row>
    <row r="11466">
      <c r="N11466" s="5"/>
    </row>
    <row r="11467">
      <c r="N11467" s="5"/>
    </row>
    <row r="11468">
      <c r="N11468" s="5"/>
    </row>
    <row r="11469">
      <c r="N11469" s="5"/>
    </row>
    <row r="11470">
      <c r="N11470" s="5"/>
    </row>
    <row r="11471">
      <c r="N11471" s="5"/>
    </row>
    <row r="11472">
      <c r="N11472" s="5"/>
    </row>
    <row r="11473">
      <c r="N11473" s="5"/>
    </row>
    <row r="11474">
      <c r="N11474" s="5"/>
    </row>
    <row r="11475">
      <c r="N11475" s="5"/>
    </row>
    <row r="11476">
      <c r="N11476" s="5"/>
    </row>
    <row r="11477">
      <c r="N11477" s="5"/>
    </row>
    <row r="11478">
      <c r="N11478" s="5"/>
    </row>
    <row r="11479">
      <c r="N11479" s="5"/>
    </row>
    <row r="11480">
      <c r="N11480" s="5"/>
    </row>
    <row r="11481">
      <c r="N11481" s="5"/>
    </row>
    <row r="11482">
      <c r="N11482" s="5"/>
    </row>
    <row r="11483">
      <c r="N11483" s="5"/>
    </row>
    <row r="11484">
      <c r="N11484" s="5"/>
    </row>
    <row r="11485">
      <c r="N11485" s="5"/>
    </row>
    <row r="11486">
      <c r="N11486" s="5"/>
    </row>
    <row r="11487">
      <c r="N11487" s="5"/>
    </row>
    <row r="11488">
      <c r="N11488" s="5"/>
    </row>
    <row r="11489">
      <c r="N11489" s="5"/>
    </row>
    <row r="11490">
      <c r="N11490" s="5"/>
    </row>
    <row r="11491">
      <c r="N11491" s="5"/>
    </row>
    <row r="11492">
      <c r="N11492" s="5"/>
    </row>
    <row r="11493">
      <c r="N11493" s="5"/>
    </row>
    <row r="11494">
      <c r="N11494" s="5"/>
    </row>
    <row r="11495">
      <c r="N11495" s="5"/>
    </row>
    <row r="11496">
      <c r="N11496" s="5"/>
    </row>
    <row r="11497">
      <c r="N11497" s="5"/>
    </row>
    <row r="11498">
      <c r="N11498" s="5"/>
    </row>
    <row r="11499">
      <c r="N11499" s="5"/>
    </row>
    <row r="11500">
      <c r="N11500" s="5"/>
    </row>
    <row r="11501">
      <c r="N11501" s="5"/>
    </row>
    <row r="11502">
      <c r="N11502" s="5"/>
    </row>
    <row r="11503">
      <c r="N11503" s="5"/>
    </row>
    <row r="11504">
      <c r="N11504" s="5"/>
    </row>
    <row r="11505">
      <c r="N11505" s="5"/>
    </row>
    <row r="11506">
      <c r="N11506" s="5"/>
    </row>
    <row r="11507">
      <c r="N11507" s="5"/>
    </row>
    <row r="11508">
      <c r="N11508" s="5"/>
    </row>
    <row r="11509">
      <c r="N11509" s="5"/>
    </row>
    <row r="11510">
      <c r="N11510" s="5"/>
    </row>
    <row r="11511">
      <c r="N11511" s="5"/>
    </row>
    <row r="11512">
      <c r="N11512" s="5"/>
    </row>
    <row r="11513">
      <c r="N11513" s="5"/>
    </row>
    <row r="11514">
      <c r="N11514" s="5"/>
    </row>
    <row r="11515">
      <c r="N11515" s="5"/>
    </row>
    <row r="11516">
      <c r="N11516" s="5"/>
    </row>
    <row r="11517">
      <c r="N11517" s="5"/>
    </row>
    <row r="11518">
      <c r="N11518" s="5"/>
    </row>
    <row r="11519">
      <c r="N11519" s="5"/>
    </row>
    <row r="11520">
      <c r="N11520" s="5"/>
    </row>
    <row r="11521">
      <c r="N11521" s="5"/>
    </row>
    <row r="11522">
      <c r="N11522" s="5"/>
    </row>
    <row r="11523">
      <c r="N11523" s="5"/>
    </row>
    <row r="11524">
      <c r="N11524" s="5"/>
    </row>
    <row r="11525">
      <c r="N11525" s="5"/>
    </row>
    <row r="11526">
      <c r="N11526" s="5"/>
    </row>
    <row r="11527">
      <c r="N11527" s="5"/>
    </row>
    <row r="11528">
      <c r="N11528" s="5"/>
    </row>
    <row r="11529">
      <c r="N11529" s="5"/>
    </row>
    <row r="11530">
      <c r="N11530" s="5"/>
    </row>
    <row r="11531">
      <c r="N11531" s="5"/>
    </row>
    <row r="11532">
      <c r="N11532" s="5"/>
    </row>
    <row r="11533">
      <c r="N11533" s="5"/>
    </row>
    <row r="11534">
      <c r="N11534" s="5"/>
    </row>
    <row r="11535">
      <c r="N11535" s="5"/>
    </row>
    <row r="11536">
      <c r="N11536" s="5"/>
    </row>
    <row r="11537">
      <c r="N11537" s="5"/>
    </row>
    <row r="11538">
      <c r="N11538" s="5"/>
    </row>
    <row r="11539">
      <c r="N11539" s="5"/>
    </row>
    <row r="11540">
      <c r="N11540" s="5"/>
    </row>
    <row r="11541">
      <c r="N11541" s="5"/>
    </row>
    <row r="11542">
      <c r="N11542" s="5"/>
    </row>
    <row r="11543">
      <c r="N11543" s="5"/>
    </row>
    <row r="11544">
      <c r="N11544" s="5"/>
    </row>
    <row r="11545">
      <c r="N11545" s="5"/>
    </row>
    <row r="11546">
      <c r="N11546" s="5"/>
    </row>
    <row r="11547">
      <c r="N11547" s="5"/>
    </row>
    <row r="11548">
      <c r="N11548" s="5"/>
    </row>
    <row r="11549">
      <c r="N11549" s="5"/>
    </row>
    <row r="11550">
      <c r="N11550" s="5"/>
    </row>
    <row r="11551">
      <c r="N11551" s="5"/>
    </row>
    <row r="11552">
      <c r="N11552" s="5"/>
    </row>
    <row r="11553">
      <c r="N11553" s="5"/>
    </row>
    <row r="11554">
      <c r="N11554" s="5"/>
    </row>
    <row r="11555">
      <c r="N11555" s="5"/>
    </row>
    <row r="11556">
      <c r="N11556" s="5"/>
    </row>
    <row r="11557">
      <c r="N11557" s="5"/>
    </row>
    <row r="11558">
      <c r="N11558" s="5"/>
    </row>
    <row r="11559">
      <c r="N11559" s="5"/>
    </row>
    <row r="11560">
      <c r="N11560" s="5"/>
    </row>
    <row r="11561">
      <c r="N11561" s="5"/>
    </row>
    <row r="11562">
      <c r="N11562" s="5"/>
    </row>
    <row r="11563">
      <c r="N11563" s="5"/>
    </row>
    <row r="11564">
      <c r="N11564" s="5"/>
    </row>
    <row r="11565">
      <c r="N11565" s="5"/>
    </row>
    <row r="11566">
      <c r="N11566" s="5"/>
    </row>
    <row r="11567">
      <c r="N11567" s="5"/>
    </row>
    <row r="11568">
      <c r="N11568" s="5"/>
    </row>
    <row r="11569">
      <c r="N11569" s="5"/>
    </row>
    <row r="11570">
      <c r="N11570" s="5"/>
    </row>
    <row r="11571">
      <c r="N11571" s="5"/>
    </row>
    <row r="11572">
      <c r="N11572" s="5"/>
    </row>
    <row r="11573">
      <c r="N11573" s="5"/>
    </row>
    <row r="11574">
      <c r="N11574" s="5"/>
    </row>
    <row r="11575">
      <c r="N11575" s="5"/>
    </row>
    <row r="11576">
      <c r="N11576" s="5"/>
    </row>
    <row r="11577">
      <c r="N11577" s="5"/>
    </row>
    <row r="11578">
      <c r="N11578" s="5"/>
    </row>
    <row r="11579">
      <c r="N11579" s="5"/>
    </row>
    <row r="11580">
      <c r="N11580" s="5"/>
    </row>
    <row r="11581">
      <c r="N11581" s="5"/>
    </row>
    <row r="11582">
      <c r="N11582" s="5"/>
    </row>
    <row r="11583">
      <c r="N11583" s="5"/>
    </row>
    <row r="11584">
      <c r="N11584" s="5"/>
    </row>
    <row r="11585">
      <c r="N11585" s="5"/>
    </row>
    <row r="11586">
      <c r="N11586" s="5"/>
    </row>
    <row r="11587">
      <c r="N11587" s="5"/>
    </row>
    <row r="11588">
      <c r="N11588" s="5"/>
    </row>
    <row r="11589">
      <c r="N11589" s="5"/>
    </row>
    <row r="11590">
      <c r="N11590" s="5"/>
    </row>
    <row r="11591">
      <c r="N11591" s="5"/>
    </row>
    <row r="11592">
      <c r="N11592" s="5"/>
    </row>
    <row r="11593">
      <c r="N11593" s="5"/>
    </row>
    <row r="11594">
      <c r="N11594" s="5"/>
    </row>
    <row r="11595">
      <c r="N11595" s="5"/>
    </row>
    <row r="11596">
      <c r="N11596" s="5"/>
    </row>
    <row r="11597">
      <c r="N11597" s="5"/>
    </row>
    <row r="11598">
      <c r="N11598" s="5"/>
    </row>
    <row r="11599">
      <c r="N11599" s="5"/>
    </row>
    <row r="11600">
      <c r="N11600" s="5"/>
    </row>
    <row r="11601">
      <c r="N11601" s="5"/>
    </row>
    <row r="11602">
      <c r="N11602" s="5"/>
    </row>
    <row r="11603">
      <c r="N11603" s="5"/>
    </row>
    <row r="11604">
      <c r="N11604" s="5"/>
    </row>
    <row r="11605">
      <c r="N11605" s="5"/>
    </row>
    <row r="11606">
      <c r="N11606" s="5"/>
    </row>
    <row r="11607">
      <c r="N11607" s="5"/>
    </row>
    <row r="11608">
      <c r="N11608" s="5"/>
    </row>
    <row r="11609">
      <c r="N11609" s="5"/>
    </row>
    <row r="11610">
      <c r="N11610" s="5"/>
    </row>
    <row r="11611">
      <c r="N11611" s="5"/>
    </row>
    <row r="11612">
      <c r="N11612" s="5"/>
    </row>
    <row r="11613">
      <c r="N11613" s="5"/>
    </row>
    <row r="11614">
      <c r="N11614" s="5"/>
    </row>
    <row r="11615">
      <c r="N11615" s="5"/>
    </row>
    <row r="11616">
      <c r="N11616" s="5"/>
    </row>
    <row r="11617">
      <c r="N11617" s="5"/>
    </row>
    <row r="11618">
      <c r="N11618" s="5"/>
    </row>
    <row r="11619">
      <c r="N11619" s="5"/>
    </row>
    <row r="11620">
      <c r="N11620" s="5"/>
    </row>
    <row r="11621">
      <c r="N11621" s="5"/>
    </row>
    <row r="11622">
      <c r="N11622" s="5"/>
    </row>
    <row r="11623">
      <c r="N11623" s="5"/>
    </row>
    <row r="11624">
      <c r="N11624" s="5"/>
    </row>
    <row r="11625">
      <c r="N11625" s="5"/>
    </row>
    <row r="11626">
      <c r="N11626" s="5"/>
    </row>
    <row r="11627">
      <c r="N11627" s="5"/>
    </row>
    <row r="11628">
      <c r="N11628" s="5"/>
    </row>
    <row r="11629">
      <c r="N11629" s="5"/>
    </row>
    <row r="11630">
      <c r="N11630" s="5"/>
    </row>
    <row r="11631">
      <c r="N11631" s="5"/>
    </row>
    <row r="11632">
      <c r="N11632" s="5"/>
    </row>
    <row r="11633">
      <c r="N11633" s="5"/>
    </row>
    <row r="11634">
      <c r="N11634" s="5"/>
    </row>
    <row r="11635">
      <c r="N11635" s="5"/>
    </row>
    <row r="11636">
      <c r="N11636" s="5"/>
    </row>
    <row r="11637">
      <c r="N11637" s="5"/>
    </row>
    <row r="11638">
      <c r="N11638" s="5"/>
    </row>
    <row r="11639">
      <c r="N11639" s="5"/>
    </row>
    <row r="11640">
      <c r="N11640" s="5"/>
    </row>
    <row r="11641">
      <c r="N11641" s="5"/>
    </row>
    <row r="11642">
      <c r="N11642" s="5"/>
    </row>
    <row r="11643">
      <c r="N11643" s="5"/>
    </row>
    <row r="11644">
      <c r="N11644" s="5"/>
    </row>
    <row r="11645">
      <c r="N11645" s="5"/>
    </row>
    <row r="11646">
      <c r="N11646" s="5"/>
    </row>
    <row r="11647">
      <c r="N11647" s="5"/>
    </row>
    <row r="11648">
      <c r="N11648" s="5"/>
    </row>
    <row r="11649">
      <c r="N11649" s="5"/>
    </row>
    <row r="11650">
      <c r="N11650" s="5"/>
    </row>
    <row r="11651">
      <c r="N11651" s="5"/>
    </row>
    <row r="11652">
      <c r="N11652" s="5"/>
    </row>
    <row r="11653">
      <c r="N11653" s="5"/>
    </row>
    <row r="11654">
      <c r="N11654" s="5"/>
    </row>
    <row r="11655">
      <c r="N11655" s="5"/>
    </row>
    <row r="11656">
      <c r="N11656" s="5"/>
    </row>
    <row r="11657">
      <c r="N11657" s="5"/>
    </row>
    <row r="11658">
      <c r="N11658" s="5"/>
    </row>
    <row r="11659">
      <c r="N11659" s="5"/>
    </row>
    <row r="11660">
      <c r="N11660" s="5"/>
    </row>
    <row r="11661">
      <c r="N11661" s="5"/>
    </row>
    <row r="11662">
      <c r="N11662" s="5"/>
    </row>
    <row r="11663">
      <c r="N11663" s="5"/>
    </row>
    <row r="11664">
      <c r="N11664" s="5"/>
    </row>
    <row r="11665">
      <c r="N11665" s="5"/>
    </row>
    <row r="11666">
      <c r="N11666" s="5"/>
    </row>
    <row r="11667">
      <c r="N11667" s="5"/>
    </row>
    <row r="11668">
      <c r="N11668" s="5"/>
    </row>
    <row r="11669">
      <c r="N11669" s="5"/>
    </row>
    <row r="11670">
      <c r="N11670" s="5"/>
    </row>
    <row r="11671">
      <c r="N11671" s="5"/>
    </row>
    <row r="11672">
      <c r="N11672" s="5"/>
    </row>
    <row r="11673">
      <c r="N11673" s="5"/>
    </row>
    <row r="11674">
      <c r="N11674" s="5"/>
    </row>
    <row r="11675">
      <c r="N11675" s="5"/>
    </row>
    <row r="11676">
      <c r="N11676" s="5"/>
    </row>
    <row r="11677">
      <c r="N11677" s="5"/>
    </row>
    <row r="11678">
      <c r="N11678" s="5"/>
    </row>
    <row r="11679">
      <c r="N11679" s="5"/>
    </row>
    <row r="11680">
      <c r="N11680" s="5"/>
    </row>
    <row r="11681">
      <c r="N11681" s="5"/>
    </row>
    <row r="11682">
      <c r="N11682" s="5"/>
    </row>
    <row r="11683">
      <c r="N11683" s="5"/>
    </row>
    <row r="11684">
      <c r="N11684" s="5"/>
    </row>
    <row r="11685">
      <c r="N11685" s="5"/>
    </row>
    <row r="11686">
      <c r="N11686" s="5"/>
    </row>
    <row r="11687">
      <c r="N11687" s="5"/>
    </row>
    <row r="11688">
      <c r="N11688" s="5"/>
    </row>
    <row r="11689">
      <c r="N11689" s="5"/>
    </row>
    <row r="11690">
      <c r="N11690" s="5"/>
    </row>
    <row r="11691">
      <c r="N11691" s="5"/>
    </row>
    <row r="11692">
      <c r="N11692" s="5"/>
    </row>
    <row r="11693">
      <c r="N11693" s="5"/>
    </row>
    <row r="11694">
      <c r="N11694" s="5"/>
    </row>
    <row r="11695">
      <c r="N11695" s="5"/>
    </row>
    <row r="11696">
      <c r="N11696" s="5"/>
    </row>
    <row r="11697">
      <c r="N11697" s="5"/>
    </row>
    <row r="11698">
      <c r="N11698" s="5"/>
    </row>
    <row r="11699">
      <c r="N11699" s="5"/>
    </row>
    <row r="11700">
      <c r="N11700" s="5"/>
    </row>
    <row r="11701">
      <c r="N11701" s="5"/>
    </row>
    <row r="11702">
      <c r="N11702" s="5"/>
    </row>
    <row r="11703">
      <c r="N11703" s="5"/>
    </row>
    <row r="11704">
      <c r="N11704" s="5"/>
    </row>
    <row r="11705">
      <c r="N11705" s="5"/>
    </row>
    <row r="11706">
      <c r="N11706" s="5"/>
    </row>
    <row r="11707">
      <c r="N11707" s="5"/>
    </row>
    <row r="11708">
      <c r="N11708" s="5"/>
    </row>
    <row r="11709">
      <c r="N11709" s="5"/>
    </row>
    <row r="11710">
      <c r="N11710" s="5"/>
    </row>
    <row r="11711">
      <c r="N11711" s="5"/>
    </row>
    <row r="11712">
      <c r="N11712" s="5"/>
    </row>
    <row r="11713">
      <c r="N11713" s="5"/>
    </row>
    <row r="11714">
      <c r="N11714" s="5"/>
    </row>
    <row r="11715">
      <c r="N11715" s="5"/>
    </row>
    <row r="11716">
      <c r="N11716" s="5"/>
    </row>
    <row r="11717">
      <c r="N11717" s="5"/>
    </row>
    <row r="11718">
      <c r="N11718" s="5"/>
    </row>
    <row r="11719">
      <c r="N11719" s="5"/>
    </row>
    <row r="11720">
      <c r="N11720" s="5"/>
    </row>
    <row r="11721">
      <c r="N11721" s="5"/>
    </row>
    <row r="11722">
      <c r="N11722" s="5"/>
    </row>
    <row r="11723">
      <c r="N11723" s="5"/>
    </row>
    <row r="11724">
      <c r="N11724" s="5"/>
    </row>
    <row r="11725">
      <c r="N11725" s="5"/>
    </row>
    <row r="11726">
      <c r="N11726" s="5"/>
    </row>
    <row r="11727">
      <c r="N11727" s="5"/>
    </row>
    <row r="11728">
      <c r="N11728" s="5"/>
    </row>
    <row r="11729">
      <c r="N11729" s="5"/>
    </row>
    <row r="11730">
      <c r="N11730" s="5"/>
    </row>
    <row r="11731">
      <c r="N11731" s="5"/>
    </row>
    <row r="11732">
      <c r="N11732" s="5"/>
    </row>
    <row r="11733">
      <c r="N11733" s="5"/>
    </row>
    <row r="11734">
      <c r="N11734" s="5"/>
    </row>
    <row r="11735">
      <c r="N11735" s="5"/>
    </row>
    <row r="11736">
      <c r="N11736" s="5"/>
    </row>
    <row r="11737">
      <c r="N11737" s="5"/>
    </row>
    <row r="11738">
      <c r="N11738" s="5"/>
    </row>
    <row r="11739">
      <c r="N11739" s="5"/>
    </row>
    <row r="11740">
      <c r="N11740" s="5"/>
    </row>
    <row r="11741">
      <c r="N11741" s="5"/>
    </row>
    <row r="11742">
      <c r="N11742" s="5"/>
    </row>
    <row r="11743">
      <c r="N11743" s="5"/>
    </row>
    <row r="11744">
      <c r="N11744" s="5"/>
    </row>
    <row r="11745">
      <c r="N11745" s="5"/>
    </row>
    <row r="11746">
      <c r="N11746" s="5"/>
    </row>
    <row r="11747">
      <c r="N11747" s="5"/>
    </row>
    <row r="11748">
      <c r="N11748" s="5"/>
    </row>
    <row r="11749">
      <c r="N11749" s="5"/>
    </row>
    <row r="11750">
      <c r="N11750" s="5"/>
    </row>
    <row r="11751">
      <c r="N11751" s="5"/>
    </row>
    <row r="11752">
      <c r="N11752" s="5"/>
    </row>
    <row r="11753">
      <c r="N11753" s="5"/>
    </row>
    <row r="11754">
      <c r="N11754" s="5"/>
    </row>
    <row r="11755">
      <c r="N11755" s="5"/>
    </row>
    <row r="11756">
      <c r="N11756" s="5"/>
    </row>
    <row r="11757">
      <c r="N11757" s="5"/>
    </row>
    <row r="11758">
      <c r="N11758" s="5"/>
    </row>
    <row r="11759">
      <c r="N11759" s="5"/>
    </row>
    <row r="11760">
      <c r="N11760" s="5"/>
    </row>
    <row r="11761">
      <c r="N11761" s="5"/>
    </row>
    <row r="11762">
      <c r="N11762" s="5"/>
    </row>
    <row r="11763">
      <c r="N11763" s="5"/>
    </row>
    <row r="11764">
      <c r="N11764" s="5"/>
    </row>
    <row r="11765">
      <c r="N11765" s="5"/>
    </row>
    <row r="11766">
      <c r="N11766" s="5"/>
    </row>
    <row r="11767">
      <c r="N11767" s="5"/>
    </row>
    <row r="11768">
      <c r="N11768" s="5"/>
    </row>
    <row r="11769">
      <c r="N11769" s="5"/>
    </row>
    <row r="11770">
      <c r="N11770" s="5"/>
    </row>
    <row r="11771">
      <c r="N11771" s="5"/>
    </row>
    <row r="11772">
      <c r="N11772" s="5"/>
    </row>
    <row r="11773">
      <c r="N11773" s="5"/>
    </row>
    <row r="11774">
      <c r="N11774" s="5"/>
    </row>
    <row r="11775">
      <c r="N11775" s="5"/>
    </row>
    <row r="11776">
      <c r="N11776" s="5"/>
    </row>
    <row r="11777">
      <c r="N11777" s="5"/>
    </row>
    <row r="11778">
      <c r="N11778" s="5"/>
    </row>
    <row r="11779">
      <c r="N11779" s="5"/>
    </row>
    <row r="11780">
      <c r="N11780" s="5"/>
    </row>
    <row r="11781">
      <c r="N11781" s="5"/>
    </row>
    <row r="11782">
      <c r="N11782" s="5"/>
    </row>
    <row r="11783">
      <c r="N11783" s="5"/>
    </row>
    <row r="11784">
      <c r="N11784" s="5"/>
    </row>
    <row r="11785">
      <c r="N11785" s="5"/>
    </row>
    <row r="11786">
      <c r="N11786" s="5"/>
    </row>
    <row r="11787">
      <c r="N11787" s="5"/>
    </row>
    <row r="11788">
      <c r="N11788" s="5"/>
    </row>
    <row r="11789">
      <c r="N11789" s="5"/>
    </row>
    <row r="11790">
      <c r="N11790" s="5"/>
    </row>
    <row r="11791">
      <c r="N11791" s="5"/>
    </row>
    <row r="11792">
      <c r="N11792" s="5"/>
    </row>
    <row r="11793">
      <c r="N11793" s="5"/>
    </row>
    <row r="11794">
      <c r="N11794" s="5"/>
    </row>
    <row r="11795">
      <c r="N11795" s="5"/>
    </row>
    <row r="11796">
      <c r="N11796" s="5"/>
    </row>
    <row r="11797">
      <c r="N11797" s="5"/>
    </row>
    <row r="11798">
      <c r="N11798" s="5"/>
    </row>
    <row r="11799">
      <c r="N11799" s="5"/>
    </row>
    <row r="11800">
      <c r="N11800" s="5"/>
    </row>
    <row r="11801">
      <c r="N11801" s="5"/>
    </row>
    <row r="11802">
      <c r="N11802" s="5"/>
    </row>
    <row r="11803">
      <c r="N11803" s="5"/>
    </row>
    <row r="11804">
      <c r="N11804" s="5"/>
    </row>
    <row r="11805">
      <c r="N11805" s="5"/>
    </row>
    <row r="11806">
      <c r="N11806" s="5"/>
    </row>
    <row r="11807">
      <c r="N11807" s="5"/>
    </row>
    <row r="11808">
      <c r="N11808" s="5"/>
    </row>
    <row r="11809">
      <c r="N11809" s="5"/>
    </row>
    <row r="11810">
      <c r="N11810" s="5"/>
    </row>
    <row r="11811">
      <c r="N11811" s="5"/>
    </row>
    <row r="11812">
      <c r="N11812" s="5"/>
    </row>
    <row r="11813">
      <c r="N11813" s="5"/>
    </row>
    <row r="11814">
      <c r="N11814" s="5"/>
    </row>
    <row r="11815">
      <c r="N11815" s="5"/>
    </row>
    <row r="11816">
      <c r="N11816" s="5"/>
    </row>
    <row r="11817">
      <c r="N11817" s="5"/>
    </row>
    <row r="11818">
      <c r="N11818" s="5"/>
    </row>
    <row r="11819">
      <c r="N11819" s="5"/>
    </row>
    <row r="11820">
      <c r="N11820" s="5"/>
    </row>
    <row r="11821">
      <c r="N11821" s="5"/>
    </row>
    <row r="11822">
      <c r="N11822" s="5"/>
    </row>
    <row r="11823">
      <c r="N11823" s="5"/>
    </row>
    <row r="11824">
      <c r="N11824" s="5"/>
    </row>
    <row r="11825">
      <c r="N11825" s="5"/>
    </row>
    <row r="11826">
      <c r="N11826" s="5"/>
    </row>
    <row r="11827">
      <c r="N11827" s="5"/>
    </row>
    <row r="11828">
      <c r="N11828" s="5"/>
    </row>
    <row r="11829">
      <c r="N11829" s="5"/>
    </row>
    <row r="11830">
      <c r="N11830" s="5"/>
    </row>
    <row r="11831">
      <c r="N11831" s="5"/>
    </row>
    <row r="11832">
      <c r="N11832" s="5"/>
    </row>
    <row r="11833">
      <c r="N11833" s="5"/>
    </row>
    <row r="11834">
      <c r="N11834" s="5"/>
    </row>
    <row r="11835">
      <c r="N11835" s="5"/>
    </row>
    <row r="11836">
      <c r="N11836" s="5"/>
    </row>
    <row r="11837">
      <c r="N11837" s="5"/>
    </row>
    <row r="11838">
      <c r="N11838" s="5"/>
    </row>
    <row r="11839">
      <c r="N11839" s="5"/>
    </row>
    <row r="11840">
      <c r="N11840" s="5"/>
    </row>
    <row r="11841">
      <c r="N11841" s="5"/>
    </row>
    <row r="11842">
      <c r="N11842" s="5"/>
    </row>
    <row r="11843">
      <c r="N11843" s="5"/>
    </row>
    <row r="11844">
      <c r="N11844" s="5"/>
    </row>
    <row r="11845">
      <c r="N11845" s="5"/>
    </row>
    <row r="11846">
      <c r="N11846" s="5"/>
    </row>
    <row r="11847">
      <c r="N11847" s="5"/>
    </row>
    <row r="11848">
      <c r="N11848" s="5"/>
    </row>
    <row r="11849">
      <c r="N11849" s="5"/>
    </row>
    <row r="11850">
      <c r="N11850" s="5"/>
    </row>
    <row r="11851">
      <c r="N11851" s="5"/>
    </row>
    <row r="11852">
      <c r="N11852" s="5"/>
    </row>
    <row r="11853">
      <c r="N11853" s="5"/>
    </row>
    <row r="11854">
      <c r="N11854" s="5"/>
    </row>
    <row r="11855">
      <c r="N11855" s="5"/>
    </row>
    <row r="11856">
      <c r="N11856" s="5"/>
    </row>
    <row r="11857">
      <c r="N11857" s="5"/>
    </row>
    <row r="11858">
      <c r="N11858" s="5"/>
    </row>
    <row r="11859">
      <c r="N11859" s="5"/>
    </row>
    <row r="11860">
      <c r="N11860" s="5"/>
    </row>
    <row r="11861">
      <c r="N11861" s="5"/>
    </row>
    <row r="11862">
      <c r="N11862" s="5"/>
    </row>
    <row r="11863">
      <c r="N11863" s="5"/>
    </row>
    <row r="11864">
      <c r="N11864" s="5"/>
    </row>
    <row r="11865">
      <c r="N11865" s="5"/>
    </row>
    <row r="11866">
      <c r="N11866" s="5"/>
    </row>
    <row r="11867">
      <c r="N11867" s="5"/>
    </row>
    <row r="11868">
      <c r="N11868" s="5"/>
    </row>
    <row r="11869">
      <c r="N11869" s="5"/>
    </row>
    <row r="11870">
      <c r="N11870" s="5"/>
    </row>
    <row r="11871">
      <c r="N11871" s="5"/>
    </row>
    <row r="11872">
      <c r="N11872" s="5"/>
    </row>
    <row r="11873">
      <c r="N11873" s="5"/>
    </row>
    <row r="11874">
      <c r="N11874" s="5"/>
    </row>
    <row r="11875">
      <c r="N11875" s="5"/>
    </row>
    <row r="11876">
      <c r="N11876" s="5"/>
    </row>
    <row r="11877">
      <c r="N11877" s="5"/>
    </row>
    <row r="11878">
      <c r="N11878" s="5"/>
    </row>
    <row r="11879">
      <c r="N11879" s="5"/>
    </row>
    <row r="11880">
      <c r="N11880" s="5"/>
    </row>
    <row r="11881">
      <c r="N11881" s="5"/>
    </row>
    <row r="11882">
      <c r="N11882" s="5"/>
    </row>
    <row r="11883">
      <c r="N11883" s="5"/>
    </row>
    <row r="11884">
      <c r="N11884" s="5"/>
    </row>
    <row r="11885">
      <c r="N11885" s="5"/>
    </row>
    <row r="11886">
      <c r="N11886" s="5"/>
    </row>
    <row r="11887">
      <c r="N11887" s="5"/>
    </row>
    <row r="11888">
      <c r="N11888" s="5"/>
    </row>
    <row r="11889">
      <c r="N11889" s="5"/>
    </row>
    <row r="11890">
      <c r="N11890" s="5"/>
    </row>
    <row r="11891">
      <c r="N11891" s="5"/>
    </row>
    <row r="11892">
      <c r="N11892" s="5"/>
    </row>
    <row r="11893">
      <c r="N11893" s="5"/>
    </row>
    <row r="11894">
      <c r="N11894" s="5"/>
    </row>
    <row r="11895">
      <c r="N11895" s="5"/>
    </row>
    <row r="11896">
      <c r="N11896" s="5"/>
    </row>
    <row r="11897">
      <c r="N11897" s="5"/>
    </row>
    <row r="11898">
      <c r="N11898" s="5"/>
    </row>
    <row r="11899">
      <c r="N11899" s="5"/>
    </row>
    <row r="11900">
      <c r="N11900" s="5"/>
    </row>
    <row r="11901">
      <c r="N11901" s="5"/>
    </row>
    <row r="11902">
      <c r="N11902" s="5"/>
    </row>
    <row r="11903">
      <c r="N11903" s="5"/>
    </row>
    <row r="11904">
      <c r="N11904" s="5"/>
    </row>
    <row r="11905">
      <c r="N11905" s="5"/>
    </row>
    <row r="11906">
      <c r="N11906" s="5"/>
    </row>
    <row r="11907">
      <c r="N11907" s="5"/>
    </row>
    <row r="11908">
      <c r="N11908" s="5"/>
    </row>
    <row r="11909">
      <c r="N11909" s="5"/>
    </row>
    <row r="11910">
      <c r="N11910" s="5"/>
    </row>
    <row r="11911">
      <c r="N11911" s="5"/>
    </row>
    <row r="11912">
      <c r="N11912" s="5"/>
    </row>
    <row r="11913">
      <c r="N11913" s="5"/>
    </row>
    <row r="11914">
      <c r="N11914" s="5"/>
    </row>
    <row r="11915">
      <c r="N11915" s="5"/>
    </row>
    <row r="11916">
      <c r="N11916" s="5"/>
    </row>
    <row r="11917">
      <c r="N11917" s="5"/>
    </row>
    <row r="11918">
      <c r="N11918" s="5"/>
    </row>
    <row r="11919">
      <c r="N11919" s="5"/>
    </row>
    <row r="11920">
      <c r="N11920" s="5"/>
    </row>
    <row r="11921">
      <c r="N11921" s="5"/>
    </row>
    <row r="11922">
      <c r="N11922" s="5"/>
    </row>
    <row r="11923">
      <c r="N11923" s="5"/>
    </row>
    <row r="11924">
      <c r="N11924" s="5"/>
    </row>
    <row r="11925">
      <c r="N11925" s="5"/>
    </row>
    <row r="11926">
      <c r="N11926" s="5"/>
    </row>
    <row r="11927">
      <c r="N11927" s="5"/>
    </row>
    <row r="11928">
      <c r="N11928" s="5"/>
    </row>
    <row r="11929">
      <c r="N11929" s="5"/>
    </row>
    <row r="11930">
      <c r="N11930" s="5"/>
    </row>
    <row r="11931">
      <c r="N11931" s="5"/>
    </row>
    <row r="11932">
      <c r="N11932" s="5"/>
    </row>
    <row r="11933">
      <c r="N11933" s="5"/>
    </row>
    <row r="11934">
      <c r="N11934" s="5"/>
    </row>
    <row r="11935">
      <c r="N11935" s="5"/>
    </row>
    <row r="11936">
      <c r="N11936" s="5"/>
    </row>
    <row r="11937">
      <c r="N11937" s="5"/>
    </row>
    <row r="11938">
      <c r="N11938" s="5"/>
    </row>
    <row r="11939">
      <c r="N11939" s="5"/>
    </row>
    <row r="11940">
      <c r="N11940" s="5"/>
    </row>
    <row r="11941">
      <c r="N11941" s="5"/>
    </row>
    <row r="11942">
      <c r="N11942" s="5"/>
    </row>
    <row r="11943">
      <c r="N11943" s="5"/>
    </row>
    <row r="11944">
      <c r="N11944" s="5"/>
    </row>
    <row r="11945">
      <c r="N11945" s="5"/>
    </row>
    <row r="11946">
      <c r="N11946" s="5"/>
    </row>
    <row r="11947">
      <c r="N11947" s="5"/>
    </row>
    <row r="11948">
      <c r="N11948" s="5"/>
    </row>
    <row r="11949">
      <c r="N11949" s="5"/>
    </row>
    <row r="11950">
      <c r="N11950" s="5"/>
    </row>
    <row r="11951">
      <c r="N11951" s="5"/>
    </row>
    <row r="11952">
      <c r="N11952" s="5"/>
    </row>
    <row r="11953">
      <c r="N11953" s="5"/>
    </row>
    <row r="11954">
      <c r="N11954" s="5"/>
    </row>
    <row r="11955">
      <c r="N11955" s="5"/>
    </row>
    <row r="11956">
      <c r="N11956" s="5"/>
    </row>
    <row r="11957">
      <c r="N11957" s="5"/>
    </row>
    <row r="11958">
      <c r="N11958" s="5"/>
    </row>
    <row r="11959">
      <c r="N11959" s="5"/>
    </row>
    <row r="11960">
      <c r="N11960" s="5"/>
    </row>
    <row r="11961">
      <c r="N11961" s="5"/>
    </row>
    <row r="11962">
      <c r="N11962" s="5"/>
    </row>
    <row r="11963">
      <c r="N11963" s="5"/>
    </row>
    <row r="11964">
      <c r="N11964" s="5"/>
    </row>
    <row r="11965">
      <c r="N11965" s="5"/>
    </row>
    <row r="11966">
      <c r="N11966" s="5"/>
    </row>
    <row r="11967">
      <c r="N11967" s="5"/>
    </row>
    <row r="11968">
      <c r="N11968" s="5"/>
    </row>
    <row r="11969">
      <c r="N11969" s="5"/>
    </row>
    <row r="11970">
      <c r="N11970" s="5"/>
    </row>
    <row r="11971">
      <c r="N11971" s="5"/>
    </row>
    <row r="11972">
      <c r="N11972" s="5"/>
    </row>
    <row r="11973">
      <c r="N11973" s="5"/>
    </row>
    <row r="11974">
      <c r="N11974" s="5"/>
    </row>
    <row r="11975">
      <c r="N11975" s="5"/>
    </row>
    <row r="11976">
      <c r="N11976" s="5"/>
    </row>
    <row r="11977">
      <c r="N11977" s="5"/>
    </row>
    <row r="11978">
      <c r="N11978" s="5"/>
    </row>
    <row r="11979">
      <c r="N11979" s="5"/>
    </row>
    <row r="11980">
      <c r="N11980" s="5"/>
    </row>
    <row r="11981">
      <c r="N11981" s="5"/>
    </row>
    <row r="11982">
      <c r="N11982" s="5"/>
    </row>
    <row r="11983">
      <c r="N11983" s="5"/>
    </row>
    <row r="11984">
      <c r="N11984" s="5"/>
    </row>
    <row r="11985">
      <c r="N11985" s="5"/>
    </row>
    <row r="11986">
      <c r="N11986" s="5"/>
    </row>
    <row r="11987">
      <c r="N11987" s="5"/>
    </row>
    <row r="11988">
      <c r="N11988" s="5"/>
    </row>
    <row r="11989">
      <c r="N11989" s="5"/>
    </row>
    <row r="11990">
      <c r="N11990" s="5"/>
    </row>
    <row r="11991">
      <c r="N11991" s="5"/>
    </row>
    <row r="11992">
      <c r="N11992" s="5"/>
    </row>
    <row r="11993">
      <c r="N11993" s="5"/>
    </row>
    <row r="11994">
      <c r="N11994" s="5"/>
    </row>
    <row r="11995">
      <c r="N11995" s="5"/>
    </row>
    <row r="11996">
      <c r="N11996" s="5"/>
    </row>
    <row r="11997">
      <c r="N11997" s="5"/>
    </row>
    <row r="11998">
      <c r="N11998" s="5"/>
    </row>
    <row r="11999">
      <c r="N11999" s="5"/>
    </row>
    <row r="12000">
      <c r="N12000" s="5"/>
    </row>
    <row r="12001">
      <c r="N12001" s="5"/>
    </row>
    <row r="12002">
      <c r="N12002" s="5"/>
    </row>
    <row r="12003">
      <c r="N12003" s="5"/>
    </row>
    <row r="12004">
      <c r="N12004" s="5"/>
    </row>
    <row r="12005">
      <c r="N12005" s="5"/>
    </row>
    <row r="12006">
      <c r="N12006" s="5"/>
    </row>
    <row r="12007">
      <c r="N12007" s="5"/>
    </row>
    <row r="12008">
      <c r="N12008" s="5"/>
    </row>
    <row r="12009">
      <c r="N12009" s="5"/>
    </row>
    <row r="12010">
      <c r="N12010" s="5"/>
    </row>
    <row r="12011">
      <c r="N12011" s="5"/>
    </row>
    <row r="12012">
      <c r="N12012" s="5"/>
    </row>
    <row r="12013">
      <c r="N12013" s="5"/>
    </row>
    <row r="12014">
      <c r="N12014" s="5"/>
    </row>
    <row r="12015">
      <c r="N12015" s="5"/>
    </row>
    <row r="12016">
      <c r="N12016" s="5"/>
    </row>
    <row r="12017">
      <c r="N12017" s="5"/>
    </row>
    <row r="12018">
      <c r="N12018" s="5"/>
    </row>
    <row r="12019">
      <c r="N12019" s="5"/>
    </row>
    <row r="12020">
      <c r="N12020" s="5"/>
    </row>
    <row r="12021">
      <c r="N12021" s="5"/>
    </row>
    <row r="12022">
      <c r="N12022" s="5"/>
    </row>
    <row r="12023">
      <c r="N12023" s="5"/>
    </row>
    <row r="12024">
      <c r="N12024" s="5"/>
    </row>
    <row r="12025">
      <c r="N12025" s="5"/>
    </row>
    <row r="12026">
      <c r="N12026" s="5"/>
    </row>
    <row r="12027">
      <c r="N12027" s="5"/>
    </row>
    <row r="12028">
      <c r="N12028" s="5"/>
    </row>
    <row r="12029">
      <c r="N12029" s="5"/>
    </row>
    <row r="12030">
      <c r="N12030" s="5"/>
    </row>
    <row r="12031">
      <c r="N12031" s="5"/>
    </row>
    <row r="12032">
      <c r="N12032" s="5"/>
    </row>
    <row r="12033">
      <c r="N12033" s="5"/>
    </row>
    <row r="12034">
      <c r="N12034" s="5"/>
    </row>
    <row r="12035">
      <c r="N12035" s="5"/>
    </row>
    <row r="12036">
      <c r="N12036" s="5"/>
    </row>
    <row r="12037">
      <c r="N12037" s="5"/>
    </row>
    <row r="12038">
      <c r="N12038" s="5"/>
    </row>
    <row r="12039">
      <c r="N12039" s="5"/>
    </row>
    <row r="12040">
      <c r="N12040" s="5"/>
    </row>
    <row r="12041">
      <c r="N12041" s="5"/>
    </row>
    <row r="12042">
      <c r="N12042" s="5"/>
    </row>
    <row r="12043">
      <c r="N12043" s="5"/>
    </row>
    <row r="12044">
      <c r="N12044" s="5"/>
    </row>
    <row r="12045">
      <c r="N12045" s="5"/>
    </row>
    <row r="12046">
      <c r="N12046" s="5"/>
    </row>
    <row r="12047">
      <c r="N12047" s="5"/>
    </row>
    <row r="12048">
      <c r="N12048" s="5"/>
    </row>
    <row r="12049">
      <c r="N12049" s="5"/>
    </row>
    <row r="12050">
      <c r="N12050" s="5"/>
    </row>
    <row r="12051">
      <c r="N12051" s="5"/>
    </row>
    <row r="12052">
      <c r="N12052" s="5"/>
    </row>
    <row r="12053">
      <c r="N12053" s="5"/>
    </row>
    <row r="12054">
      <c r="N12054" s="5"/>
    </row>
    <row r="12055">
      <c r="N12055" s="5"/>
    </row>
    <row r="12056">
      <c r="N12056" s="5"/>
    </row>
    <row r="12057">
      <c r="N12057" s="5"/>
    </row>
    <row r="12058">
      <c r="N12058" s="5"/>
    </row>
    <row r="12059">
      <c r="N12059" s="5"/>
    </row>
    <row r="12060">
      <c r="N12060" s="5"/>
    </row>
    <row r="12061">
      <c r="N12061" s="5"/>
    </row>
    <row r="12062">
      <c r="N12062" s="5"/>
    </row>
    <row r="12063">
      <c r="N12063" s="5"/>
    </row>
    <row r="12064">
      <c r="N12064" s="5"/>
    </row>
    <row r="12065">
      <c r="N12065" s="5"/>
    </row>
    <row r="12066">
      <c r="N12066" s="5"/>
    </row>
    <row r="12067">
      <c r="N12067" s="5"/>
    </row>
    <row r="12068">
      <c r="N12068" s="5"/>
    </row>
    <row r="12069">
      <c r="N12069" s="5"/>
    </row>
    <row r="12070">
      <c r="N12070" s="5"/>
    </row>
    <row r="12071">
      <c r="N12071" s="5"/>
    </row>
    <row r="12072">
      <c r="N12072" s="5"/>
    </row>
    <row r="12073">
      <c r="N12073" s="5"/>
    </row>
    <row r="12074">
      <c r="N12074" s="5"/>
    </row>
    <row r="12075">
      <c r="N12075" s="5"/>
    </row>
    <row r="12076">
      <c r="N12076" s="5"/>
    </row>
    <row r="12077">
      <c r="N12077" s="5"/>
    </row>
    <row r="12078">
      <c r="N12078" s="5"/>
    </row>
    <row r="12079">
      <c r="N12079" s="5"/>
    </row>
    <row r="12080">
      <c r="N12080" s="5"/>
    </row>
    <row r="12081">
      <c r="N12081" s="5"/>
    </row>
    <row r="12082">
      <c r="N12082" s="5"/>
    </row>
    <row r="12083">
      <c r="N12083" s="5"/>
    </row>
    <row r="12084">
      <c r="N12084" s="5"/>
    </row>
    <row r="12085">
      <c r="N12085" s="5"/>
    </row>
    <row r="12086">
      <c r="N12086" s="5"/>
    </row>
    <row r="12087">
      <c r="N12087" s="5"/>
    </row>
    <row r="12088">
      <c r="N12088" s="5"/>
    </row>
    <row r="12089">
      <c r="N12089" s="5"/>
    </row>
    <row r="12090">
      <c r="N12090" s="5"/>
    </row>
    <row r="12091">
      <c r="N12091" s="5"/>
    </row>
    <row r="12092">
      <c r="N12092" s="5"/>
    </row>
    <row r="12093">
      <c r="N12093" s="5"/>
    </row>
    <row r="12094">
      <c r="N12094" s="5"/>
    </row>
    <row r="12095">
      <c r="N12095" s="5"/>
    </row>
    <row r="12096">
      <c r="N12096" s="5"/>
    </row>
    <row r="12097">
      <c r="N12097" s="5"/>
    </row>
    <row r="12098">
      <c r="N12098" s="5"/>
    </row>
    <row r="12099">
      <c r="N12099" s="5"/>
    </row>
    <row r="12100">
      <c r="N12100" s="5"/>
    </row>
    <row r="12101">
      <c r="N12101" s="5"/>
    </row>
    <row r="12102">
      <c r="N12102" s="5"/>
    </row>
    <row r="12103">
      <c r="N12103" s="5"/>
    </row>
    <row r="12104">
      <c r="N12104" s="5"/>
    </row>
    <row r="12105">
      <c r="N12105" s="5"/>
    </row>
    <row r="12106">
      <c r="N12106" s="5"/>
    </row>
    <row r="12107">
      <c r="N12107" s="5"/>
    </row>
    <row r="12108">
      <c r="N12108" s="5"/>
    </row>
    <row r="12109">
      <c r="N12109" s="5"/>
    </row>
    <row r="12110">
      <c r="N12110" s="5"/>
    </row>
    <row r="12111">
      <c r="N12111" s="5"/>
    </row>
    <row r="12112">
      <c r="N12112" s="5"/>
    </row>
    <row r="12113">
      <c r="N12113" s="5"/>
    </row>
    <row r="12114">
      <c r="N12114" s="5"/>
    </row>
    <row r="12115">
      <c r="N12115" s="5"/>
    </row>
    <row r="12116">
      <c r="N12116" s="5"/>
    </row>
    <row r="12117">
      <c r="N12117" s="5"/>
    </row>
    <row r="12118">
      <c r="N12118" s="5"/>
    </row>
    <row r="12119">
      <c r="N12119" s="5"/>
    </row>
    <row r="12120">
      <c r="N12120" s="5"/>
    </row>
    <row r="12121">
      <c r="N12121" s="5"/>
    </row>
    <row r="12122">
      <c r="N12122" s="5"/>
    </row>
    <row r="12123">
      <c r="N12123" s="5"/>
    </row>
    <row r="12124">
      <c r="N12124" s="5"/>
    </row>
    <row r="12125">
      <c r="N12125" s="5"/>
    </row>
    <row r="12126">
      <c r="N12126" s="5"/>
    </row>
    <row r="12127">
      <c r="N12127" s="5"/>
    </row>
    <row r="12128">
      <c r="N12128" s="5"/>
    </row>
    <row r="12129">
      <c r="N12129" s="5"/>
    </row>
    <row r="12130">
      <c r="N12130" s="5"/>
    </row>
    <row r="12131">
      <c r="N12131" s="5"/>
    </row>
    <row r="12132">
      <c r="N12132" s="5"/>
    </row>
    <row r="12133">
      <c r="N12133" s="5"/>
    </row>
    <row r="12134">
      <c r="N12134" s="5"/>
    </row>
    <row r="12135">
      <c r="N12135" s="5"/>
    </row>
    <row r="12136">
      <c r="N12136" s="5"/>
    </row>
    <row r="12137">
      <c r="N12137" s="5"/>
    </row>
    <row r="12138">
      <c r="N12138" s="5"/>
    </row>
    <row r="12139">
      <c r="N12139" s="5"/>
    </row>
    <row r="12140">
      <c r="N12140" s="5"/>
    </row>
    <row r="12141">
      <c r="N12141" s="5"/>
    </row>
    <row r="12142">
      <c r="N12142" s="5"/>
    </row>
    <row r="12143">
      <c r="N12143" s="5"/>
    </row>
    <row r="12144">
      <c r="N12144" s="5"/>
    </row>
    <row r="12145">
      <c r="N12145" s="5"/>
    </row>
    <row r="12146">
      <c r="N12146" s="5"/>
    </row>
    <row r="12147">
      <c r="N12147" s="5"/>
    </row>
    <row r="12148">
      <c r="N12148" s="5"/>
    </row>
    <row r="12149">
      <c r="N12149" s="5"/>
    </row>
    <row r="12150">
      <c r="N12150" s="5"/>
    </row>
    <row r="12151">
      <c r="N12151" s="5"/>
    </row>
    <row r="12152">
      <c r="N12152" s="5"/>
    </row>
    <row r="12153">
      <c r="N12153" s="5"/>
    </row>
    <row r="12154">
      <c r="N12154" s="5"/>
    </row>
    <row r="12155">
      <c r="N12155" s="5"/>
    </row>
    <row r="12156">
      <c r="N12156" s="5"/>
    </row>
    <row r="12157">
      <c r="N12157" s="5"/>
    </row>
    <row r="12158">
      <c r="N12158" s="5"/>
    </row>
    <row r="12159">
      <c r="N12159" s="5"/>
    </row>
    <row r="12160">
      <c r="N12160" s="5"/>
    </row>
    <row r="12161">
      <c r="N12161" s="5"/>
    </row>
    <row r="12162">
      <c r="N12162" s="5"/>
    </row>
    <row r="12163">
      <c r="N12163" s="5"/>
    </row>
    <row r="12164">
      <c r="N12164" s="5"/>
    </row>
    <row r="12165">
      <c r="N12165" s="5"/>
    </row>
    <row r="12166">
      <c r="N12166" s="5"/>
    </row>
    <row r="12167">
      <c r="N12167" s="5"/>
    </row>
    <row r="12168">
      <c r="N12168" s="5"/>
    </row>
    <row r="12169">
      <c r="N12169" s="5"/>
    </row>
    <row r="12170">
      <c r="N12170" s="5"/>
    </row>
    <row r="12171">
      <c r="N12171" s="5"/>
    </row>
    <row r="12172">
      <c r="N12172" s="5"/>
    </row>
    <row r="12173">
      <c r="N12173" s="5"/>
    </row>
    <row r="12174">
      <c r="N12174" s="5"/>
    </row>
    <row r="12175">
      <c r="N12175" s="5"/>
    </row>
    <row r="12176">
      <c r="N12176" s="5"/>
    </row>
    <row r="12177">
      <c r="N12177" s="5"/>
    </row>
    <row r="12178">
      <c r="N12178" s="5"/>
    </row>
    <row r="12179">
      <c r="N12179" s="5"/>
    </row>
    <row r="12180">
      <c r="N12180" s="5"/>
    </row>
    <row r="12181">
      <c r="N12181" s="5"/>
    </row>
    <row r="12182">
      <c r="N12182" s="5"/>
    </row>
    <row r="12183">
      <c r="N12183" s="5"/>
    </row>
    <row r="12184">
      <c r="N12184" s="5"/>
    </row>
    <row r="12185">
      <c r="N12185" s="5"/>
    </row>
    <row r="12186">
      <c r="N12186" s="5"/>
    </row>
    <row r="12187">
      <c r="N12187" s="5"/>
    </row>
    <row r="12188">
      <c r="N12188" s="5"/>
    </row>
    <row r="12189">
      <c r="N12189" s="5"/>
    </row>
    <row r="12190">
      <c r="N12190" s="5"/>
    </row>
    <row r="12191">
      <c r="N12191" s="5"/>
    </row>
    <row r="12192">
      <c r="N12192" s="5"/>
    </row>
    <row r="12193">
      <c r="N12193" s="5"/>
    </row>
    <row r="12194">
      <c r="N12194" s="5"/>
    </row>
    <row r="12195">
      <c r="N12195" s="5"/>
    </row>
    <row r="12196">
      <c r="N12196" s="5"/>
    </row>
    <row r="12197">
      <c r="N12197" s="5"/>
    </row>
    <row r="12198">
      <c r="N12198" s="5"/>
    </row>
    <row r="12199">
      <c r="N12199" s="5"/>
    </row>
    <row r="12200">
      <c r="N12200" s="5"/>
    </row>
    <row r="12201">
      <c r="N12201" s="5"/>
    </row>
    <row r="12202">
      <c r="N12202" s="5"/>
    </row>
    <row r="12203">
      <c r="N12203" s="5"/>
    </row>
    <row r="12204">
      <c r="N12204" s="5"/>
    </row>
    <row r="12205">
      <c r="N12205" s="5"/>
    </row>
    <row r="12206">
      <c r="N12206" s="5"/>
    </row>
    <row r="12207">
      <c r="N12207" s="5"/>
    </row>
    <row r="12208">
      <c r="N12208" s="5"/>
    </row>
    <row r="12209">
      <c r="N12209" s="5"/>
    </row>
    <row r="12210">
      <c r="N12210" s="5"/>
    </row>
    <row r="12211">
      <c r="N12211" s="5"/>
    </row>
    <row r="12212">
      <c r="N12212" s="5"/>
    </row>
    <row r="12213">
      <c r="N12213" s="5"/>
    </row>
    <row r="12214">
      <c r="N12214" s="5"/>
    </row>
    <row r="12215">
      <c r="N12215" s="5"/>
    </row>
    <row r="12216">
      <c r="N12216" s="5"/>
    </row>
    <row r="12217">
      <c r="N12217" s="5"/>
    </row>
    <row r="12218">
      <c r="N12218" s="5"/>
    </row>
    <row r="12219">
      <c r="N12219" s="5"/>
    </row>
    <row r="12220">
      <c r="N12220" s="5"/>
    </row>
    <row r="12221">
      <c r="N12221" s="5"/>
    </row>
    <row r="12222">
      <c r="N12222" s="5"/>
    </row>
    <row r="12223">
      <c r="N12223" s="5"/>
    </row>
    <row r="12224">
      <c r="N12224" s="5"/>
    </row>
    <row r="12225">
      <c r="N12225" s="5"/>
    </row>
    <row r="12226">
      <c r="N12226" s="5"/>
    </row>
    <row r="12227">
      <c r="N12227" s="5"/>
    </row>
    <row r="12228">
      <c r="N12228" s="5"/>
    </row>
    <row r="12229">
      <c r="N12229" s="5"/>
    </row>
    <row r="12230">
      <c r="N12230" s="5"/>
    </row>
    <row r="12231">
      <c r="N12231" s="5"/>
    </row>
    <row r="12232">
      <c r="N12232" s="5"/>
    </row>
    <row r="12233">
      <c r="N12233" s="5"/>
    </row>
    <row r="12234">
      <c r="N12234" s="5"/>
    </row>
    <row r="12235">
      <c r="N12235" s="5"/>
    </row>
    <row r="12236">
      <c r="N12236" s="5"/>
    </row>
    <row r="12237">
      <c r="N12237" s="5"/>
    </row>
    <row r="12238">
      <c r="N12238" s="5"/>
    </row>
    <row r="12239">
      <c r="N12239" s="5"/>
    </row>
    <row r="12240">
      <c r="N12240" s="5"/>
    </row>
    <row r="12241">
      <c r="N12241" s="5"/>
    </row>
    <row r="12242">
      <c r="N12242" s="5"/>
    </row>
    <row r="12243">
      <c r="N12243" s="5"/>
    </row>
    <row r="12244">
      <c r="N12244" s="5"/>
    </row>
    <row r="12245">
      <c r="N12245" s="5"/>
    </row>
    <row r="12246">
      <c r="N12246" s="5"/>
    </row>
    <row r="12247">
      <c r="N12247" s="5"/>
    </row>
    <row r="12248">
      <c r="N12248" s="5"/>
    </row>
    <row r="12249">
      <c r="N12249" s="5"/>
    </row>
    <row r="12250">
      <c r="N12250" s="5"/>
    </row>
    <row r="12251">
      <c r="N12251" s="5"/>
    </row>
    <row r="12252">
      <c r="N12252" s="5"/>
    </row>
    <row r="12253">
      <c r="N12253" s="5"/>
    </row>
    <row r="12254">
      <c r="N12254" s="5"/>
    </row>
    <row r="12255">
      <c r="N12255" s="5"/>
    </row>
    <row r="12256">
      <c r="N12256" s="5"/>
    </row>
    <row r="12257">
      <c r="N12257" s="5"/>
    </row>
    <row r="12258">
      <c r="N12258" s="5"/>
    </row>
    <row r="12259">
      <c r="N12259" s="5"/>
    </row>
    <row r="12260">
      <c r="N12260" s="5"/>
    </row>
    <row r="12261">
      <c r="N12261" s="5"/>
    </row>
    <row r="12262">
      <c r="N12262" s="5"/>
    </row>
    <row r="12263">
      <c r="N12263" s="5"/>
    </row>
    <row r="12264">
      <c r="N12264" s="5"/>
    </row>
    <row r="12265">
      <c r="N12265" s="5"/>
    </row>
    <row r="12266">
      <c r="N12266" s="5"/>
    </row>
    <row r="12267">
      <c r="N12267" s="5"/>
    </row>
    <row r="12268">
      <c r="N12268" s="5"/>
    </row>
    <row r="12269">
      <c r="N12269" s="5"/>
    </row>
    <row r="12270">
      <c r="N12270" s="5"/>
    </row>
    <row r="12271">
      <c r="N12271" s="5"/>
    </row>
    <row r="12272">
      <c r="N12272" s="5"/>
    </row>
    <row r="12273">
      <c r="N12273" s="5"/>
    </row>
    <row r="12274">
      <c r="N12274" s="5"/>
    </row>
    <row r="12275">
      <c r="N12275" s="5"/>
    </row>
    <row r="12276">
      <c r="N12276" s="5"/>
    </row>
    <row r="12277">
      <c r="N12277" s="5"/>
    </row>
    <row r="12278">
      <c r="N12278" s="5"/>
    </row>
    <row r="12279">
      <c r="N12279" s="5"/>
    </row>
    <row r="12280">
      <c r="N12280" s="5"/>
    </row>
    <row r="12281">
      <c r="N12281" s="5"/>
    </row>
    <row r="12282">
      <c r="N12282" s="5"/>
    </row>
    <row r="12283">
      <c r="N12283" s="5"/>
    </row>
    <row r="12284">
      <c r="N12284" s="5"/>
    </row>
    <row r="12285">
      <c r="N12285" s="5"/>
    </row>
    <row r="12286">
      <c r="N12286" s="5"/>
    </row>
    <row r="12287">
      <c r="N12287" s="5"/>
    </row>
    <row r="12288">
      <c r="N12288" s="5"/>
    </row>
    <row r="12289">
      <c r="N12289" s="5"/>
    </row>
    <row r="12290">
      <c r="N12290" s="5"/>
    </row>
    <row r="12291">
      <c r="N12291" s="5"/>
    </row>
    <row r="12292">
      <c r="N12292" s="5"/>
    </row>
    <row r="12293">
      <c r="N12293" s="5"/>
    </row>
    <row r="12294">
      <c r="N12294" s="5"/>
    </row>
    <row r="12295">
      <c r="N12295" s="5"/>
    </row>
    <row r="12296">
      <c r="N12296" s="5"/>
    </row>
    <row r="12297">
      <c r="N12297" s="5"/>
    </row>
    <row r="12298">
      <c r="N12298" s="5"/>
    </row>
    <row r="12299">
      <c r="N12299" s="5"/>
    </row>
    <row r="12300">
      <c r="N12300" s="5"/>
    </row>
    <row r="12301">
      <c r="N12301" s="5"/>
    </row>
    <row r="12302">
      <c r="N12302" s="5"/>
    </row>
    <row r="12303">
      <c r="N12303" s="5"/>
    </row>
    <row r="12304">
      <c r="N12304" s="5"/>
    </row>
    <row r="12305">
      <c r="N12305" s="5"/>
    </row>
    <row r="12306">
      <c r="N12306" s="5"/>
    </row>
    <row r="12307">
      <c r="N12307" s="5"/>
    </row>
    <row r="12308">
      <c r="N12308" s="5"/>
    </row>
    <row r="12309">
      <c r="N12309" s="5"/>
    </row>
    <row r="12310">
      <c r="N12310" s="5"/>
    </row>
    <row r="12311">
      <c r="N12311" s="5"/>
    </row>
    <row r="12312">
      <c r="N12312" s="5"/>
    </row>
    <row r="12313">
      <c r="N12313" s="5"/>
    </row>
    <row r="12314">
      <c r="N12314" s="5"/>
    </row>
    <row r="12315">
      <c r="N12315" s="5"/>
    </row>
    <row r="12316">
      <c r="N12316" s="5"/>
    </row>
    <row r="12317">
      <c r="N12317" s="5"/>
    </row>
    <row r="12318">
      <c r="N12318" s="5"/>
    </row>
    <row r="12319">
      <c r="N12319" s="5"/>
    </row>
    <row r="12320">
      <c r="N12320" s="5"/>
    </row>
    <row r="12321">
      <c r="N12321" s="5"/>
    </row>
    <row r="12322">
      <c r="N12322" s="5"/>
    </row>
    <row r="12323">
      <c r="N12323" s="5"/>
    </row>
    <row r="12324">
      <c r="N12324" s="5"/>
    </row>
    <row r="12325">
      <c r="N12325" s="5"/>
    </row>
    <row r="12326">
      <c r="N12326" s="5"/>
    </row>
    <row r="12327">
      <c r="N12327" s="5"/>
    </row>
    <row r="12328">
      <c r="N12328" s="5"/>
    </row>
    <row r="12329">
      <c r="N12329" s="5"/>
    </row>
    <row r="12330">
      <c r="N12330" s="5"/>
    </row>
    <row r="12331">
      <c r="N12331" s="5"/>
    </row>
    <row r="12332">
      <c r="N12332" s="5"/>
    </row>
    <row r="12333">
      <c r="N12333" s="5"/>
    </row>
    <row r="12334">
      <c r="N12334" s="5"/>
    </row>
    <row r="12335">
      <c r="N12335" s="5"/>
    </row>
    <row r="12336">
      <c r="N12336" s="5"/>
    </row>
    <row r="12337">
      <c r="N12337" s="5"/>
    </row>
    <row r="12338">
      <c r="N12338" s="5"/>
    </row>
    <row r="12339">
      <c r="N12339" s="5"/>
    </row>
    <row r="12340">
      <c r="N12340" s="5"/>
    </row>
    <row r="12341">
      <c r="N12341" s="5"/>
    </row>
    <row r="12342">
      <c r="N12342" s="5"/>
    </row>
    <row r="12343">
      <c r="N12343" s="5"/>
    </row>
    <row r="12344">
      <c r="N12344" s="5"/>
    </row>
    <row r="12345">
      <c r="N12345" s="5"/>
    </row>
    <row r="12346">
      <c r="N12346" s="5"/>
    </row>
    <row r="12347">
      <c r="N12347" s="5"/>
    </row>
    <row r="12348">
      <c r="N12348" s="5"/>
    </row>
    <row r="12349">
      <c r="N12349" s="5"/>
    </row>
    <row r="12350">
      <c r="N12350" s="5"/>
    </row>
    <row r="12351">
      <c r="N12351" s="5"/>
    </row>
    <row r="12352">
      <c r="N12352" s="5"/>
    </row>
    <row r="12353">
      <c r="N12353" s="5"/>
    </row>
    <row r="12354">
      <c r="N12354" s="5"/>
    </row>
    <row r="12355">
      <c r="N12355" s="5"/>
    </row>
    <row r="12356">
      <c r="N12356" s="5"/>
    </row>
    <row r="12357">
      <c r="N12357" s="5"/>
    </row>
    <row r="12358">
      <c r="N12358" s="5"/>
    </row>
    <row r="12359">
      <c r="N12359" s="5"/>
    </row>
    <row r="12360">
      <c r="N12360" s="5"/>
    </row>
    <row r="12361">
      <c r="N12361" s="5"/>
    </row>
    <row r="12362">
      <c r="N12362" s="5"/>
    </row>
    <row r="12363">
      <c r="N12363" s="5"/>
    </row>
    <row r="12364">
      <c r="N12364" s="5"/>
    </row>
    <row r="12365">
      <c r="N12365" s="5"/>
    </row>
    <row r="12366">
      <c r="N12366" s="5"/>
    </row>
    <row r="12367">
      <c r="N12367" s="5"/>
    </row>
    <row r="12368">
      <c r="N12368" s="5"/>
    </row>
    <row r="12369">
      <c r="N12369" s="5"/>
    </row>
    <row r="12370">
      <c r="N12370" s="5"/>
    </row>
    <row r="12371">
      <c r="N12371" s="5"/>
    </row>
    <row r="12372">
      <c r="N12372" s="5"/>
    </row>
    <row r="12373">
      <c r="N12373" s="5"/>
    </row>
    <row r="12374">
      <c r="N12374" s="5"/>
    </row>
    <row r="12375">
      <c r="N12375" s="5"/>
    </row>
    <row r="12376">
      <c r="N12376" s="5"/>
    </row>
    <row r="12377">
      <c r="N12377" s="5"/>
    </row>
    <row r="12378">
      <c r="N12378" s="5"/>
    </row>
    <row r="12379">
      <c r="N12379" s="5"/>
    </row>
    <row r="12380">
      <c r="N12380" s="5"/>
    </row>
    <row r="12381">
      <c r="N12381" s="5"/>
    </row>
    <row r="12382">
      <c r="N12382" s="5"/>
    </row>
    <row r="12383">
      <c r="N12383" s="5"/>
    </row>
    <row r="12384">
      <c r="N12384" s="5"/>
    </row>
    <row r="12385">
      <c r="N12385" s="5"/>
    </row>
    <row r="12386">
      <c r="N12386" s="5"/>
    </row>
    <row r="12387">
      <c r="N12387" s="5"/>
    </row>
    <row r="12388">
      <c r="N12388" s="5"/>
    </row>
    <row r="12389">
      <c r="N12389" s="5"/>
    </row>
    <row r="12390">
      <c r="N12390" s="5"/>
    </row>
    <row r="12391">
      <c r="N12391" s="5"/>
    </row>
    <row r="12392">
      <c r="N12392" s="5"/>
    </row>
    <row r="12393">
      <c r="N12393" s="5"/>
    </row>
    <row r="12394">
      <c r="N12394" s="5"/>
    </row>
    <row r="12395">
      <c r="N12395" s="5"/>
    </row>
    <row r="12396">
      <c r="N12396" s="5"/>
    </row>
    <row r="12397">
      <c r="N12397" s="5"/>
    </row>
    <row r="12398">
      <c r="N12398" s="5"/>
    </row>
    <row r="12399">
      <c r="N12399" s="5"/>
    </row>
    <row r="12400">
      <c r="N12400" s="5"/>
    </row>
    <row r="12401">
      <c r="N12401" s="5"/>
    </row>
    <row r="12402">
      <c r="N12402" s="5"/>
    </row>
    <row r="12403">
      <c r="N12403" s="5"/>
    </row>
    <row r="12404">
      <c r="N12404" s="5"/>
    </row>
    <row r="12405">
      <c r="N12405" s="5"/>
    </row>
    <row r="12406">
      <c r="N12406" s="5"/>
    </row>
    <row r="12407">
      <c r="N12407" s="5"/>
    </row>
    <row r="12408">
      <c r="N12408" s="5"/>
    </row>
    <row r="12409">
      <c r="N12409" s="5"/>
    </row>
    <row r="12410">
      <c r="N12410" s="5"/>
    </row>
    <row r="12411">
      <c r="N12411" s="5"/>
    </row>
    <row r="12412">
      <c r="N12412" s="5"/>
    </row>
    <row r="12413">
      <c r="N12413" s="5"/>
    </row>
    <row r="12414">
      <c r="N12414" s="5"/>
    </row>
    <row r="12415">
      <c r="N12415" s="5"/>
    </row>
    <row r="12416">
      <c r="N12416" s="5"/>
    </row>
    <row r="12417">
      <c r="N12417" s="5"/>
    </row>
    <row r="12418">
      <c r="N12418" s="5"/>
    </row>
    <row r="12419">
      <c r="N12419" s="5"/>
    </row>
    <row r="12420">
      <c r="N12420" s="5"/>
    </row>
    <row r="12421">
      <c r="N12421" s="5"/>
    </row>
    <row r="12422">
      <c r="N12422" s="5"/>
    </row>
    <row r="12423">
      <c r="N12423" s="5"/>
    </row>
    <row r="12424">
      <c r="N12424" s="5"/>
    </row>
    <row r="12425">
      <c r="N12425" s="5"/>
    </row>
    <row r="12426">
      <c r="N12426" s="5"/>
    </row>
    <row r="12427">
      <c r="N12427" s="5"/>
    </row>
    <row r="12428">
      <c r="N12428" s="5"/>
    </row>
    <row r="12429">
      <c r="N12429" s="5"/>
    </row>
    <row r="12430">
      <c r="N12430" s="5"/>
    </row>
    <row r="12431">
      <c r="N12431" s="5"/>
    </row>
    <row r="12432">
      <c r="N12432" s="5"/>
    </row>
    <row r="12433">
      <c r="N12433" s="5"/>
    </row>
    <row r="12434">
      <c r="N12434" s="5"/>
    </row>
    <row r="12435">
      <c r="N12435" s="5"/>
    </row>
    <row r="12436">
      <c r="N12436" s="5"/>
    </row>
    <row r="12437">
      <c r="N12437" s="5"/>
    </row>
    <row r="12438">
      <c r="N12438" s="5"/>
    </row>
    <row r="12439">
      <c r="N12439" s="5"/>
    </row>
    <row r="12440">
      <c r="N12440" s="5"/>
    </row>
    <row r="12441">
      <c r="N12441" s="5"/>
    </row>
    <row r="12442">
      <c r="N12442" s="5"/>
    </row>
    <row r="12443">
      <c r="N12443" s="5"/>
    </row>
    <row r="12444">
      <c r="N12444" s="5"/>
    </row>
    <row r="12445">
      <c r="N12445" s="5"/>
    </row>
    <row r="12446">
      <c r="N12446" s="5"/>
    </row>
    <row r="12447">
      <c r="N12447" s="5"/>
    </row>
    <row r="12448">
      <c r="N12448" s="5"/>
    </row>
    <row r="12449">
      <c r="N12449" s="5"/>
    </row>
    <row r="12450">
      <c r="N12450" s="5"/>
    </row>
    <row r="12451">
      <c r="N12451" s="5"/>
    </row>
    <row r="12452">
      <c r="N12452" s="5"/>
    </row>
    <row r="12453">
      <c r="N12453" s="5"/>
    </row>
    <row r="12454">
      <c r="N12454" s="5"/>
    </row>
    <row r="12455">
      <c r="N12455" s="5"/>
    </row>
    <row r="12456">
      <c r="N12456" s="5"/>
    </row>
    <row r="12457">
      <c r="N12457" s="5"/>
    </row>
    <row r="12458">
      <c r="N12458" s="5"/>
    </row>
    <row r="12459">
      <c r="N12459" s="5"/>
    </row>
    <row r="12460">
      <c r="N12460" s="5"/>
    </row>
    <row r="12461">
      <c r="N12461" s="5"/>
    </row>
    <row r="12462">
      <c r="N12462" s="5"/>
    </row>
    <row r="12463">
      <c r="N12463" s="5"/>
    </row>
    <row r="12464">
      <c r="N12464" s="5"/>
    </row>
    <row r="12465">
      <c r="N12465" s="5"/>
    </row>
    <row r="12466">
      <c r="N12466" s="5"/>
    </row>
    <row r="12467">
      <c r="N12467" s="5"/>
    </row>
    <row r="12468">
      <c r="N12468" s="5"/>
    </row>
    <row r="12469">
      <c r="N12469" s="5"/>
    </row>
    <row r="12470">
      <c r="N12470" s="5"/>
    </row>
    <row r="12471">
      <c r="N12471" s="5"/>
    </row>
    <row r="12472">
      <c r="N12472" s="5"/>
    </row>
    <row r="12473">
      <c r="N12473" s="5"/>
    </row>
    <row r="12474">
      <c r="N12474" s="5"/>
    </row>
    <row r="12475">
      <c r="N12475" s="5"/>
    </row>
    <row r="12476">
      <c r="N12476" s="5"/>
    </row>
    <row r="12477">
      <c r="N12477" s="5"/>
    </row>
    <row r="12478">
      <c r="N12478" s="5"/>
    </row>
    <row r="12479">
      <c r="N12479" s="5"/>
    </row>
    <row r="12480">
      <c r="N12480" s="5"/>
    </row>
    <row r="12481">
      <c r="N12481" s="5"/>
    </row>
    <row r="12482">
      <c r="N12482" s="5"/>
    </row>
    <row r="12483">
      <c r="N12483" s="5"/>
    </row>
    <row r="12484">
      <c r="N12484" s="5"/>
    </row>
    <row r="12485">
      <c r="N12485" s="5"/>
    </row>
    <row r="12486">
      <c r="N12486" s="5"/>
    </row>
    <row r="12487">
      <c r="N12487" s="5"/>
    </row>
    <row r="12488">
      <c r="N12488" s="5"/>
    </row>
    <row r="12489">
      <c r="N12489" s="5"/>
    </row>
    <row r="12490">
      <c r="N12490" s="5"/>
    </row>
    <row r="12491">
      <c r="N12491" s="5"/>
    </row>
    <row r="12492">
      <c r="N12492" s="5"/>
    </row>
    <row r="12493">
      <c r="N12493" s="5"/>
    </row>
    <row r="12494">
      <c r="N12494" s="5"/>
    </row>
    <row r="12495">
      <c r="N12495" s="5"/>
    </row>
    <row r="12496">
      <c r="N12496" s="5"/>
    </row>
    <row r="12497">
      <c r="N12497" s="5"/>
    </row>
    <row r="12498">
      <c r="N12498" s="5"/>
    </row>
    <row r="12499">
      <c r="N12499" s="5"/>
    </row>
    <row r="12500">
      <c r="N12500" s="5"/>
    </row>
    <row r="12501">
      <c r="N12501" s="5"/>
    </row>
    <row r="12502">
      <c r="N12502" s="5"/>
    </row>
    <row r="12503">
      <c r="N12503" s="5"/>
    </row>
    <row r="12504">
      <c r="N12504" s="5"/>
    </row>
    <row r="12505">
      <c r="N12505" s="5"/>
    </row>
    <row r="12506">
      <c r="N12506" s="5"/>
    </row>
    <row r="12507">
      <c r="N12507" s="5"/>
    </row>
    <row r="12508">
      <c r="N12508" s="5"/>
    </row>
    <row r="12509">
      <c r="N12509" s="5"/>
    </row>
    <row r="12510">
      <c r="N12510" s="5"/>
    </row>
    <row r="12511">
      <c r="N12511" s="5"/>
    </row>
    <row r="12512">
      <c r="N12512" s="5"/>
    </row>
    <row r="12513">
      <c r="N12513" s="5"/>
    </row>
    <row r="12514">
      <c r="N12514" s="5"/>
    </row>
    <row r="12515">
      <c r="N12515" s="5"/>
    </row>
    <row r="12516">
      <c r="N12516" s="5"/>
    </row>
    <row r="12517">
      <c r="N12517" s="5"/>
    </row>
    <row r="12518">
      <c r="N12518" s="5"/>
    </row>
    <row r="12519">
      <c r="N12519" s="5"/>
    </row>
    <row r="12520">
      <c r="N12520" s="5"/>
    </row>
    <row r="12521">
      <c r="N12521" s="5"/>
    </row>
    <row r="12522">
      <c r="N12522" s="5"/>
    </row>
    <row r="12523">
      <c r="N12523" s="5"/>
    </row>
    <row r="12524">
      <c r="N12524" s="5"/>
    </row>
    <row r="12525">
      <c r="N12525" s="5"/>
    </row>
    <row r="12526">
      <c r="N12526" s="5"/>
    </row>
    <row r="12527">
      <c r="N12527" s="5"/>
    </row>
    <row r="12528">
      <c r="N12528" s="5"/>
    </row>
    <row r="12529">
      <c r="N12529" s="5"/>
    </row>
    <row r="12530">
      <c r="N12530" s="5"/>
    </row>
    <row r="12531">
      <c r="N12531" s="5"/>
    </row>
    <row r="12532">
      <c r="N12532" s="5"/>
    </row>
    <row r="12533">
      <c r="N12533" s="5"/>
    </row>
    <row r="12534">
      <c r="N12534" s="5"/>
    </row>
    <row r="12535">
      <c r="N12535" s="5"/>
    </row>
    <row r="12536">
      <c r="N12536" s="5"/>
    </row>
    <row r="12537">
      <c r="N12537" s="5"/>
    </row>
    <row r="12538">
      <c r="N12538" s="5"/>
    </row>
    <row r="12539">
      <c r="N12539" s="5"/>
    </row>
    <row r="12540">
      <c r="N12540" s="5"/>
    </row>
    <row r="12541">
      <c r="N12541" s="5"/>
    </row>
    <row r="12542">
      <c r="N12542" s="5"/>
    </row>
    <row r="12543">
      <c r="N12543" s="5"/>
    </row>
    <row r="12544">
      <c r="N12544" s="5"/>
    </row>
    <row r="12545">
      <c r="N12545" s="5"/>
    </row>
    <row r="12546">
      <c r="N12546" s="5"/>
    </row>
    <row r="12547">
      <c r="N12547" s="5"/>
    </row>
    <row r="12548">
      <c r="N12548" s="5"/>
    </row>
    <row r="12549">
      <c r="N12549" s="5"/>
    </row>
    <row r="12550">
      <c r="N12550" s="5"/>
    </row>
    <row r="12551">
      <c r="N12551" s="5"/>
    </row>
    <row r="12552">
      <c r="N12552" s="5"/>
    </row>
    <row r="12553">
      <c r="N12553" s="5"/>
    </row>
    <row r="12554">
      <c r="N12554" s="5"/>
    </row>
    <row r="12555">
      <c r="N12555" s="5"/>
    </row>
    <row r="12556">
      <c r="N12556" s="5"/>
    </row>
    <row r="12557">
      <c r="N12557" s="5"/>
    </row>
    <row r="12558">
      <c r="N12558" s="5"/>
    </row>
    <row r="12559">
      <c r="N12559" s="5"/>
    </row>
    <row r="12560">
      <c r="N12560" s="5"/>
    </row>
    <row r="12561">
      <c r="N12561" s="5"/>
    </row>
    <row r="12562">
      <c r="N12562" s="5"/>
    </row>
    <row r="12563">
      <c r="N12563" s="5"/>
    </row>
    <row r="12564">
      <c r="N12564" s="5"/>
    </row>
    <row r="12565">
      <c r="N12565" s="5"/>
    </row>
    <row r="12566">
      <c r="N12566" s="5"/>
    </row>
    <row r="12567">
      <c r="N12567" s="5"/>
    </row>
    <row r="12568">
      <c r="N12568" s="5"/>
    </row>
    <row r="12569">
      <c r="N12569" s="5"/>
    </row>
    <row r="12570">
      <c r="N12570" s="5"/>
    </row>
    <row r="12571">
      <c r="N12571" s="5"/>
    </row>
    <row r="12572">
      <c r="N12572" s="5"/>
    </row>
    <row r="12573">
      <c r="N12573" s="5"/>
    </row>
    <row r="12574">
      <c r="N12574" s="5"/>
    </row>
    <row r="12575">
      <c r="N12575" s="5"/>
    </row>
    <row r="12576">
      <c r="N12576" s="5"/>
    </row>
    <row r="12577">
      <c r="N12577" s="5"/>
    </row>
    <row r="12578">
      <c r="N12578" s="5"/>
    </row>
    <row r="12579">
      <c r="N12579" s="5"/>
    </row>
    <row r="12580">
      <c r="N12580" s="5"/>
    </row>
    <row r="12581">
      <c r="N12581" s="5"/>
    </row>
    <row r="12582">
      <c r="N12582" s="5"/>
    </row>
    <row r="12583">
      <c r="N12583" s="5"/>
    </row>
    <row r="12584">
      <c r="N12584" s="5"/>
    </row>
    <row r="12585">
      <c r="N12585" s="5"/>
    </row>
    <row r="12586">
      <c r="N12586" s="5"/>
    </row>
    <row r="12587">
      <c r="N12587" s="5"/>
    </row>
    <row r="12588">
      <c r="N12588" s="5"/>
    </row>
    <row r="12589">
      <c r="N12589" s="5"/>
    </row>
    <row r="12590">
      <c r="N12590" s="5"/>
    </row>
    <row r="12591">
      <c r="N12591" s="5"/>
    </row>
    <row r="12592">
      <c r="N12592" s="5"/>
    </row>
    <row r="12593">
      <c r="N12593" s="5"/>
    </row>
    <row r="12594">
      <c r="N12594" s="5"/>
    </row>
    <row r="12595">
      <c r="N12595" s="5"/>
    </row>
    <row r="12596">
      <c r="N12596" s="5"/>
    </row>
    <row r="12597">
      <c r="N12597" s="5"/>
    </row>
    <row r="12598">
      <c r="N12598" s="5"/>
    </row>
    <row r="12599">
      <c r="N12599" s="5"/>
    </row>
    <row r="12600">
      <c r="N12600" s="5"/>
    </row>
    <row r="12601">
      <c r="N12601" s="5"/>
    </row>
    <row r="12602">
      <c r="N12602" s="5"/>
    </row>
    <row r="12603">
      <c r="N12603" s="5"/>
    </row>
    <row r="12604">
      <c r="N12604" s="5"/>
    </row>
    <row r="12605">
      <c r="N12605" s="5"/>
    </row>
    <row r="12606">
      <c r="N12606" s="5"/>
    </row>
    <row r="12607">
      <c r="N12607" s="5"/>
    </row>
    <row r="12608">
      <c r="N12608" s="5"/>
    </row>
    <row r="12609">
      <c r="N12609" s="5"/>
    </row>
    <row r="12610">
      <c r="N12610" s="5"/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22</v>
      </c>
      <c r="C2" s="1" t="s">
        <v>21</v>
      </c>
      <c r="I2" s="4"/>
      <c r="K2" s="1">
        <v>30.0</v>
      </c>
      <c r="N2" s="5">
        <v>44637.0</v>
      </c>
      <c r="Q2" s="1" t="s">
        <v>28</v>
      </c>
    </row>
    <row r="3">
      <c r="A3" s="1">
        <v>2.0</v>
      </c>
      <c r="B3" s="1" t="s">
        <v>33</v>
      </c>
      <c r="C3" s="1" t="s">
        <v>21</v>
      </c>
      <c r="I3" s="4"/>
      <c r="K3" s="1">
        <v>200.0</v>
      </c>
      <c r="N3" s="5">
        <v>46057.0</v>
      </c>
      <c r="Q3" s="1" t="s">
        <v>38</v>
      </c>
    </row>
    <row r="4">
      <c r="A4" s="1">
        <v>3.0</v>
      </c>
      <c r="B4" s="1" t="s">
        <v>41</v>
      </c>
      <c r="C4" s="1" t="s">
        <v>21</v>
      </c>
      <c r="I4" s="4"/>
      <c r="K4" s="1">
        <v>40.0</v>
      </c>
      <c r="N4" s="5">
        <v>44904.0</v>
      </c>
      <c r="Q4" s="1" t="s">
        <v>45</v>
      </c>
    </row>
    <row r="5">
      <c r="A5" s="1">
        <v>4.0</v>
      </c>
      <c r="B5" s="1" t="s">
        <v>48</v>
      </c>
      <c r="C5" s="1" t="s">
        <v>21</v>
      </c>
      <c r="I5" s="4"/>
      <c r="K5" s="1">
        <v>20.0</v>
      </c>
      <c r="N5" s="5">
        <v>43879.0</v>
      </c>
      <c r="Q5" s="1" t="s">
        <v>51</v>
      </c>
    </row>
    <row r="6">
      <c r="A6" s="1">
        <v>5.0</v>
      </c>
      <c r="B6" s="1" t="s">
        <v>53</v>
      </c>
      <c r="C6" s="1" t="s">
        <v>21</v>
      </c>
      <c r="I6" s="4"/>
      <c r="K6" s="1">
        <v>60.0</v>
      </c>
      <c r="N6" s="5">
        <v>44199.0</v>
      </c>
      <c r="Q6" s="1" t="s">
        <v>56</v>
      </c>
    </row>
    <row r="7">
      <c r="A7" s="1">
        <v>6.0</v>
      </c>
      <c r="B7" s="1" t="s">
        <v>58</v>
      </c>
      <c r="C7" s="1" t="s">
        <v>21</v>
      </c>
      <c r="I7" s="4"/>
      <c r="K7" s="1">
        <v>90.0</v>
      </c>
      <c r="N7" s="5">
        <v>44948.0</v>
      </c>
      <c r="Q7" s="1" t="s">
        <v>61</v>
      </c>
    </row>
    <row r="8">
      <c r="A8" s="1">
        <v>7.0</v>
      </c>
      <c r="B8" s="1" t="s">
        <v>63</v>
      </c>
      <c r="C8" s="1" t="s">
        <v>21</v>
      </c>
      <c r="I8" s="4"/>
      <c r="K8" s="1">
        <v>40.0</v>
      </c>
      <c r="N8" s="5">
        <v>45156.0</v>
      </c>
      <c r="Q8" s="1" t="s">
        <v>68</v>
      </c>
    </row>
    <row r="9">
      <c r="I9" s="4"/>
      <c r="N9" s="5"/>
    </row>
    <row r="10">
      <c r="N10" s="5"/>
    </row>
    <row r="11">
      <c r="I11" s="4"/>
      <c r="N11" s="5"/>
    </row>
    <row r="12">
      <c r="I12" s="4"/>
      <c r="N12" s="5"/>
    </row>
    <row r="13">
      <c r="N13" s="5"/>
    </row>
    <row r="14">
      <c r="I14" s="4"/>
      <c r="N14" s="5"/>
    </row>
    <row r="15">
      <c r="I15" s="4"/>
      <c r="N15" s="5"/>
    </row>
    <row r="16">
      <c r="I16" s="4"/>
      <c r="N16" s="5"/>
    </row>
    <row r="17">
      <c r="I17" s="4"/>
      <c r="N17" s="5"/>
    </row>
    <row r="18">
      <c r="I18" s="4"/>
      <c r="N18" s="5"/>
    </row>
    <row r="19">
      <c r="I19" s="4"/>
      <c r="N19" s="5"/>
    </row>
    <row r="20">
      <c r="N20" s="5"/>
    </row>
    <row r="21">
      <c r="N21" s="5"/>
    </row>
    <row r="22">
      <c r="N22" s="5"/>
    </row>
    <row r="23">
      <c r="N23" s="5"/>
    </row>
    <row r="24">
      <c r="I24" s="4"/>
      <c r="N24" s="5"/>
    </row>
    <row r="25">
      <c r="N25" s="5"/>
    </row>
    <row r="26">
      <c r="N26" s="5"/>
    </row>
    <row r="27">
      <c r="N27" s="5"/>
    </row>
    <row r="28">
      <c r="N28" s="5"/>
    </row>
    <row r="29">
      <c r="I29" s="4"/>
      <c r="N29" s="5"/>
    </row>
    <row r="30">
      <c r="I30" s="4"/>
      <c r="N30" s="5"/>
    </row>
    <row r="31">
      <c r="N31" s="5"/>
    </row>
    <row r="32">
      <c r="I32" s="4"/>
      <c r="N32" s="5"/>
    </row>
    <row r="33">
      <c r="N33" s="5"/>
    </row>
    <row r="34">
      <c r="I34" s="4"/>
      <c r="N34" s="5"/>
    </row>
    <row r="35">
      <c r="N35" s="5"/>
    </row>
    <row r="36">
      <c r="N36" s="5"/>
    </row>
    <row r="37">
      <c r="I37" s="4"/>
      <c r="N37" s="5"/>
    </row>
    <row r="38">
      <c r="N38" s="5"/>
    </row>
    <row r="39">
      <c r="I39" s="4"/>
      <c r="N39" s="5"/>
    </row>
    <row r="40">
      <c r="I40" s="4"/>
      <c r="N40" s="5"/>
    </row>
    <row r="41">
      <c r="N41" s="5"/>
    </row>
    <row r="42">
      <c r="N42" s="5"/>
    </row>
    <row r="43">
      <c r="I43" s="4"/>
      <c r="N43" s="5"/>
    </row>
    <row r="44">
      <c r="N44" s="5"/>
    </row>
    <row r="45">
      <c r="N45" s="5"/>
    </row>
    <row r="46">
      <c r="I46" s="4"/>
      <c r="N46" s="5"/>
    </row>
    <row r="47">
      <c r="N47" s="5"/>
    </row>
    <row r="48">
      <c r="N48" s="5"/>
    </row>
    <row r="49">
      <c r="I49" s="4"/>
      <c r="N49" s="5"/>
    </row>
    <row r="50">
      <c r="N50" s="5"/>
    </row>
    <row r="51">
      <c r="N51" s="5"/>
    </row>
    <row r="52">
      <c r="N52" s="5"/>
    </row>
    <row r="53">
      <c r="N53" s="5"/>
    </row>
    <row r="54">
      <c r="N54" s="5"/>
    </row>
    <row r="55">
      <c r="N55" s="5"/>
    </row>
    <row r="56">
      <c r="N56" s="5"/>
    </row>
    <row r="57">
      <c r="N57" s="5"/>
    </row>
    <row r="58">
      <c r="N58" s="5"/>
    </row>
    <row r="59">
      <c r="I59" s="4"/>
      <c r="N59" s="5"/>
    </row>
    <row r="60">
      <c r="I60" s="4"/>
      <c r="N60" s="5"/>
    </row>
    <row r="61">
      <c r="N61" s="5"/>
    </row>
    <row r="62">
      <c r="I62" s="4"/>
      <c r="N62" s="5"/>
    </row>
    <row r="63">
      <c r="N63" s="5"/>
    </row>
    <row r="64">
      <c r="I64" s="4"/>
      <c r="N64" s="5"/>
    </row>
    <row r="65">
      <c r="N65" s="5"/>
    </row>
    <row r="66">
      <c r="N66" s="5"/>
    </row>
    <row r="67">
      <c r="N67" s="5"/>
    </row>
    <row r="68">
      <c r="N68" s="5"/>
    </row>
    <row r="69">
      <c r="N69" s="5"/>
    </row>
    <row r="70">
      <c r="I70" s="4"/>
      <c r="N70" s="5"/>
    </row>
    <row r="71">
      <c r="N71" s="5"/>
    </row>
    <row r="72">
      <c r="N72" s="5"/>
    </row>
    <row r="73">
      <c r="N73" s="5"/>
    </row>
    <row r="74">
      <c r="N74" s="5"/>
    </row>
    <row r="75">
      <c r="N75" s="5"/>
    </row>
    <row r="76">
      <c r="N76" s="5"/>
    </row>
    <row r="77">
      <c r="N77" s="5"/>
    </row>
    <row r="78">
      <c r="I78" s="4"/>
      <c r="N78" s="5"/>
    </row>
    <row r="79">
      <c r="N79" s="5"/>
    </row>
    <row r="80">
      <c r="N80" s="5"/>
    </row>
    <row r="81">
      <c r="N81" s="5"/>
    </row>
    <row r="82">
      <c r="N82" s="5"/>
    </row>
    <row r="83">
      <c r="N83" s="5"/>
    </row>
    <row r="84"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I100" s="4"/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84</v>
      </c>
      <c r="C2" s="1" t="s">
        <v>21</v>
      </c>
      <c r="D2" s="1">
        <v>23.0</v>
      </c>
      <c r="E2" s="1">
        <v>3500.0</v>
      </c>
      <c r="F2" s="1">
        <v>1.2</v>
      </c>
      <c r="G2" s="1">
        <v>0.59</v>
      </c>
      <c r="H2" s="1" t="s">
        <v>84</v>
      </c>
      <c r="I2" s="4">
        <v>46235.28936342592</v>
      </c>
      <c r="J2" s="1" t="s">
        <v>652</v>
      </c>
      <c r="K2" s="1">
        <v>392000.0</v>
      </c>
      <c r="L2" s="1">
        <v>1300.0</v>
      </c>
      <c r="M2" s="1">
        <v>1400.0</v>
      </c>
      <c r="N2" s="5">
        <v>42496.0</v>
      </c>
      <c r="O2" s="1" t="s">
        <v>27</v>
      </c>
      <c r="P2" s="1" t="s">
        <v>29</v>
      </c>
      <c r="Q2" s="1" t="s">
        <v>656</v>
      </c>
      <c r="R2" s="1" t="s">
        <v>657</v>
      </c>
      <c r="S2" s="1" t="s">
        <v>34</v>
      </c>
    </row>
    <row r="3">
      <c r="A3" s="1">
        <v>2.0</v>
      </c>
      <c r="B3" s="1" t="s">
        <v>19</v>
      </c>
      <c r="C3" s="1" t="s">
        <v>21</v>
      </c>
      <c r="D3" s="1">
        <v>9.0</v>
      </c>
      <c r="E3" s="1">
        <v>2100.0</v>
      </c>
      <c r="F3" s="1">
        <v>1.2</v>
      </c>
      <c r="G3" s="1">
        <v>0.49</v>
      </c>
      <c r="H3" s="1" t="s">
        <v>19</v>
      </c>
      <c r="I3" s="4">
        <v>46230.68956018519</v>
      </c>
      <c r="J3" s="1" t="s">
        <v>24</v>
      </c>
      <c r="K3" s="1">
        <v>578000.0</v>
      </c>
      <c r="L3" s="1">
        <v>600.0</v>
      </c>
      <c r="M3" s="1">
        <v>700.0</v>
      </c>
      <c r="N3" s="5">
        <v>42445.0</v>
      </c>
      <c r="O3" s="1" t="s">
        <v>27</v>
      </c>
      <c r="P3" s="1" t="s">
        <v>29</v>
      </c>
      <c r="Q3" s="1" t="s">
        <v>30</v>
      </c>
      <c r="R3" s="1" t="s">
        <v>32</v>
      </c>
      <c r="S3" s="1" t="s">
        <v>34</v>
      </c>
    </row>
    <row r="4">
      <c r="A4" s="1">
        <v>3.0</v>
      </c>
      <c r="B4" s="1" t="s">
        <v>71</v>
      </c>
      <c r="C4" s="1" t="s">
        <v>21</v>
      </c>
      <c r="D4" s="1">
        <v>21.0</v>
      </c>
      <c r="E4" s="1">
        <v>450.0</v>
      </c>
      <c r="F4" s="1">
        <v>1.1</v>
      </c>
      <c r="G4" s="1">
        <v>1.58</v>
      </c>
      <c r="H4" s="1" t="s">
        <v>71</v>
      </c>
      <c r="I4" s="4">
        <v>46193.96622685185</v>
      </c>
      <c r="J4" s="1" t="s">
        <v>40</v>
      </c>
      <c r="K4" s="1">
        <v>500.0</v>
      </c>
      <c r="L4" s="1">
        <v>450.0</v>
      </c>
      <c r="M4" s="1">
        <v>500.0</v>
      </c>
      <c r="N4" s="5">
        <v>42249.0</v>
      </c>
      <c r="O4" s="1" t="s">
        <v>64</v>
      </c>
      <c r="P4" s="1" t="s">
        <v>29</v>
      </c>
      <c r="Q4" s="1" t="s">
        <v>672</v>
      </c>
      <c r="R4" s="1" t="s">
        <v>673</v>
      </c>
      <c r="S4" s="1" t="s">
        <v>34</v>
      </c>
    </row>
    <row r="5">
      <c r="A5" s="1">
        <v>4.0</v>
      </c>
      <c r="B5" s="1" t="s">
        <v>676</v>
      </c>
      <c r="C5" s="1" t="s">
        <v>21</v>
      </c>
      <c r="D5" s="1">
        <v>35.0</v>
      </c>
      <c r="E5" s="1">
        <v>400.0</v>
      </c>
      <c r="F5" s="1">
        <v>0.35</v>
      </c>
      <c r="G5" s="1">
        <v>0.58</v>
      </c>
      <c r="H5" s="1" t="s">
        <v>676</v>
      </c>
      <c r="I5" s="4">
        <v>46214.563425925924</v>
      </c>
      <c r="J5" s="1" t="s">
        <v>40</v>
      </c>
      <c r="K5" s="1">
        <v>54000.0</v>
      </c>
      <c r="L5" s="1">
        <v>60.0</v>
      </c>
      <c r="M5" s="1">
        <v>60.0</v>
      </c>
      <c r="N5" s="5">
        <v>42249.0</v>
      </c>
      <c r="O5" s="1" t="s">
        <v>65</v>
      </c>
      <c r="P5" s="1" t="s">
        <v>29</v>
      </c>
      <c r="Q5" s="1" t="s">
        <v>684</v>
      </c>
      <c r="R5" s="1" t="s">
        <v>686</v>
      </c>
      <c r="S5" s="1" t="s">
        <v>34</v>
      </c>
    </row>
    <row r="6">
      <c r="A6" s="1">
        <v>5.0</v>
      </c>
      <c r="B6" s="1" t="s">
        <v>688</v>
      </c>
      <c r="C6" s="1" t="s">
        <v>21</v>
      </c>
      <c r="D6" s="1">
        <v>0.0</v>
      </c>
      <c r="E6" s="1">
        <v>400.0</v>
      </c>
      <c r="F6" s="1">
        <v>0.7</v>
      </c>
      <c r="G6" s="1">
        <v>0.81</v>
      </c>
      <c r="H6" s="1" t="s">
        <v>688</v>
      </c>
      <c r="I6" s="4">
        <v>46217.51079861111</v>
      </c>
      <c r="J6" s="1" t="s">
        <v>691</v>
      </c>
      <c r="K6" s="1">
        <v>97000.0</v>
      </c>
      <c r="L6" s="1">
        <v>30.0</v>
      </c>
      <c r="M6" s="1">
        <v>30.0</v>
      </c>
      <c r="N6" s="5">
        <v>42258.0</v>
      </c>
      <c r="O6" s="1" t="s">
        <v>64</v>
      </c>
      <c r="P6" s="1" t="s">
        <v>29</v>
      </c>
      <c r="Q6" s="1" t="s">
        <v>695</v>
      </c>
      <c r="R6" s="1" t="s">
        <v>697</v>
      </c>
      <c r="S6" s="1" t="s">
        <v>46</v>
      </c>
    </row>
    <row r="7">
      <c r="A7" s="1">
        <v>6.0</v>
      </c>
      <c r="B7" s="1" t="s">
        <v>698</v>
      </c>
      <c r="C7" s="1" t="s">
        <v>21</v>
      </c>
      <c r="D7" s="1">
        <v>0.0</v>
      </c>
      <c r="E7" s="1">
        <v>350.0</v>
      </c>
      <c r="F7" s="1">
        <v>1.3</v>
      </c>
      <c r="G7" s="1">
        <v>0.85</v>
      </c>
      <c r="H7" s="1" t="s">
        <v>698</v>
      </c>
      <c r="I7" s="4">
        <v>46211.93755787037</v>
      </c>
      <c r="J7" s="1" t="s">
        <v>40</v>
      </c>
      <c r="K7" s="1">
        <v>350.0</v>
      </c>
      <c r="L7" s="1">
        <v>150.0</v>
      </c>
      <c r="M7" s="1">
        <v>300.0</v>
      </c>
      <c r="N7" s="5">
        <v>42252.0</v>
      </c>
      <c r="O7" s="1" t="s">
        <v>64</v>
      </c>
      <c r="P7" s="1" t="s">
        <v>29</v>
      </c>
      <c r="Q7" s="1" t="s">
        <v>705</v>
      </c>
      <c r="R7" s="1" t="s">
        <v>706</v>
      </c>
      <c r="S7" s="1" t="s">
        <v>34</v>
      </c>
    </row>
    <row r="8">
      <c r="A8" s="1">
        <v>7.0</v>
      </c>
      <c r="B8" s="1" t="s">
        <v>708</v>
      </c>
      <c r="C8" s="1" t="s">
        <v>21</v>
      </c>
      <c r="D8" s="1">
        <v>0.0</v>
      </c>
      <c r="E8" s="1">
        <v>250.0</v>
      </c>
      <c r="F8" s="1">
        <v>2.5</v>
      </c>
      <c r="G8" s="1">
        <v>0.48</v>
      </c>
      <c r="H8" s="1" t="s">
        <v>708</v>
      </c>
      <c r="I8" s="4">
        <v>46217.57952546296</v>
      </c>
      <c r="J8" s="1" t="s">
        <v>40</v>
      </c>
      <c r="K8" s="1">
        <v>250.0</v>
      </c>
      <c r="L8" s="1">
        <v>100.0</v>
      </c>
      <c r="M8" s="1">
        <v>100.0</v>
      </c>
      <c r="N8" s="5">
        <v>42306.0</v>
      </c>
      <c r="O8" s="1" t="s">
        <v>64</v>
      </c>
      <c r="P8" s="1" t="s">
        <v>29</v>
      </c>
      <c r="Q8" s="1" t="s">
        <v>716</v>
      </c>
      <c r="R8" s="1" t="s">
        <v>717</v>
      </c>
      <c r="S8" s="1" t="s">
        <v>34</v>
      </c>
    </row>
    <row r="9">
      <c r="A9" s="1">
        <v>8.0</v>
      </c>
      <c r="B9" s="1" t="s">
        <v>720</v>
      </c>
      <c r="C9" s="1" t="s">
        <v>21</v>
      </c>
      <c r="D9" s="1">
        <v>0.0</v>
      </c>
      <c r="E9" s="1">
        <v>250.0</v>
      </c>
      <c r="F9" s="1">
        <v>1.4</v>
      </c>
      <c r="G9" s="1">
        <v>1.33</v>
      </c>
      <c r="H9" s="1" t="s">
        <v>720</v>
      </c>
      <c r="I9" s="4">
        <v>46221.73365740741</v>
      </c>
      <c r="J9" s="1" t="s">
        <v>40</v>
      </c>
      <c r="K9" s="1">
        <v>250.0</v>
      </c>
      <c r="L9" s="1">
        <v>90.0</v>
      </c>
      <c r="M9" s="1">
        <v>90.0</v>
      </c>
      <c r="N9" s="5">
        <v>42250.0</v>
      </c>
      <c r="O9" s="1" t="s">
        <v>64</v>
      </c>
      <c r="P9" s="1" t="s">
        <v>29</v>
      </c>
      <c r="Q9" s="1" t="s">
        <v>727</v>
      </c>
      <c r="R9" s="1" t="s">
        <v>728</v>
      </c>
      <c r="S9" s="1" t="s">
        <v>34</v>
      </c>
    </row>
    <row r="10">
      <c r="A10" s="1">
        <v>9.0</v>
      </c>
      <c r="B10" s="1" t="s">
        <v>732</v>
      </c>
      <c r="C10" s="1" t="s">
        <v>21</v>
      </c>
      <c r="D10" s="1">
        <v>5.0</v>
      </c>
      <c r="E10" s="1">
        <v>250.0</v>
      </c>
      <c r="F10" s="1">
        <v>1.0</v>
      </c>
      <c r="H10" s="1" t="s">
        <v>84</v>
      </c>
      <c r="I10" s="4">
        <v>46204.878020833334</v>
      </c>
      <c r="J10" s="1" t="s">
        <v>737</v>
      </c>
      <c r="K10" s="1">
        <v>104000.0</v>
      </c>
      <c r="L10" s="1">
        <v>1400.0</v>
      </c>
      <c r="M10" s="1">
        <v>1500.0</v>
      </c>
      <c r="N10" s="5">
        <v>42555.0</v>
      </c>
      <c r="O10" s="1" t="s">
        <v>64</v>
      </c>
      <c r="P10" s="1" t="s">
        <v>29</v>
      </c>
      <c r="Q10" s="1" t="s">
        <v>741</v>
      </c>
      <c r="R10" s="1" t="s">
        <v>742</v>
      </c>
      <c r="S10" s="1" t="s">
        <v>34</v>
      </c>
    </row>
    <row r="11">
      <c r="A11" s="1">
        <v>10.0</v>
      </c>
      <c r="B11" s="1" t="s">
        <v>745</v>
      </c>
      <c r="C11" s="1" t="s">
        <v>21</v>
      </c>
      <c r="D11" s="1">
        <v>12.0</v>
      </c>
      <c r="E11" s="1">
        <v>250.0</v>
      </c>
      <c r="F11" s="1">
        <v>1.1</v>
      </c>
      <c r="G11" s="1">
        <v>0.41</v>
      </c>
      <c r="H11" s="1" t="s">
        <v>71</v>
      </c>
      <c r="I11" s="4">
        <v>46218.30563657408</v>
      </c>
      <c r="J11" s="1" t="s">
        <v>40</v>
      </c>
      <c r="K11" s="1">
        <v>250.0</v>
      </c>
      <c r="L11" s="1">
        <v>500.0</v>
      </c>
      <c r="M11" s="1">
        <v>500.0</v>
      </c>
      <c r="N11" s="5">
        <v>42254.0</v>
      </c>
      <c r="O11" s="1" t="s">
        <v>64</v>
      </c>
      <c r="P11" s="1" t="s">
        <v>29</v>
      </c>
      <c r="Q11" s="1" t="s">
        <v>752</v>
      </c>
      <c r="R11" s="1" t="s">
        <v>753</v>
      </c>
      <c r="S11" s="1" t="s">
        <v>34</v>
      </c>
    </row>
    <row r="12">
      <c r="A12" s="1">
        <v>11.0</v>
      </c>
      <c r="B12" s="1" t="s">
        <v>755</v>
      </c>
      <c r="C12" s="1" t="s">
        <v>21</v>
      </c>
      <c r="D12" s="1">
        <v>0.0</v>
      </c>
      <c r="E12" s="1">
        <v>250.0</v>
      </c>
      <c r="F12" s="1">
        <v>1.5</v>
      </c>
      <c r="G12" s="1">
        <v>0.55</v>
      </c>
      <c r="H12" s="1" t="s">
        <v>688</v>
      </c>
      <c r="I12" s="4">
        <v>46217.466770833336</v>
      </c>
      <c r="J12" s="1" t="s">
        <v>24</v>
      </c>
      <c r="K12" s="1">
        <v>140000.0</v>
      </c>
      <c r="L12" s="1">
        <v>200.0</v>
      </c>
      <c r="M12" s="1">
        <v>200.0</v>
      </c>
      <c r="N12" s="5">
        <v>42258.0</v>
      </c>
      <c r="O12" s="1" t="s">
        <v>64</v>
      </c>
      <c r="P12" s="1" t="s">
        <v>29</v>
      </c>
      <c r="Q12" s="1" t="s">
        <v>762</v>
      </c>
      <c r="R12" s="1" t="s">
        <v>764</v>
      </c>
      <c r="S12" s="1" t="s">
        <v>46</v>
      </c>
    </row>
    <row r="13">
      <c r="A13" s="1">
        <v>12.0</v>
      </c>
      <c r="B13" s="1" t="s">
        <v>766</v>
      </c>
      <c r="C13" s="1" t="s">
        <v>21</v>
      </c>
      <c r="D13" s="1">
        <v>24.0</v>
      </c>
      <c r="E13" s="1">
        <v>250.0</v>
      </c>
      <c r="F13" s="1">
        <v>0.8</v>
      </c>
      <c r="G13" s="1">
        <v>0.79</v>
      </c>
      <c r="H13" s="1" t="s">
        <v>770</v>
      </c>
      <c r="I13" s="4">
        <v>46217.82287037037</v>
      </c>
      <c r="J13" s="1" t="s">
        <v>40</v>
      </c>
      <c r="K13" s="1">
        <v>300.0</v>
      </c>
      <c r="L13" s="1">
        <v>350.0</v>
      </c>
      <c r="M13" s="1">
        <v>350.0</v>
      </c>
      <c r="N13" s="5">
        <v>42248.0</v>
      </c>
      <c r="O13" s="1" t="s">
        <v>64</v>
      </c>
      <c r="P13" s="1" t="s">
        <v>29</v>
      </c>
      <c r="Q13" s="1" t="s">
        <v>775</v>
      </c>
      <c r="R13" s="1" t="s">
        <v>777</v>
      </c>
      <c r="S13" s="1" t="s">
        <v>34</v>
      </c>
    </row>
    <row r="14">
      <c r="A14" s="1">
        <v>13.0</v>
      </c>
      <c r="B14" s="1" t="s">
        <v>779</v>
      </c>
      <c r="C14" s="1" t="s">
        <v>21</v>
      </c>
      <c r="D14" s="1">
        <v>23.0</v>
      </c>
      <c r="E14" s="1">
        <v>250.0</v>
      </c>
      <c r="F14" s="1">
        <v>1.1</v>
      </c>
      <c r="H14" s="1" t="s">
        <v>781</v>
      </c>
      <c r="I14" s="4">
        <v>46209.38826388889</v>
      </c>
      <c r="J14" s="1" t="s">
        <v>40</v>
      </c>
      <c r="K14" s="1">
        <v>34000.0</v>
      </c>
      <c r="L14" s="1">
        <v>900.0</v>
      </c>
      <c r="M14" s="1">
        <v>1000.0</v>
      </c>
      <c r="N14" s="5">
        <v>42289.0</v>
      </c>
      <c r="O14" s="1" t="s">
        <v>27</v>
      </c>
      <c r="P14" s="1" t="s">
        <v>29</v>
      </c>
      <c r="Q14" s="1" t="s">
        <v>785</v>
      </c>
      <c r="R14" s="1" t="s">
        <v>787</v>
      </c>
      <c r="S14" s="1" t="s">
        <v>46</v>
      </c>
    </row>
    <row r="15">
      <c r="A15" s="1">
        <v>14.0</v>
      </c>
      <c r="B15" s="1" t="s">
        <v>20</v>
      </c>
      <c r="C15" s="1" t="s">
        <v>21</v>
      </c>
      <c r="D15" s="1">
        <v>0.0</v>
      </c>
      <c r="E15" s="1">
        <v>200.0</v>
      </c>
      <c r="F15" s="1">
        <v>1.3</v>
      </c>
      <c r="G15" s="1">
        <v>1.28</v>
      </c>
      <c r="H15" s="1" t="s">
        <v>698</v>
      </c>
      <c r="I15" s="4">
        <v>46236.369571759256</v>
      </c>
      <c r="J15" s="1" t="s">
        <v>40</v>
      </c>
      <c r="K15" s="1">
        <v>250.0</v>
      </c>
      <c r="L15" s="1">
        <v>150.0</v>
      </c>
      <c r="M15" s="1">
        <v>200.0</v>
      </c>
      <c r="N15" s="5">
        <v>42255.0</v>
      </c>
      <c r="O15" s="1" t="s">
        <v>64</v>
      </c>
      <c r="P15" s="1" t="s">
        <v>29</v>
      </c>
      <c r="Q15" s="1" t="s">
        <v>790</v>
      </c>
      <c r="R15" s="1" t="s">
        <v>792</v>
      </c>
      <c r="S15" s="1" t="s">
        <v>34</v>
      </c>
    </row>
    <row r="16">
      <c r="A16" s="1">
        <v>15.0</v>
      </c>
      <c r="B16" s="1" t="s">
        <v>770</v>
      </c>
      <c r="C16" s="1" t="s">
        <v>21</v>
      </c>
      <c r="D16" s="1">
        <v>33.0</v>
      </c>
      <c r="E16" s="1">
        <v>200.0</v>
      </c>
      <c r="F16" s="1">
        <v>0.8</v>
      </c>
      <c r="G16" s="1">
        <v>2.13</v>
      </c>
      <c r="H16" s="1" t="s">
        <v>84</v>
      </c>
      <c r="I16" s="4">
        <v>46217.32796296296</v>
      </c>
      <c r="J16" s="1" t="s">
        <v>40</v>
      </c>
      <c r="K16" s="1">
        <v>200.0</v>
      </c>
      <c r="L16" s="1">
        <v>350.0</v>
      </c>
      <c r="M16" s="1">
        <v>350.0</v>
      </c>
      <c r="N16" s="5">
        <v>42253.0</v>
      </c>
      <c r="O16" s="1" t="s">
        <v>64</v>
      </c>
      <c r="P16" s="1" t="s">
        <v>29</v>
      </c>
      <c r="Q16" s="1" t="s">
        <v>802</v>
      </c>
      <c r="S16" s="1" t="s">
        <v>34</v>
      </c>
    </row>
    <row r="17">
      <c r="A17" s="1">
        <v>16.0</v>
      </c>
      <c r="B17" s="1" t="s">
        <v>804</v>
      </c>
      <c r="C17" s="1" t="s">
        <v>21</v>
      </c>
      <c r="D17" s="1">
        <v>15.0</v>
      </c>
      <c r="E17" s="1">
        <v>200.0</v>
      </c>
      <c r="F17" s="1">
        <v>0.7</v>
      </c>
      <c r="G17" s="1">
        <v>0.63</v>
      </c>
      <c r="H17" s="1" t="s">
        <v>71</v>
      </c>
      <c r="I17" s="4">
        <v>46229.415451388886</v>
      </c>
      <c r="J17" s="1" t="s">
        <v>40</v>
      </c>
      <c r="K17" s="1">
        <v>200.0</v>
      </c>
      <c r="L17" s="1">
        <v>500.0</v>
      </c>
      <c r="M17" s="1">
        <v>500.0</v>
      </c>
      <c r="N17" s="5">
        <v>42283.0</v>
      </c>
      <c r="O17" s="1" t="s">
        <v>64</v>
      </c>
      <c r="P17" s="1" t="s">
        <v>29</v>
      </c>
      <c r="Q17" s="1" t="s">
        <v>811</v>
      </c>
      <c r="R17" s="1" t="s">
        <v>813</v>
      </c>
      <c r="S17" s="1" t="s">
        <v>34</v>
      </c>
    </row>
    <row r="18">
      <c r="A18" s="1">
        <v>17.0</v>
      </c>
      <c r="B18" s="1" t="s">
        <v>815</v>
      </c>
      <c r="C18" s="1" t="s">
        <v>21</v>
      </c>
      <c r="D18" s="1">
        <v>0.0</v>
      </c>
      <c r="E18" s="1">
        <v>200.0</v>
      </c>
      <c r="F18" s="1">
        <v>1.1</v>
      </c>
      <c r="G18" s="1">
        <v>0.57</v>
      </c>
      <c r="H18" s="1" t="s">
        <v>71</v>
      </c>
      <c r="I18" s="4">
        <v>46227.03471064815</v>
      </c>
      <c r="J18" s="1" t="s">
        <v>820</v>
      </c>
      <c r="K18" s="1">
        <v>1100.0</v>
      </c>
      <c r="L18" s="1">
        <v>500.0</v>
      </c>
      <c r="M18" s="1">
        <v>500.0</v>
      </c>
      <c r="N18" s="5">
        <v>42304.0</v>
      </c>
      <c r="O18" s="1" t="s">
        <v>823</v>
      </c>
      <c r="P18" s="1" t="s">
        <v>29</v>
      </c>
      <c r="Q18" s="1" t="s">
        <v>824</v>
      </c>
      <c r="R18" s="1" t="s">
        <v>825</v>
      </c>
      <c r="S18" s="1" t="s">
        <v>46</v>
      </c>
    </row>
    <row r="19">
      <c r="A19" s="1">
        <v>18.0</v>
      </c>
      <c r="B19" s="1" t="s">
        <v>827</v>
      </c>
      <c r="C19" s="1" t="s">
        <v>21</v>
      </c>
      <c r="D19" s="1">
        <v>6.0</v>
      </c>
      <c r="E19" s="1">
        <v>200.0</v>
      </c>
      <c r="F19" s="1">
        <v>1.6</v>
      </c>
      <c r="H19" s="1" t="s">
        <v>39</v>
      </c>
      <c r="I19" s="4">
        <v>46225.73626157407</v>
      </c>
      <c r="J19" s="1" t="s">
        <v>24</v>
      </c>
      <c r="K19" s="1">
        <v>3500.0</v>
      </c>
      <c r="L19" s="1">
        <v>100.0</v>
      </c>
      <c r="M19" s="1">
        <v>100.0</v>
      </c>
      <c r="N19" s="5">
        <v>42668.0</v>
      </c>
      <c r="O19" s="1" t="s">
        <v>27</v>
      </c>
      <c r="P19" s="1" t="s">
        <v>29</v>
      </c>
      <c r="Q19" s="1" t="s">
        <v>835</v>
      </c>
      <c r="R19" s="1" t="s">
        <v>837</v>
      </c>
      <c r="S19" s="1" t="s">
        <v>46</v>
      </c>
    </row>
    <row r="20">
      <c r="A20" s="1">
        <v>19.0</v>
      </c>
      <c r="B20" s="1" t="s">
        <v>838</v>
      </c>
      <c r="C20" s="1" t="s">
        <v>21</v>
      </c>
      <c r="D20" s="1">
        <v>26.0</v>
      </c>
      <c r="E20" s="1">
        <v>200.0</v>
      </c>
      <c r="F20" s="1">
        <v>1.8</v>
      </c>
      <c r="H20" s="1" t="s">
        <v>841</v>
      </c>
      <c r="I20" s="4">
        <v>46225.34960648148</v>
      </c>
      <c r="J20" s="1" t="s">
        <v>40</v>
      </c>
      <c r="K20" s="1">
        <v>200.0</v>
      </c>
      <c r="L20" s="1">
        <v>150.0</v>
      </c>
      <c r="M20" s="1">
        <v>150.0</v>
      </c>
      <c r="N20" s="5">
        <v>42261.0</v>
      </c>
      <c r="O20" s="1" t="s">
        <v>64</v>
      </c>
      <c r="P20" s="1" t="s">
        <v>29</v>
      </c>
      <c r="Q20" s="1" t="s">
        <v>846</v>
      </c>
      <c r="R20" s="1" t="s">
        <v>848</v>
      </c>
      <c r="S20" s="1" t="s">
        <v>34</v>
      </c>
    </row>
    <row r="21">
      <c r="A21" s="1">
        <v>20.0</v>
      </c>
      <c r="B21" s="1" t="s">
        <v>850</v>
      </c>
      <c r="C21" s="1" t="s">
        <v>21</v>
      </c>
      <c r="D21" s="1">
        <v>24.0</v>
      </c>
      <c r="E21" s="1">
        <v>200.0</v>
      </c>
      <c r="F21" s="1">
        <v>1.8</v>
      </c>
      <c r="G21" s="1">
        <v>0.39</v>
      </c>
      <c r="H21" s="1" t="s">
        <v>853</v>
      </c>
      <c r="I21" s="4">
        <v>46215.15645833333</v>
      </c>
      <c r="J21" s="1" t="s">
        <v>855</v>
      </c>
      <c r="K21" s="1">
        <v>250.0</v>
      </c>
      <c r="L21" s="1">
        <v>70.0</v>
      </c>
      <c r="M21" s="1">
        <v>70.0</v>
      </c>
      <c r="N21" s="5">
        <v>42293.0</v>
      </c>
      <c r="O21" s="1" t="s">
        <v>64</v>
      </c>
      <c r="P21" s="1" t="s">
        <v>29</v>
      </c>
      <c r="Q21" s="1" t="s">
        <v>859</v>
      </c>
      <c r="R21" s="1" t="s">
        <v>861</v>
      </c>
      <c r="S21" s="1" t="s">
        <v>34</v>
      </c>
    </row>
    <row r="22">
      <c r="A22" s="1">
        <v>21.0</v>
      </c>
      <c r="B22" s="1" t="s">
        <v>853</v>
      </c>
      <c r="C22" s="1" t="s">
        <v>21</v>
      </c>
      <c r="D22" s="1">
        <v>34.0</v>
      </c>
      <c r="E22" s="1">
        <v>200.0</v>
      </c>
      <c r="F22" s="1">
        <v>1.0</v>
      </c>
      <c r="H22" s="1" t="s">
        <v>838</v>
      </c>
      <c r="I22" s="4">
        <v>46202.49172453704</v>
      </c>
      <c r="J22" s="1" t="s">
        <v>40</v>
      </c>
      <c r="K22" s="1">
        <v>200.0</v>
      </c>
      <c r="L22" s="1">
        <v>90.0</v>
      </c>
      <c r="M22" s="1">
        <v>100.0</v>
      </c>
      <c r="N22" s="5">
        <v>43400.0</v>
      </c>
      <c r="O22" s="1" t="s">
        <v>64</v>
      </c>
      <c r="P22" s="1" t="s">
        <v>29</v>
      </c>
      <c r="Q22" s="1" t="s">
        <v>868</v>
      </c>
      <c r="S22" s="1" t="s">
        <v>34</v>
      </c>
    </row>
    <row r="23">
      <c r="A23" s="1">
        <v>22.0</v>
      </c>
      <c r="B23" s="1" t="s">
        <v>35</v>
      </c>
      <c r="C23" s="1" t="s">
        <v>21</v>
      </c>
      <c r="D23" s="1">
        <v>0.0</v>
      </c>
      <c r="E23" s="1">
        <v>150.0</v>
      </c>
      <c r="F23" s="1">
        <v>1.2</v>
      </c>
      <c r="H23" s="1" t="s">
        <v>39</v>
      </c>
      <c r="I23" s="4">
        <v>46214.59721064815</v>
      </c>
      <c r="J23" s="1" t="s">
        <v>40</v>
      </c>
      <c r="K23" s="1">
        <v>14000.0</v>
      </c>
      <c r="L23" s="1">
        <v>10.0</v>
      </c>
      <c r="M23" s="1">
        <v>10.0</v>
      </c>
      <c r="N23" s="5">
        <v>42421.0</v>
      </c>
      <c r="O23" s="1" t="s">
        <v>27</v>
      </c>
      <c r="P23" s="1" t="s">
        <v>29</v>
      </c>
      <c r="Q23" s="1" t="s">
        <v>44</v>
      </c>
      <c r="S23" s="1" t="s">
        <v>46</v>
      </c>
    </row>
    <row r="24">
      <c r="A24" s="1">
        <v>23.0</v>
      </c>
      <c r="B24" s="1" t="s">
        <v>877</v>
      </c>
      <c r="C24" s="1" t="s">
        <v>21</v>
      </c>
      <c r="D24" s="1">
        <v>0.0</v>
      </c>
      <c r="E24" s="1">
        <v>150.0</v>
      </c>
      <c r="F24" s="1">
        <v>0.9</v>
      </c>
      <c r="G24" s="1">
        <v>0.53</v>
      </c>
      <c r="H24" s="1" t="s">
        <v>698</v>
      </c>
      <c r="I24" s="4">
        <v>46202.878541666665</v>
      </c>
      <c r="J24" s="1" t="s">
        <v>40</v>
      </c>
      <c r="K24" s="1">
        <v>150.0</v>
      </c>
      <c r="L24" s="1">
        <v>150.0</v>
      </c>
      <c r="M24" s="1">
        <v>200.0</v>
      </c>
      <c r="N24" s="5">
        <v>42249.0</v>
      </c>
      <c r="O24" s="1" t="s">
        <v>64</v>
      </c>
      <c r="P24" s="1" t="s">
        <v>29</v>
      </c>
      <c r="Q24" s="1" t="s">
        <v>884</v>
      </c>
      <c r="S24" s="1" t="s">
        <v>34</v>
      </c>
    </row>
    <row r="25">
      <c r="A25" s="1">
        <v>24.0</v>
      </c>
      <c r="B25" s="1" t="s">
        <v>887</v>
      </c>
      <c r="C25" s="1" t="s">
        <v>21</v>
      </c>
      <c r="D25" s="1">
        <v>43.0</v>
      </c>
      <c r="E25" s="1">
        <v>150.0</v>
      </c>
      <c r="F25" s="1">
        <v>0.8</v>
      </c>
      <c r="H25" s="1" t="s">
        <v>781</v>
      </c>
      <c r="I25" s="4">
        <v>46212.85438657407</v>
      </c>
      <c r="J25" s="1" t="s">
        <v>40</v>
      </c>
      <c r="K25" s="1">
        <v>87000.0</v>
      </c>
      <c r="L25" s="1">
        <v>800.0</v>
      </c>
      <c r="M25" s="1">
        <v>1000.0</v>
      </c>
      <c r="N25" s="5">
        <v>42299.0</v>
      </c>
      <c r="O25" s="1" t="s">
        <v>64</v>
      </c>
      <c r="P25" s="1" t="s">
        <v>29</v>
      </c>
      <c r="Q25" s="1" t="s">
        <v>892</v>
      </c>
      <c r="S25" s="1" t="s">
        <v>34</v>
      </c>
    </row>
    <row r="26">
      <c r="A26" s="1">
        <v>25.0</v>
      </c>
      <c r="B26" s="1" t="s">
        <v>47</v>
      </c>
      <c r="C26" s="1" t="s">
        <v>21</v>
      </c>
      <c r="D26" s="1">
        <v>13.0</v>
      </c>
      <c r="E26" s="1">
        <v>150.0</v>
      </c>
      <c r="F26" s="1">
        <v>1.6</v>
      </c>
      <c r="H26" s="1" t="s">
        <v>19</v>
      </c>
      <c r="I26" s="4">
        <v>46223.86341435185</v>
      </c>
      <c r="J26" s="1" t="s">
        <v>50</v>
      </c>
      <c r="K26" s="1">
        <v>101000.0</v>
      </c>
      <c r="L26" s="1">
        <v>80.0</v>
      </c>
      <c r="M26" s="1">
        <v>80.0</v>
      </c>
      <c r="N26" s="5">
        <v>43576.0</v>
      </c>
      <c r="O26" s="1" t="s">
        <v>27</v>
      </c>
      <c r="P26" s="1" t="s">
        <v>29</v>
      </c>
      <c r="Q26" s="1" t="s">
        <v>54</v>
      </c>
      <c r="S26" s="1" t="s">
        <v>46</v>
      </c>
    </row>
    <row r="27">
      <c r="A27" s="1">
        <v>26.0</v>
      </c>
      <c r="B27" s="1" t="s">
        <v>899</v>
      </c>
      <c r="C27" s="1" t="s">
        <v>21</v>
      </c>
      <c r="D27" s="1">
        <v>0.0</v>
      </c>
      <c r="E27" s="1">
        <v>150.0</v>
      </c>
      <c r="F27" s="1">
        <v>0.15</v>
      </c>
      <c r="G27" s="1">
        <v>0.4</v>
      </c>
      <c r="H27" s="1" t="s">
        <v>766</v>
      </c>
      <c r="I27" s="4">
        <v>46219.508043981485</v>
      </c>
      <c r="J27" s="1" t="s">
        <v>903</v>
      </c>
      <c r="K27" s="1">
        <v>150.0</v>
      </c>
      <c r="L27" s="1">
        <v>250.0</v>
      </c>
      <c r="M27" s="1">
        <v>250.0</v>
      </c>
      <c r="N27" s="5">
        <v>42255.0</v>
      </c>
      <c r="O27" s="1" t="s">
        <v>65</v>
      </c>
      <c r="P27" s="1" t="s">
        <v>29</v>
      </c>
      <c r="Q27" s="1" t="s">
        <v>907</v>
      </c>
      <c r="R27" s="1" t="s">
        <v>908</v>
      </c>
      <c r="S27" s="1" t="s">
        <v>34</v>
      </c>
    </row>
    <row r="28">
      <c r="A28" s="1">
        <v>27.0</v>
      </c>
      <c r="B28" s="1" t="s">
        <v>911</v>
      </c>
      <c r="C28" s="1" t="s">
        <v>21</v>
      </c>
      <c r="D28" s="1">
        <v>38.0</v>
      </c>
      <c r="E28" s="1">
        <v>150.0</v>
      </c>
      <c r="F28" s="1">
        <v>1.2</v>
      </c>
      <c r="G28" s="1">
        <v>1.25</v>
      </c>
      <c r="H28" s="1" t="s">
        <v>911</v>
      </c>
      <c r="I28" s="4">
        <v>46230.61074074074</v>
      </c>
      <c r="J28" s="1" t="s">
        <v>50</v>
      </c>
      <c r="K28" s="1">
        <v>150.0</v>
      </c>
      <c r="L28" s="1">
        <v>60.0</v>
      </c>
      <c r="M28" s="1">
        <v>60.0</v>
      </c>
      <c r="N28" s="5">
        <v>42257.0</v>
      </c>
      <c r="O28" s="1" t="s">
        <v>65</v>
      </c>
      <c r="P28" s="1" t="s">
        <v>29</v>
      </c>
      <c r="Q28" s="1" t="s">
        <v>918</v>
      </c>
      <c r="S28" s="1" t="s">
        <v>34</v>
      </c>
    </row>
    <row r="29">
      <c r="A29" s="1">
        <v>28.0</v>
      </c>
      <c r="B29" s="1" t="s">
        <v>59</v>
      </c>
      <c r="C29" s="1" t="s">
        <v>21</v>
      </c>
      <c r="D29" s="1">
        <v>0.0</v>
      </c>
      <c r="E29" s="1">
        <v>150.0</v>
      </c>
      <c r="F29" s="1">
        <v>0.7</v>
      </c>
      <c r="H29" s="1" t="s">
        <v>84</v>
      </c>
      <c r="I29" s="4">
        <v>46217.392905092594</v>
      </c>
      <c r="J29" s="1" t="s">
        <v>24</v>
      </c>
      <c r="K29" s="1">
        <v>1000.0</v>
      </c>
      <c r="L29" s="1">
        <v>1400.0</v>
      </c>
      <c r="M29" s="1">
        <v>1400.0</v>
      </c>
      <c r="N29" s="5">
        <v>44082.0</v>
      </c>
      <c r="O29" s="1" t="s">
        <v>65</v>
      </c>
      <c r="P29" s="1" t="s">
        <v>29</v>
      </c>
      <c r="Q29" s="1" t="s">
        <v>925</v>
      </c>
      <c r="S29" s="1" t="s">
        <v>46</v>
      </c>
    </row>
    <row r="30">
      <c r="A30" s="1">
        <v>29.0</v>
      </c>
      <c r="B30" s="1" t="s">
        <v>927</v>
      </c>
      <c r="C30" s="1" t="s">
        <v>21</v>
      </c>
      <c r="D30" s="1">
        <v>19.0</v>
      </c>
      <c r="E30" s="1">
        <v>150.0</v>
      </c>
      <c r="F30" s="1">
        <v>0.8</v>
      </c>
      <c r="G30" s="1">
        <v>0.52</v>
      </c>
      <c r="H30" s="1" t="s">
        <v>779</v>
      </c>
      <c r="I30" s="4">
        <v>46234.227326388886</v>
      </c>
      <c r="J30" s="1" t="s">
        <v>50</v>
      </c>
      <c r="K30" s="1">
        <v>15000.0</v>
      </c>
      <c r="L30" s="1">
        <v>450.0</v>
      </c>
      <c r="M30" s="1">
        <v>500.0</v>
      </c>
      <c r="N30" s="5">
        <v>42256.0</v>
      </c>
      <c r="O30" s="1" t="s">
        <v>65</v>
      </c>
      <c r="P30" s="1" t="s">
        <v>29</v>
      </c>
      <c r="Q30" s="1" t="s">
        <v>933</v>
      </c>
      <c r="R30" s="1" t="s">
        <v>935</v>
      </c>
      <c r="S30" s="1" t="s">
        <v>34</v>
      </c>
    </row>
    <row r="31">
      <c r="A31" s="1">
        <v>30.0</v>
      </c>
      <c r="B31" s="1" t="s">
        <v>936</v>
      </c>
      <c r="C31" s="1" t="s">
        <v>21</v>
      </c>
      <c r="D31" s="1">
        <v>0.0</v>
      </c>
      <c r="E31" s="1">
        <v>150.0</v>
      </c>
      <c r="F31" s="1">
        <v>0.8</v>
      </c>
      <c r="H31" s="1" t="s">
        <v>938</v>
      </c>
      <c r="I31" s="4">
        <v>46212.33965277778</v>
      </c>
      <c r="J31" s="1" t="s">
        <v>939</v>
      </c>
      <c r="K31" s="1">
        <v>1700.0</v>
      </c>
      <c r="L31" s="1">
        <v>200.0</v>
      </c>
      <c r="M31" s="1">
        <v>200.0</v>
      </c>
      <c r="N31" s="5">
        <v>43846.0</v>
      </c>
      <c r="O31" s="1" t="s">
        <v>64</v>
      </c>
      <c r="P31" s="1" t="s">
        <v>29</v>
      </c>
      <c r="Q31" s="1" t="s">
        <v>942</v>
      </c>
      <c r="S31" s="1" t="s">
        <v>46</v>
      </c>
    </row>
    <row r="32">
      <c r="A32" s="1">
        <v>31.0</v>
      </c>
      <c r="B32" s="1" t="s">
        <v>945</v>
      </c>
      <c r="C32" s="1" t="s">
        <v>21</v>
      </c>
      <c r="D32" s="1">
        <v>0.0</v>
      </c>
      <c r="E32" s="1">
        <v>150.0</v>
      </c>
      <c r="F32" s="1">
        <v>1.3</v>
      </c>
      <c r="G32" s="1">
        <v>1.28</v>
      </c>
      <c r="H32" s="1" t="s">
        <v>945</v>
      </c>
      <c r="I32" s="4">
        <v>46202.805393518516</v>
      </c>
      <c r="J32" s="1" t="s">
        <v>40</v>
      </c>
      <c r="K32" s="1">
        <v>200.0</v>
      </c>
      <c r="L32" s="1">
        <v>100.0</v>
      </c>
      <c r="M32" s="1">
        <v>100.0</v>
      </c>
      <c r="N32" s="5">
        <v>42296.0</v>
      </c>
      <c r="O32" s="1" t="s">
        <v>65</v>
      </c>
      <c r="P32" s="1" t="s">
        <v>29</v>
      </c>
      <c r="Q32" s="1" t="s">
        <v>952</v>
      </c>
      <c r="R32" s="1" t="s">
        <v>953</v>
      </c>
      <c r="S32" s="1" t="s">
        <v>46</v>
      </c>
    </row>
    <row r="33">
      <c r="A33" s="1">
        <v>32.0</v>
      </c>
      <c r="B33" s="1" t="s">
        <v>956</v>
      </c>
      <c r="C33" s="1" t="s">
        <v>21</v>
      </c>
      <c r="D33" s="1">
        <v>11.0</v>
      </c>
      <c r="E33" s="1">
        <v>150.0</v>
      </c>
      <c r="F33" s="1">
        <v>1.4</v>
      </c>
      <c r="G33" s="1">
        <v>0.43</v>
      </c>
      <c r="H33" s="1" t="s">
        <v>720</v>
      </c>
      <c r="I33" s="4">
        <v>46218.28634259259</v>
      </c>
      <c r="J33" s="1" t="s">
        <v>40</v>
      </c>
      <c r="K33" s="1">
        <v>150.0</v>
      </c>
      <c r="L33" s="1">
        <v>70.0</v>
      </c>
      <c r="M33" s="1">
        <v>70.0</v>
      </c>
      <c r="N33" s="5">
        <v>42254.0</v>
      </c>
      <c r="O33" s="1" t="s">
        <v>65</v>
      </c>
      <c r="P33" s="1" t="s">
        <v>29</v>
      </c>
      <c r="Q33" s="1" t="s">
        <v>962</v>
      </c>
      <c r="R33" s="1" t="s">
        <v>963</v>
      </c>
      <c r="S33" s="1" t="s">
        <v>46</v>
      </c>
    </row>
    <row r="34">
      <c r="A34" s="1">
        <v>33.0</v>
      </c>
      <c r="B34" s="1" t="s">
        <v>966</v>
      </c>
      <c r="C34" s="1" t="s">
        <v>21</v>
      </c>
      <c r="D34" s="1">
        <v>0.0</v>
      </c>
      <c r="E34" s="1">
        <v>150.0</v>
      </c>
      <c r="F34" s="1">
        <v>0.2</v>
      </c>
      <c r="G34" s="1">
        <v>1.54</v>
      </c>
      <c r="H34" s="1" t="s">
        <v>966</v>
      </c>
      <c r="I34" s="4">
        <v>46210.344502314816</v>
      </c>
      <c r="J34" s="1" t="s">
        <v>970</v>
      </c>
      <c r="K34" s="1">
        <v>150.0</v>
      </c>
      <c r="L34" s="1">
        <v>100.0</v>
      </c>
      <c r="M34" s="1">
        <v>150.0</v>
      </c>
      <c r="N34" s="5">
        <v>42253.0</v>
      </c>
      <c r="O34" s="1" t="s">
        <v>65</v>
      </c>
      <c r="P34" s="1" t="s">
        <v>29</v>
      </c>
      <c r="Q34" s="1" t="s">
        <v>973</v>
      </c>
      <c r="R34" s="1" t="s">
        <v>974</v>
      </c>
      <c r="S34" s="1" t="s">
        <v>976</v>
      </c>
    </row>
    <row r="35">
      <c r="A35" s="1">
        <v>34.0</v>
      </c>
      <c r="B35" s="1" t="s">
        <v>39</v>
      </c>
      <c r="C35" s="1" t="s">
        <v>21</v>
      </c>
      <c r="D35" s="1">
        <v>1.0</v>
      </c>
      <c r="E35" s="1">
        <v>150.0</v>
      </c>
      <c r="F35" s="1">
        <v>1.3</v>
      </c>
      <c r="H35" s="1" t="s">
        <v>35</v>
      </c>
      <c r="I35" s="4">
        <v>46221.13612268519</v>
      </c>
      <c r="J35" s="1" t="s">
        <v>40</v>
      </c>
      <c r="K35" s="1">
        <v>29000.0</v>
      </c>
      <c r="L35" s="1">
        <v>20.0</v>
      </c>
      <c r="M35" s="1">
        <v>20.0</v>
      </c>
      <c r="N35" s="5">
        <v>42932.0</v>
      </c>
      <c r="O35" s="1" t="s">
        <v>27</v>
      </c>
      <c r="P35" s="1" t="s">
        <v>29</v>
      </c>
      <c r="Q35" s="1" t="s">
        <v>983</v>
      </c>
      <c r="S35" s="1" t="s">
        <v>46</v>
      </c>
    </row>
    <row r="36">
      <c r="A36" s="1">
        <v>35.0</v>
      </c>
      <c r="B36" s="1" t="s">
        <v>985</v>
      </c>
      <c r="C36" s="1" t="s">
        <v>21</v>
      </c>
      <c r="D36" s="1">
        <v>13.0</v>
      </c>
      <c r="E36" s="1">
        <v>100.0</v>
      </c>
      <c r="F36" s="1">
        <v>0.08</v>
      </c>
      <c r="H36" s="1" t="s">
        <v>781</v>
      </c>
      <c r="I36" s="4">
        <v>46224.258206018516</v>
      </c>
      <c r="J36" s="1" t="s">
        <v>40</v>
      </c>
      <c r="K36" s="1">
        <v>7400.0</v>
      </c>
      <c r="L36" s="1">
        <v>900.0</v>
      </c>
      <c r="M36" s="1">
        <v>1200.0</v>
      </c>
      <c r="N36" s="5">
        <v>42829.0</v>
      </c>
      <c r="O36" s="1" t="s">
        <v>27</v>
      </c>
      <c r="P36" s="1" t="s">
        <v>29</v>
      </c>
      <c r="Q36" s="1" t="s">
        <v>992</v>
      </c>
      <c r="S36" s="1" t="s">
        <v>34</v>
      </c>
    </row>
    <row r="37">
      <c r="A37" s="1">
        <v>36.0</v>
      </c>
      <c r="B37" s="1" t="s">
        <v>994</v>
      </c>
      <c r="C37" s="1" t="s">
        <v>21</v>
      </c>
      <c r="D37" s="1">
        <v>0.0</v>
      </c>
      <c r="E37" s="1">
        <v>100.0</v>
      </c>
      <c r="F37" s="1">
        <v>1.0</v>
      </c>
      <c r="H37" s="1" t="s">
        <v>779</v>
      </c>
      <c r="I37" s="4">
        <v>46222.369780092595</v>
      </c>
      <c r="J37" s="1" t="s">
        <v>40</v>
      </c>
      <c r="K37" s="1">
        <v>100.0</v>
      </c>
      <c r="L37" s="1">
        <v>10.0</v>
      </c>
      <c r="M37" s="1">
        <v>10.0</v>
      </c>
      <c r="N37" s="5">
        <v>42438.0</v>
      </c>
      <c r="O37" s="1" t="s">
        <v>64</v>
      </c>
      <c r="P37" s="1" t="s">
        <v>29</v>
      </c>
      <c r="Q37" s="1" t="s">
        <v>1000</v>
      </c>
      <c r="S37" s="1" t="s">
        <v>34</v>
      </c>
    </row>
    <row r="38">
      <c r="A38" s="1">
        <v>37.0</v>
      </c>
      <c r="B38" s="1" t="s">
        <v>1002</v>
      </c>
      <c r="C38" s="1" t="s">
        <v>21</v>
      </c>
      <c r="D38" s="1">
        <v>0.0</v>
      </c>
      <c r="E38" s="1">
        <v>100.0</v>
      </c>
      <c r="F38" s="1">
        <v>0.9</v>
      </c>
      <c r="H38" s="1" t="s">
        <v>1007</v>
      </c>
      <c r="I38" s="4">
        <v>46232.70685185185</v>
      </c>
      <c r="J38" s="1" t="s">
        <v>40</v>
      </c>
      <c r="K38" s="1">
        <v>100.0</v>
      </c>
      <c r="L38" s="1">
        <v>30.0</v>
      </c>
      <c r="M38" s="1">
        <v>30.0</v>
      </c>
      <c r="N38" s="5">
        <v>42468.0</v>
      </c>
      <c r="O38" s="1" t="s">
        <v>27</v>
      </c>
      <c r="P38" s="1" t="s">
        <v>29</v>
      </c>
      <c r="Q38" s="1" t="s">
        <v>1011</v>
      </c>
      <c r="S38" s="1" t="s">
        <v>34</v>
      </c>
    </row>
    <row r="39">
      <c r="A39" s="1">
        <v>38.0</v>
      </c>
      <c r="B39" s="1" t="s">
        <v>1012</v>
      </c>
      <c r="C39" s="1" t="s">
        <v>21</v>
      </c>
      <c r="D39" s="1">
        <v>35.0</v>
      </c>
      <c r="E39" s="1">
        <v>100.0</v>
      </c>
      <c r="F39" s="1">
        <v>0.6</v>
      </c>
      <c r="G39" s="1">
        <v>0.55</v>
      </c>
      <c r="H39" s="1" t="s">
        <v>1016</v>
      </c>
      <c r="I39" s="4">
        <v>46234.509375</v>
      </c>
      <c r="J39" s="1" t="s">
        <v>40</v>
      </c>
      <c r="K39" s="1">
        <v>100.0</v>
      </c>
      <c r="L39" s="1">
        <v>40.0</v>
      </c>
      <c r="M39" s="1">
        <v>40.0</v>
      </c>
      <c r="N39" s="5">
        <v>42417.0</v>
      </c>
      <c r="O39" s="1" t="s">
        <v>64</v>
      </c>
      <c r="P39" s="1" t="s">
        <v>29</v>
      </c>
      <c r="Q39" s="1" t="s">
        <v>1020</v>
      </c>
      <c r="S39" s="1" t="s">
        <v>34</v>
      </c>
    </row>
    <row r="40">
      <c r="A40" s="1">
        <v>39.0</v>
      </c>
      <c r="B40" s="1" t="s">
        <v>1022</v>
      </c>
      <c r="C40" s="1" t="s">
        <v>21</v>
      </c>
      <c r="D40" s="1">
        <v>0.0</v>
      </c>
      <c r="E40" s="1">
        <v>100.0</v>
      </c>
      <c r="F40" s="1">
        <v>0.15</v>
      </c>
      <c r="G40" s="1">
        <v>0.4</v>
      </c>
      <c r="H40" s="1" t="s">
        <v>1025</v>
      </c>
      <c r="I40" s="4">
        <v>46210.916666666664</v>
      </c>
      <c r="J40" s="1" t="s">
        <v>1027</v>
      </c>
      <c r="K40" s="1">
        <v>8900.0</v>
      </c>
      <c r="L40" s="1">
        <v>250.0</v>
      </c>
      <c r="M40" s="1">
        <v>250.0</v>
      </c>
      <c r="N40" s="5">
        <v>42287.0</v>
      </c>
      <c r="O40" s="1" t="s">
        <v>1029</v>
      </c>
      <c r="P40" s="1" t="s">
        <v>29</v>
      </c>
      <c r="Q40" s="1" t="s">
        <v>1031</v>
      </c>
      <c r="R40" s="1" t="s">
        <v>1032</v>
      </c>
      <c r="S40" s="1" t="s">
        <v>1033</v>
      </c>
    </row>
    <row r="41">
      <c r="A41" s="1">
        <v>40.0</v>
      </c>
      <c r="B41" s="1" t="s">
        <v>1034</v>
      </c>
      <c r="C41" s="1" t="s">
        <v>21</v>
      </c>
      <c r="D41" s="1">
        <v>24.0</v>
      </c>
      <c r="E41" s="1">
        <v>100.0</v>
      </c>
      <c r="F41" s="1">
        <v>0.4</v>
      </c>
      <c r="H41" s="1" t="s">
        <v>84</v>
      </c>
      <c r="I41" s="4">
        <v>46208.84013888889</v>
      </c>
      <c r="J41" s="1" t="s">
        <v>40</v>
      </c>
      <c r="K41" s="1">
        <v>150.0</v>
      </c>
      <c r="L41" s="1">
        <v>200.0</v>
      </c>
      <c r="M41" s="1">
        <v>200.0</v>
      </c>
      <c r="N41" s="5">
        <v>42282.0</v>
      </c>
      <c r="O41" s="1" t="s">
        <v>64</v>
      </c>
      <c r="P41" s="1" t="s">
        <v>29</v>
      </c>
      <c r="Q41" s="1" t="s">
        <v>1040</v>
      </c>
      <c r="S41" s="1" t="s">
        <v>34</v>
      </c>
    </row>
    <row r="42">
      <c r="A42" s="1">
        <v>41.0</v>
      </c>
      <c r="B42" s="1" t="s">
        <v>1042</v>
      </c>
      <c r="C42" s="1" t="s">
        <v>21</v>
      </c>
      <c r="D42" s="1">
        <v>40.0</v>
      </c>
      <c r="E42" s="1">
        <v>100.0</v>
      </c>
      <c r="F42" s="1">
        <v>0.4</v>
      </c>
      <c r="H42" s="1" t="s">
        <v>47</v>
      </c>
      <c r="I42" s="4">
        <v>46229.95581018519</v>
      </c>
      <c r="J42" s="1" t="s">
        <v>40</v>
      </c>
      <c r="K42" s="1">
        <v>5800.0</v>
      </c>
      <c r="L42" s="1">
        <v>150.0</v>
      </c>
      <c r="M42" s="1">
        <v>150.0</v>
      </c>
      <c r="N42" s="5">
        <v>42254.0</v>
      </c>
      <c r="O42" s="1" t="s">
        <v>64</v>
      </c>
      <c r="P42" s="1" t="s">
        <v>29</v>
      </c>
      <c r="Q42" s="1" t="s">
        <v>1047</v>
      </c>
      <c r="S42" s="1" t="s">
        <v>34</v>
      </c>
    </row>
    <row r="43">
      <c r="A43" s="1">
        <v>42.0</v>
      </c>
      <c r="B43" s="1" t="s">
        <v>89</v>
      </c>
      <c r="C43" s="1" t="s">
        <v>21</v>
      </c>
      <c r="D43" s="1">
        <v>3.0</v>
      </c>
      <c r="E43" s="1">
        <v>100.0</v>
      </c>
      <c r="F43" s="1">
        <v>0.4</v>
      </c>
      <c r="H43" s="1" t="s">
        <v>84</v>
      </c>
      <c r="I43" s="4">
        <v>46237.21773148148</v>
      </c>
      <c r="J43" s="1" t="s">
        <v>1052</v>
      </c>
      <c r="K43" s="1">
        <v>4900.0</v>
      </c>
      <c r="L43" s="1">
        <v>150.0</v>
      </c>
      <c r="M43" s="1">
        <v>150.0</v>
      </c>
      <c r="N43" s="5">
        <v>44499.0</v>
      </c>
      <c r="O43" s="1" t="s">
        <v>64</v>
      </c>
      <c r="P43" s="1" t="s">
        <v>29</v>
      </c>
      <c r="Q43" s="1" t="s">
        <v>1055</v>
      </c>
      <c r="S43" s="1" t="s">
        <v>46</v>
      </c>
    </row>
    <row r="44">
      <c r="A44" s="1">
        <v>43.0</v>
      </c>
      <c r="B44" s="1" t="s">
        <v>1056</v>
      </c>
      <c r="C44" s="1" t="s">
        <v>21</v>
      </c>
      <c r="D44" s="1">
        <v>2.0</v>
      </c>
      <c r="E44" s="1">
        <v>100.0</v>
      </c>
      <c r="F44" s="1">
        <v>0.6</v>
      </c>
      <c r="H44" s="1" t="s">
        <v>84</v>
      </c>
      <c r="I44" s="4">
        <v>46214.83237268519</v>
      </c>
      <c r="J44" s="1" t="s">
        <v>40</v>
      </c>
      <c r="K44" s="1">
        <v>80000.0</v>
      </c>
      <c r="L44" s="1">
        <v>450.0</v>
      </c>
      <c r="M44" s="1">
        <v>500.0</v>
      </c>
      <c r="N44" s="5">
        <v>42258.0</v>
      </c>
      <c r="O44" s="1" t="s">
        <v>1059</v>
      </c>
      <c r="P44" s="1" t="s">
        <v>29</v>
      </c>
      <c r="Q44" s="1" t="s">
        <v>1061</v>
      </c>
      <c r="S44" s="1" t="s">
        <v>46</v>
      </c>
    </row>
    <row r="45">
      <c r="A45" s="1">
        <v>44.0</v>
      </c>
      <c r="B45" s="1" t="s">
        <v>1062</v>
      </c>
      <c r="C45" s="1" t="s">
        <v>21</v>
      </c>
      <c r="D45" s="1">
        <v>6.0</v>
      </c>
      <c r="E45" s="1">
        <v>100.0</v>
      </c>
      <c r="F45" s="1">
        <v>0.6</v>
      </c>
      <c r="G45" s="1">
        <v>0.94</v>
      </c>
      <c r="H45" s="1" t="s">
        <v>20</v>
      </c>
      <c r="I45" s="4">
        <v>46200.60208333333</v>
      </c>
      <c r="J45" s="1" t="s">
        <v>40</v>
      </c>
      <c r="K45" s="1">
        <v>100.0</v>
      </c>
      <c r="L45" s="1">
        <v>90.0</v>
      </c>
      <c r="M45" s="1">
        <v>100.0</v>
      </c>
      <c r="N45" s="5">
        <v>42300.0</v>
      </c>
      <c r="O45" s="1" t="s">
        <v>64</v>
      </c>
      <c r="P45" s="1" t="s">
        <v>29</v>
      </c>
      <c r="Q45" s="1" t="s">
        <v>1068</v>
      </c>
      <c r="S45" s="1" t="s">
        <v>34</v>
      </c>
    </row>
    <row r="46">
      <c r="A46" s="1">
        <v>45.0</v>
      </c>
      <c r="B46" s="1" t="s">
        <v>1071</v>
      </c>
      <c r="C46" s="1" t="s">
        <v>21</v>
      </c>
      <c r="D46" s="1">
        <v>17.0</v>
      </c>
      <c r="E46" s="1">
        <v>100.0</v>
      </c>
      <c r="F46" s="1">
        <v>0.3</v>
      </c>
      <c r="H46" s="1" t="s">
        <v>770</v>
      </c>
      <c r="I46" s="4">
        <v>46228.00738425926</v>
      </c>
      <c r="J46" s="1" t="s">
        <v>40</v>
      </c>
      <c r="K46" s="1">
        <v>81000.0</v>
      </c>
      <c r="L46" s="1">
        <v>500.0</v>
      </c>
      <c r="M46" s="1">
        <v>500.0</v>
      </c>
      <c r="N46" s="5">
        <v>43612.0</v>
      </c>
      <c r="O46" s="1" t="s">
        <v>27</v>
      </c>
      <c r="P46" s="1" t="s">
        <v>29</v>
      </c>
      <c r="Q46" s="1" t="s">
        <v>1074</v>
      </c>
      <c r="S46" s="1" t="s">
        <v>34</v>
      </c>
    </row>
    <row r="47">
      <c r="A47" s="1">
        <v>46.0</v>
      </c>
      <c r="B47" s="1" t="s">
        <v>1076</v>
      </c>
      <c r="C47" s="1" t="s">
        <v>21</v>
      </c>
      <c r="D47" s="1">
        <v>0.0</v>
      </c>
      <c r="E47" s="1">
        <v>100.0</v>
      </c>
      <c r="F47" s="1">
        <v>0.5</v>
      </c>
      <c r="G47" s="1">
        <v>0.91</v>
      </c>
      <c r="H47" s="1" t="s">
        <v>1076</v>
      </c>
      <c r="I47" s="4">
        <v>46226.79881944445</v>
      </c>
      <c r="J47" s="1" t="s">
        <v>1078</v>
      </c>
      <c r="K47" s="1">
        <v>100.0</v>
      </c>
      <c r="L47" s="1">
        <v>60.0</v>
      </c>
      <c r="M47" s="1">
        <v>60.0</v>
      </c>
      <c r="N47" s="5">
        <v>43108.0</v>
      </c>
      <c r="O47" s="1" t="s">
        <v>1029</v>
      </c>
      <c r="P47" s="1" t="s">
        <v>29</v>
      </c>
      <c r="Q47" s="1" t="s">
        <v>1081</v>
      </c>
      <c r="R47" s="1" t="s">
        <v>1082</v>
      </c>
      <c r="S47" s="1" t="s">
        <v>1083</v>
      </c>
    </row>
    <row r="48">
      <c r="A48" s="1">
        <v>47.0</v>
      </c>
      <c r="B48" s="1" t="s">
        <v>1084</v>
      </c>
      <c r="C48" s="1" t="s">
        <v>21</v>
      </c>
      <c r="D48" s="1">
        <v>18.0</v>
      </c>
      <c r="E48" s="1">
        <v>100.0</v>
      </c>
      <c r="F48" s="1">
        <v>0.6</v>
      </c>
      <c r="H48" s="1" t="s">
        <v>71</v>
      </c>
      <c r="I48" s="4">
        <v>46219.44086805556</v>
      </c>
      <c r="J48" s="1" t="s">
        <v>40</v>
      </c>
      <c r="K48" s="1">
        <v>150.0</v>
      </c>
      <c r="L48" s="1">
        <v>500.0</v>
      </c>
      <c r="M48" s="1">
        <v>500.0</v>
      </c>
      <c r="N48" s="5">
        <v>42439.0</v>
      </c>
      <c r="O48" s="1" t="s">
        <v>65</v>
      </c>
      <c r="P48" s="1" t="s">
        <v>29</v>
      </c>
      <c r="Q48" s="1" t="s">
        <v>1089</v>
      </c>
      <c r="S48" s="1" t="s">
        <v>46</v>
      </c>
    </row>
    <row r="49">
      <c r="A49" s="1">
        <v>48.0</v>
      </c>
      <c r="B49" s="1" t="s">
        <v>1091</v>
      </c>
      <c r="C49" s="1" t="s">
        <v>21</v>
      </c>
      <c r="D49" s="1">
        <v>0.0</v>
      </c>
      <c r="E49" s="1">
        <v>90.0</v>
      </c>
      <c r="F49" s="1">
        <v>0.35</v>
      </c>
      <c r="H49" s="1" t="s">
        <v>1091</v>
      </c>
      <c r="I49" s="4">
        <v>46213.309479166666</v>
      </c>
      <c r="J49" s="1" t="s">
        <v>1095</v>
      </c>
      <c r="K49" s="1">
        <v>100.0</v>
      </c>
      <c r="L49" s="1">
        <v>40.0</v>
      </c>
      <c r="M49" s="1">
        <v>40.0</v>
      </c>
      <c r="N49" s="5">
        <v>42265.0</v>
      </c>
      <c r="O49" s="1" t="s">
        <v>1098</v>
      </c>
      <c r="P49" s="1" t="s">
        <v>29</v>
      </c>
      <c r="Q49" s="1" t="s">
        <v>1099</v>
      </c>
      <c r="S49" s="1" t="s">
        <v>34</v>
      </c>
    </row>
    <row r="50">
      <c r="A50" s="1">
        <v>49.0</v>
      </c>
      <c r="B50" s="1" t="s">
        <v>1101</v>
      </c>
      <c r="C50" s="1" t="s">
        <v>21</v>
      </c>
      <c r="D50" s="1">
        <v>0.0</v>
      </c>
      <c r="E50" s="1">
        <v>90.0</v>
      </c>
      <c r="F50" s="1">
        <v>1.0</v>
      </c>
      <c r="H50" s="1" t="s">
        <v>19</v>
      </c>
      <c r="I50" s="4">
        <v>46232.859618055554</v>
      </c>
      <c r="J50" s="1" t="s">
        <v>855</v>
      </c>
      <c r="K50" s="1">
        <v>90.0</v>
      </c>
      <c r="L50" s="1">
        <v>100.0</v>
      </c>
      <c r="M50" s="1">
        <v>100.0</v>
      </c>
      <c r="N50" s="5">
        <v>43845.0</v>
      </c>
      <c r="O50" s="1" t="s">
        <v>64</v>
      </c>
      <c r="P50" s="1" t="s">
        <v>29</v>
      </c>
      <c r="Q50" s="1" t="s">
        <v>1107</v>
      </c>
      <c r="S50" s="1" t="s">
        <v>46</v>
      </c>
    </row>
    <row r="51">
      <c r="A51" s="1">
        <v>50.0</v>
      </c>
      <c r="B51" s="1" t="s">
        <v>1110</v>
      </c>
      <c r="C51" s="1" t="s">
        <v>21</v>
      </c>
      <c r="D51" s="1">
        <v>0.0</v>
      </c>
      <c r="E51" s="1">
        <v>90.0</v>
      </c>
      <c r="F51" s="1">
        <v>1.0</v>
      </c>
      <c r="H51" s="1" t="s">
        <v>19</v>
      </c>
      <c r="I51" s="4">
        <v>46235.72589120371</v>
      </c>
      <c r="J51" s="1" t="s">
        <v>1113</v>
      </c>
      <c r="K51" s="1">
        <v>100.0</v>
      </c>
      <c r="L51" s="1">
        <v>10.0</v>
      </c>
      <c r="M51" s="1">
        <v>10.0</v>
      </c>
      <c r="N51" s="5">
        <v>42592.0</v>
      </c>
      <c r="O51" s="1" t="s">
        <v>64</v>
      </c>
      <c r="P51" s="1" t="s">
        <v>29</v>
      </c>
      <c r="Q51" s="1" t="s">
        <v>1116</v>
      </c>
      <c r="S51" s="1" t="s">
        <v>34</v>
      </c>
    </row>
    <row r="52">
      <c r="A52" s="1">
        <v>51.0</v>
      </c>
      <c r="B52" s="1" t="s">
        <v>1118</v>
      </c>
      <c r="C52" s="1" t="s">
        <v>21</v>
      </c>
      <c r="D52" s="1">
        <v>31.0</v>
      </c>
      <c r="E52" s="1">
        <v>90.0</v>
      </c>
      <c r="F52" s="1">
        <v>0.7</v>
      </c>
      <c r="G52" s="1">
        <v>0.97</v>
      </c>
      <c r="H52" s="1" t="s">
        <v>770</v>
      </c>
      <c r="I52" s="4">
        <v>46211.27212962963</v>
      </c>
      <c r="J52" s="1" t="s">
        <v>1113</v>
      </c>
      <c r="K52" s="1">
        <v>100.0</v>
      </c>
      <c r="L52" s="1">
        <v>300.0</v>
      </c>
      <c r="M52" s="1">
        <v>300.0</v>
      </c>
      <c r="N52" s="5">
        <v>42278.0</v>
      </c>
      <c r="O52" s="1" t="s">
        <v>64</v>
      </c>
      <c r="P52" s="1" t="s">
        <v>29</v>
      </c>
      <c r="Q52" s="1" t="s">
        <v>1125</v>
      </c>
      <c r="R52" s="1" t="s">
        <v>1127</v>
      </c>
      <c r="S52" s="1" t="s">
        <v>34</v>
      </c>
    </row>
    <row r="53">
      <c r="A53" s="1">
        <v>52.0</v>
      </c>
      <c r="B53" s="1" t="s">
        <v>1129</v>
      </c>
      <c r="C53" s="1" t="s">
        <v>21</v>
      </c>
      <c r="D53" s="1">
        <v>24.0</v>
      </c>
      <c r="E53" s="1">
        <v>90.0</v>
      </c>
      <c r="H53" s="1" t="s">
        <v>838</v>
      </c>
      <c r="I53" s="4">
        <v>46208.18415509259</v>
      </c>
      <c r="J53" s="1" t="s">
        <v>40</v>
      </c>
      <c r="K53" s="1">
        <v>90.0</v>
      </c>
      <c r="L53" s="1">
        <v>150.0</v>
      </c>
      <c r="M53" s="1">
        <v>200.0</v>
      </c>
      <c r="N53" s="5">
        <v>42352.0</v>
      </c>
      <c r="O53" s="1" t="s">
        <v>64</v>
      </c>
      <c r="P53" s="1" t="s">
        <v>29</v>
      </c>
      <c r="Q53" s="1" t="s">
        <v>1134</v>
      </c>
      <c r="S53" s="1" t="s">
        <v>34</v>
      </c>
    </row>
    <row r="54">
      <c r="A54" s="1">
        <v>53.0</v>
      </c>
      <c r="B54" s="1" t="s">
        <v>1137</v>
      </c>
      <c r="C54" s="1" t="s">
        <v>21</v>
      </c>
      <c r="D54" s="1">
        <v>1.0</v>
      </c>
      <c r="E54" s="1">
        <v>90.0</v>
      </c>
      <c r="H54" s="1" t="s">
        <v>1137</v>
      </c>
      <c r="I54" s="4">
        <v>46229.66584490741</v>
      </c>
      <c r="J54" s="1" t="s">
        <v>40</v>
      </c>
      <c r="K54" s="1">
        <v>90.0</v>
      </c>
      <c r="L54" s="1">
        <v>30.0</v>
      </c>
      <c r="M54" s="1">
        <v>30.0</v>
      </c>
      <c r="N54" s="5">
        <v>42617.0</v>
      </c>
      <c r="O54" s="1" t="s">
        <v>27</v>
      </c>
      <c r="P54" s="1" t="s">
        <v>29</v>
      </c>
      <c r="Q54" s="1" t="s">
        <v>1142</v>
      </c>
      <c r="S54" s="1" t="s">
        <v>46</v>
      </c>
    </row>
    <row r="55">
      <c r="A55" s="1">
        <v>54.0</v>
      </c>
      <c r="B55" s="1" t="s">
        <v>1145</v>
      </c>
      <c r="C55" s="1" t="s">
        <v>21</v>
      </c>
      <c r="D55" s="1">
        <v>0.0</v>
      </c>
      <c r="E55" s="1">
        <v>80.0</v>
      </c>
      <c r="F55" s="1">
        <v>1.0</v>
      </c>
      <c r="G55" s="1">
        <v>0.56</v>
      </c>
      <c r="H55" s="1" t="s">
        <v>1148</v>
      </c>
      <c r="I55" s="4">
        <v>46236.937997685185</v>
      </c>
      <c r="J55" s="1" t="s">
        <v>40</v>
      </c>
      <c r="K55" s="1">
        <v>80.0</v>
      </c>
      <c r="L55" s="1">
        <v>50.0</v>
      </c>
      <c r="M55" s="1">
        <v>50.0</v>
      </c>
      <c r="N55" s="5">
        <v>42275.0</v>
      </c>
      <c r="O55" s="1" t="s">
        <v>64</v>
      </c>
      <c r="P55" s="1" t="s">
        <v>29</v>
      </c>
      <c r="Q55" s="1" t="s">
        <v>1152</v>
      </c>
      <c r="S55" s="1" t="s">
        <v>34</v>
      </c>
    </row>
    <row r="56">
      <c r="A56" s="1">
        <v>55.0</v>
      </c>
      <c r="B56" s="1" t="s">
        <v>1154</v>
      </c>
      <c r="C56" s="1" t="s">
        <v>21</v>
      </c>
      <c r="D56" s="1">
        <v>0.0</v>
      </c>
      <c r="E56" s="1">
        <v>80.0</v>
      </c>
      <c r="F56" s="1">
        <v>0.8</v>
      </c>
      <c r="H56" s="1" t="s">
        <v>1154</v>
      </c>
      <c r="I56" s="4">
        <v>46226.016550925924</v>
      </c>
      <c r="J56" s="1" t="s">
        <v>939</v>
      </c>
      <c r="K56" s="1">
        <v>3200.0</v>
      </c>
      <c r="L56" s="1">
        <v>20.0</v>
      </c>
      <c r="M56" s="1">
        <v>20.0</v>
      </c>
      <c r="N56" s="5">
        <v>42640.0</v>
      </c>
      <c r="O56" s="1" t="s">
        <v>65</v>
      </c>
      <c r="P56" s="1" t="s">
        <v>29</v>
      </c>
      <c r="Q56" s="1" t="s">
        <v>1161</v>
      </c>
      <c r="S56" s="1" t="s">
        <v>46</v>
      </c>
    </row>
    <row r="57">
      <c r="A57" s="1">
        <v>56.0</v>
      </c>
      <c r="B57" s="1" t="s">
        <v>1164</v>
      </c>
      <c r="C57" s="1" t="s">
        <v>21</v>
      </c>
      <c r="D57" s="1">
        <v>0.0</v>
      </c>
      <c r="E57" s="1">
        <v>80.0</v>
      </c>
      <c r="F57" s="1">
        <v>0.8</v>
      </c>
      <c r="H57" s="1" t="s">
        <v>755</v>
      </c>
      <c r="I57" s="4">
        <v>46227.68050925926</v>
      </c>
      <c r="J57" s="1" t="s">
        <v>50</v>
      </c>
      <c r="K57" s="1">
        <v>9100.0</v>
      </c>
      <c r="L57" s="1">
        <v>100.0</v>
      </c>
      <c r="M57" s="1">
        <v>100.0</v>
      </c>
      <c r="N57" s="5">
        <v>42255.0</v>
      </c>
      <c r="O57" s="1" t="s">
        <v>64</v>
      </c>
      <c r="P57" s="1" t="s">
        <v>29</v>
      </c>
      <c r="Q57" s="1" t="s">
        <v>1170</v>
      </c>
      <c r="S57" s="1" t="s">
        <v>46</v>
      </c>
    </row>
    <row r="58">
      <c r="A58" s="1">
        <v>57.0</v>
      </c>
      <c r="B58" s="1" t="s">
        <v>69</v>
      </c>
      <c r="C58" s="1" t="s">
        <v>21</v>
      </c>
      <c r="D58" s="1">
        <v>0.0</v>
      </c>
      <c r="E58" s="1">
        <v>80.0</v>
      </c>
      <c r="F58" s="1">
        <v>0.6</v>
      </c>
      <c r="H58" s="1" t="s">
        <v>69</v>
      </c>
      <c r="I58" s="4">
        <v>46230.61384259259</v>
      </c>
      <c r="J58" s="1" t="s">
        <v>40</v>
      </c>
      <c r="K58" s="1">
        <v>4700.0</v>
      </c>
      <c r="L58" s="1">
        <v>20.0</v>
      </c>
      <c r="M58" s="1">
        <v>20.0</v>
      </c>
      <c r="N58" s="5">
        <v>43889.0</v>
      </c>
      <c r="O58" s="1" t="s">
        <v>64</v>
      </c>
      <c r="P58" s="1" t="s">
        <v>29</v>
      </c>
      <c r="Q58" s="1" t="s">
        <v>73</v>
      </c>
      <c r="S58" s="1" t="s">
        <v>34</v>
      </c>
    </row>
    <row r="59">
      <c r="A59" s="1">
        <v>58.0</v>
      </c>
      <c r="B59" s="1" t="s">
        <v>1148</v>
      </c>
      <c r="C59" s="1" t="s">
        <v>21</v>
      </c>
      <c r="D59" s="1">
        <v>0.0</v>
      </c>
      <c r="E59" s="1">
        <v>80.0</v>
      </c>
      <c r="F59" s="1">
        <v>0.6</v>
      </c>
      <c r="H59" s="1" t="s">
        <v>1148</v>
      </c>
      <c r="I59" s="4">
        <v>46233.43517361111</v>
      </c>
      <c r="J59" s="1" t="s">
        <v>1181</v>
      </c>
      <c r="K59" s="1">
        <v>80.0</v>
      </c>
      <c r="L59" s="1">
        <v>50.0</v>
      </c>
      <c r="M59" s="1">
        <v>50.0</v>
      </c>
      <c r="N59" s="5">
        <v>42310.0</v>
      </c>
      <c r="O59" s="1" t="s">
        <v>64</v>
      </c>
      <c r="P59" s="1" t="s">
        <v>29</v>
      </c>
      <c r="Q59" s="1" t="s">
        <v>1186</v>
      </c>
      <c r="S59" s="1" t="s">
        <v>34</v>
      </c>
    </row>
    <row r="60">
      <c r="A60" s="1">
        <v>59.0</v>
      </c>
      <c r="B60" s="1" t="s">
        <v>1188</v>
      </c>
      <c r="C60" s="1" t="s">
        <v>21</v>
      </c>
      <c r="D60" s="1">
        <v>0.0</v>
      </c>
      <c r="E60" s="1">
        <v>80.0</v>
      </c>
      <c r="F60" s="1">
        <v>0.8</v>
      </c>
      <c r="H60" s="1" t="s">
        <v>688</v>
      </c>
      <c r="I60" s="4">
        <v>46206.087233796294</v>
      </c>
      <c r="J60" s="1" t="s">
        <v>50</v>
      </c>
      <c r="K60" s="1">
        <v>65000.0</v>
      </c>
      <c r="L60" s="1">
        <v>250.0</v>
      </c>
      <c r="M60" s="1">
        <v>250.0</v>
      </c>
      <c r="N60" s="5">
        <v>43868.0</v>
      </c>
      <c r="O60" s="1" t="s">
        <v>27</v>
      </c>
      <c r="P60" s="1" t="s">
        <v>29</v>
      </c>
      <c r="Q60" s="1" t="s">
        <v>1193</v>
      </c>
      <c r="S60" s="1" t="s">
        <v>46</v>
      </c>
    </row>
    <row r="61">
      <c r="A61" s="1">
        <v>60.0</v>
      </c>
      <c r="B61" s="1" t="s">
        <v>1195</v>
      </c>
      <c r="C61" s="1" t="s">
        <v>21</v>
      </c>
      <c r="D61" s="1">
        <v>0.0</v>
      </c>
      <c r="E61" s="1">
        <v>80.0</v>
      </c>
      <c r="F61" s="1">
        <v>0.7</v>
      </c>
      <c r="H61" s="1" t="s">
        <v>1110</v>
      </c>
      <c r="I61" s="4">
        <v>46221.22709490741</v>
      </c>
      <c r="J61" s="1" t="s">
        <v>40</v>
      </c>
      <c r="K61" s="1">
        <v>100.0</v>
      </c>
      <c r="L61" s="1">
        <v>20.0</v>
      </c>
      <c r="M61" s="1">
        <v>20.0</v>
      </c>
      <c r="N61" s="5">
        <v>42510.0</v>
      </c>
      <c r="O61" s="1" t="s">
        <v>65</v>
      </c>
      <c r="P61" s="1" t="s">
        <v>29</v>
      </c>
      <c r="Q61" s="1" t="s">
        <v>1199</v>
      </c>
      <c r="S61" s="1" t="s">
        <v>46</v>
      </c>
    </row>
    <row r="62">
      <c r="A62" s="1">
        <v>61.0</v>
      </c>
      <c r="B62" s="1" t="s">
        <v>1201</v>
      </c>
      <c r="C62" s="1" t="s">
        <v>21</v>
      </c>
      <c r="D62" s="1">
        <v>15.0</v>
      </c>
      <c r="E62" s="1">
        <v>70.0</v>
      </c>
      <c r="F62" s="1">
        <v>1.4</v>
      </c>
      <c r="G62" s="1">
        <v>1.24</v>
      </c>
      <c r="H62" s="1" t="s">
        <v>720</v>
      </c>
      <c r="I62" s="4">
        <v>46237.18340277778</v>
      </c>
      <c r="J62" s="1" t="s">
        <v>40</v>
      </c>
      <c r="K62" s="1">
        <v>70.0</v>
      </c>
      <c r="L62" s="1">
        <v>150.0</v>
      </c>
      <c r="M62" s="1">
        <v>150.0</v>
      </c>
      <c r="N62" s="5">
        <v>42254.0</v>
      </c>
      <c r="O62" s="1" t="s">
        <v>64</v>
      </c>
      <c r="P62" s="1" t="s">
        <v>29</v>
      </c>
      <c r="Q62" s="1" t="s">
        <v>1208</v>
      </c>
      <c r="R62" s="1" t="s">
        <v>1209</v>
      </c>
      <c r="S62" s="1" t="s">
        <v>34</v>
      </c>
    </row>
    <row r="63">
      <c r="A63" s="1">
        <v>62.0</v>
      </c>
      <c r="B63" s="1" t="s">
        <v>75</v>
      </c>
      <c r="C63" s="1" t="s">
        <v>21</v>
      </c>
      <c r="D63" s="1">
        <v>13.0</v>
      </c>
      <c r="E63" s="1">
        <v>70.0</v>
      </c>
      <c r="F63" s="1">
        <v>1.0</v>
      </c>
      <c r="H63" s="1" t="s">
        <v>76</v>
      </c>
      <c r="I63" s="4">
        <v>46228.50609953704</v>
      </c>
      <c r="J63" s="1" t="s">
        <v>40</v>
      </c>
      <c r="K63" s="1">
        <v>3900.0</v>
      </c>
      <c r="L63" s="1">
        <v>11000.0</v>
      </c>
      <c r="M63" s="1">
        <v>11000.0</v>
      </c>
      <c r="N63" s="5">
        <v>42718.0</v>
      </c>
      <c r="O63" s="1" t="s">
        <v>65</v>
      </c>
      <c r="P63" s="1" t="s">
        <v>29</v>
      </c>
      <c r="Q63" s="1" t="s">
        <v>79</v>
      </c>
      <c r="S63" s="1" t="s">
        <v>34</v>
      </c>
    </row>
    <row r="64">
      <c r="A64" s="1">
        <v>63.0</v>
      </c>
      <c r="B64" s="1" t="s">
        <v>1218</v>
      </c>
      <c r="C64" s="1" t="s">
        <v>21</v>
      </c>
      <c r="D64" s="1">
        <v>2.0</v>
      </c>
      <c r="E64" s="1">
        <v>70.0</v>
      </c>
      <c r="F64" s="1">
        <v>0.6</v>
      </c>
      <c r="H64" s="1" t="s">
        <v>84</v>
      </c>
      <c r="I64" s="4">
        <v>46226.92049768518</v>
      </c>
      <c r="J64" s="1" t="s">
        <v>40</v>
      </c>
      <c r="K64" s="1">
        <v>80.0</v>
      </c>
      <c r="L64" s="1">
        <v>30.0</v>
      </c>
      <c r="M64" s="1">
        <v>30.0</v>
      </c>
      <c r="N64" s="5">
        <v>44196.0</v>
      </c>
      <c r="O64" s="1" t="s">
        <v>64</v>
      </c>
      <c r="P64" s="1" t="s">
        <v>29</v>
      </c>
      <c r="Q64" s="1" t="s">
        <v>1223</v>
      </c>
      <c r="S64" s="1" t="s">
        <v>46</v>
      </c>
    </row>
    <row r="65">
      <c r="A65" s="1">
        <v>64.0</v>
      </c>
      <c r="B65" s="1" t="s">
        <v>1226</v>
      </c>
      <c r="C65" s="1" t="s">
        <v>21</v>
      </c>
      <c r="D65" s="1">
        <v>0.0</v>
      </c>
      <c r="E65" s="1">
        <v>70.0</v>
      </c>
      <c r="F65" s="1">
        <v>1.0</v>
      </c>
      <c r="G65" s="1">
        <v>0.63</v>
      </c>
      <c r="H65" s="1" t="s">
        <v>1229</v>
      </c>
      <c r="I65" s="4">
        <v>46205.948217592595</v>
      </c>
      <c r="J65" s="1" t="s">
        <v>1052</v>
      </c>
      <c r="K65" s="1">
        <v>80.0</v>
      </c>
      <c r="L65" s="1">
        <v>50.0</v>
      </c>
      <c r="M65" s="1">
        <v>50.0</v>
      </c>
      <c r="N65" s="5">
        <v>42250.0</v>
      </c>
      <c r="O65" s="1" t="s">
        <v>64</v>
      </c>
      <c r="P65" s="1" t="s">
        <v>29</v>
      </c>
      <c r="Q65" s="1" t="s">
        <v>1234</v>
      </c>
      <c r="S65" s="1" t="s">
        <v>34</v>
      </c>
    </row>
    <row r="66">
      <c r="A66" s="1">
        <v>65.0</v>
      </c>
      <c r="B66" s="1" t="s">
        <v>1016</v>
      </c>
      <c r="C66" s="1" t="s">
        <v>21</v>
      </c>
      <c r="D66" s="1">
        <v>22.0</v>
      </c>
      <c r="E66" s="1">
        <v>70.0</v>
      </c>
      <c r="F66" s="1">
        <v>0.6</v>
      </c>
      <c r="H66" s="1" t="s">
        <v>71</v>
      </c>
      <c r="I66" s="4">
        <v>46211.99319444445</v>
      </c>
      <c r="J66" s="1" t="s">
        <v>40</v>
      </c>
      <c r="K66" s="1">
        <v>70.0</v>
      </c>
      <c r="L66" s="1">
        <v>450.0</v>
      </c>
      <c r="M66" s="1">
        <v>500.0</v>
      </c>
      <c r="N66" s="5">
        <v>42562.0</v>
      </c>
      <c r="O66" s="1" t="s">
        <v>64</v>
      </c>
      <c r="P66" s="1" t="s">
        <v>29</v>
      </c>
      <c r="Q66" s="1" t="s">
        <v>1241</v>
      </c>
      <c r="S66" s="1" t="s">
        <v>34</v>
      </c>
    </row>
    <row r="67">
      <c r="A67" s="1">
        <v>66.0</v>
      </c>
      <c r="B67" s="1" t="s">
        <v>1243</v>
      </c>
      <c r="C67" s="1" t="s">
        <v>21</v>
      </c>
      <c r="D67" s="1">
        <v>0.0</v>
      </c>
      <c r="E67" s="1">
        <v>70.0</v>
      </c>
      <c r="F67" s="1">
        <v>1.4</v>
      </c>
      <c r="G67" s="1">
        <v>0.63</v>
      </c>
      <c r="H67" s="1" t="s">
        <v>688</v>
      </c>
      <c r="I67" s="4">
        <v>46206.756574074076</v>
      </c>
      <c r="J67" s="1" t="s">
        <v>40</v>
      </c>
      <c r="K67" s="1">
        <v>14000.0</v>
      </c>
      <c r="L67" s="1">
        <v>250.0</v>
      </c>
      <c r="M67" s="1">
        <v>250.0</v>
      </c>
      <c r="N67" s="5">
        <v>42289.0</v>
      </c>
      <c r="O67" s="1" t="s">
        <v>64</v>
      </c>
      <c r="P67" s="1" t="s">
        <v>29</v>
      </c>
      <c r="Q67" s="1" t="s">
        <v>1250</v>
      </c>
      <c r="R67" s="1" t="s">
        <v>1252</v>
      </c>
      <c r="S67" s="1" t="s">
        <v>46</v>
      </c>
    </row>
    <row r="68">
      <c r="A68" s="1">
        <v>67.0</v>
      </c>
      <c r="B68" s="1" t="s">
        <v>1254</v>
      </c>
      <c r="C68" s="1" t="s">
        <v>21</v>
      </c>
      <c r="D68" s="1">
        <v>12.0</v>
      </c>
      <c r="E68" s="1">
        <v>70.0</v>
      </c>
      <c r="H68" s="1" t="s">
        <v>770</v>
      </c>
      <c r="I68" s="4">
        <v>46219.06949074074</v>
      </c>
      <c r="J68" s="1" t="s">
        <v>40</v>
      </c>
      <c r="K68" s="1">
        <v>80.0</v>
      </c>
      <c r="L68" s="1">
        <v>450.0</v>
      </c>
      <c r="M68" s="1">
        <v>450.0</v>
      </c>
      <c r="N68" s="5">
        <v>42275.0</v>
      </c>
      <c r="O68" s="1" t="s">
        <v>65</v>
      </c>
      <c r="P68" s="1" t="s">
        <v>29</v>
      </c>
      <c r="Q68" s="1" t="s">
        <v>1258</v>
      </c>
      <c r="S68" s="1" t="s">
        <v>46</v>
      </c>
    </row>
    <row r="69">
      <c r="A69" s="1">
        <v>68.0</v>
      </c>
      <c r="B69" s="1" t="s">
        <v>1260</v>
      </c>
      <c r="C69" s="1" t="s">
        <v>21</v>
      </c>
      <c r="D69" s="1">
        <v>0.0</v>
      </c>
      <c r="E69" s="1">
        <v>60.0</v>
      </c>
      <c r="F69" s="1">
        <v>0.7</v>
      </c>
      <c r="H69" s="1" t="s">
        <v>84</v>
      </c>
      <c r="I69" s="4">
        <v>46201.67166666667</v>
      </c>
      <c r="J69" s="1" t="s">
        <v>40</v>
      </c>
      <c r="K69" s="1">
        <v>2000.0</v>
      </c>
      <c r="L69" s="1">
        <v>1400.0</v>
      </c>
      <c r="M69" s="1">
        <v>1500.0</v>
      </c>
      <c r="N69" s="5">
        <v>43851.0</v>
      </c>
      <c r="O69" s="1" t="s">
        <v>27</v>
      </c>
      <c r="P69" s="1" t="s">
        <v>29</v>
      </c>
      <c r="Q69" s="1" t="s">
        <v>1267</v>
      </c>
      <c r="S69" s="1" t="s">
        <v>34</v>
      </c>
    </row>
    <row r="70">
      <c r="A70" s="1">
        <v>69.0</v>
      </c>
      <c r="B70" s="1" t="s">
        <v>1268</v>
      </c>
      <c r="C70" s="1" t="s">
        <v>21</v>
      </c>
      <c r="D70" s="1">
        <v>1.0</v>
      </c>
      <c r="E70" s="1">
        <v>60.0</v>
      </c>
      <c r="F70" s="1">
        <v>0.9</v>
      </c>
      <c r="H70" s="1" t="s">
        <v>1271</v>
      </c>
      <c r="I70" s="4">
        <v>46207.2362037037</v>
      </c>
      <c r="J70" s="1" t="s">
        <v>40</v>
      </c>
      <c r="K70" s="1">
        <v>70.0</v>
      </c>
      <c r="L70" s="1">
        <v>200.0</v>
      </c>
      <c r="M70" s="1">
        <v>200.0</v>
      </c>
      <c r="N70" s="5">
        <v>42270.0</v>
      </c>
      <c r="O70" s="1" t="s">
        <v>64</v>
      </c>
      <c r="P70" s="1" t="s">
        <v>29</v>
      </c>
      <c r="Q70" s="1" t="s">
        <v>1276</v>
      </c>
      <c r="S70" s="1" t="s">
        <v>34</v>
      </c>
    </row>
    <row r="71">
      <c r="A71" s="1">
        <v>70.0</v>
      </c>
      <c r="B71" s="1" t="s">
        <v>1278</v>
      </c>
      <c r="C71" s="1" t="s">
        <v>21</v>
      </c>
      <c r="D71" s="1">
        <v>0.0</v>
      </c>
      <c r="E71" s="1">
        <v>60.0</v>
      </c>
      <c r="F71" s="1">
        <v>0.8</v>
      </c>
      <c r="H71" s="1" t="s">
        <v>1282</v>
      </c>
      <c r="I71" s="4">
        <v>46207.187256944446</v>
      </c>
      <c r="J71" s="1" t="s">
        <v>939</v>
      </c>
      <c r="K71" s="1">
        <v>50000.0</v>
      </c>
      <c r="L71" s="1">
        <v>10.0</v>
      </c>
      <c r="M71" s="1">
        <v>10.0</v>
      </c>
      <c r="N71" s="5">
        <v>42248.0</v>
      </c>
      <c r="O71" s="1" t="s">
        <v>64</v>
      </c>
      <c r="P71" s="1" t="s">
        <v>29</v>
      </c>
      <c r="Q71" s="1" t="s">
        <v>1287</v>
      </c>
      <c r="S71" s="1" t="s">
        <v>46</v>
      </c>
    </row>
    <row r="72">
      <c r="A72" s="1">
        <v>71.0</v>
      </c>
      <c r="B72" s="1" t="s">
        <v>1289</v>
      </c>
      <c r="C72" s="1" t="s">
        <v>21</v>
      </c>
      <c r="D72" s="1">
        <v>0.0</v>
      </c>
      <c r="E72" s="1">
        <v>60.0</v>
      </c>
      <c r="F72" s="1">
        <v>0.8</v>
      </c>
      <c r="H72" s="1" t="s">
        <v>1292</v>
      </c>
      <c r="I72" s="4">
        <v>46237.215625</v>
      </c>
      <c r="J72" s="1" t="s">
        <v>939</v>
      </c>
      <c r="K72" s="1">
        <v>17000.0</v>
      </c>
      <c r="L72" s="1">
        <v>20.0</v>
      </c>
      <c r="M72" s="1">
        <v>30.0</v>
      </c>
      <c r="N72" s="5">
        <v>43841.0</v>
      </c>
      <c r="O72" s="1" t="s">
        <v>64</v>
      </c>
      <c r="P72" s="1" t="s">
        <v>29</v>
      </c>
      <c r="Q72" s="1" t="s">
        <v>1296</v>
      </c>
      <c r="S72" s="1" t="s">
        <v>34</v>
      </c>
    </row>
    <row r="73">
      <c r="A73" s="1">
        <v>72.0</v>
      </c>
      <c r="B73" s="1" t="s">
        <v>1298</v>
      </c>
      <c r="C73" s="1" t="s">
        <v>21</v>
      </c>
      <c r="D73" s="1">
        <v>37.0</v>
      </c>
      <c r="E73" s="1">
        <v>60.0</v>
      </c>
      <c r="F73" s="1">
        <v>1.0</v>
      </c>
      <c r="H73" s="1" t="s">
        <v>84</v>
      </c>
      <c r="I73" s="4">
        <v>46221.41753472222</v>
      </c>
      <c r="J73" s="1" t="s">
        <v>40</v>
      </c>
      <c r="K73" s="1">
        <v>60.0</v>
      </c>
      <c r="L73" s="1">
        <v>150.0</v>
      </c>
      <c r="M73" s="1">
        <v>150.0</v>
      </c>
      <c r="N73" s="5">
        <v>42360.0</v>
      </c>
      <c r="O73" s="1" t="s">
        <v>65</v>
      </c>
      <c r="P73" s="1" t="s">
        <v>29</v>
      </c>
      <c r="Q73" s="1" t="s">
        <v>1305</v>
      </c>
      <c r="S73" s="1" t="s">
        <v>46</v>
      </c>
    </row>
    <row r="74">
      <c r="A74" s="1">
        <v>73.0</v>
      </c>
      <c r="B74" s="1" t="s">
        <v>1308</v>
      </c>
      <c r="C74" s="1" t="s">
        <v>21</v>
      </c>
      <c r="D74" s="1">
        <v>0.0</v>
      </c>
      <c r="E74" s="1">
        <v>60.0</v>
      </c>
      <c r="F74" s="1">
        <v>0.7</v>
      </c>
      <c r="H74" s="1" t="s">
        <v>84</v>
      </c>
      <c r="I74" s="4">
        <v>46209.547314814816</v>
      </c>
      <c r="J74" s="1" t="s">
        <v>939</v>
      </c>
      <c r="K74" s="1">
        <v>6400.0</v>
      </c>
      <c r="L74" s="1">
        <v>200.0</v>
      </c>
      <c r="M74" s="1">
        <v>200.0</v>
      </c>
      <c r="N74" s="5">
        <v>42553.0</v>
      </c>
      <c r="O74" s="1" t="s">
        <v>27</v>
      </c>
      <c r="P74" s="1" t="s">
        <v>29</v>
      </c>
      <c r="Q74" s="1" t="s">
        <v>1314</v>
      </c>
      <c r="S74" s="1" t="s">
        <v>46</v>
      </c>
    </row>
    <row r="75">
      <c r="A75" s="1">
        <v>74.0</v>
      </c>
      <c r="B75" s="1" t="s">
        <v>1316</v>
      </c>
      <c r="C75" s="1" t="s">
        <v>21</v>
      </c>
      <c r="D75" s="1">
        <v>0.0</v>
      </c>
      <c r="E75" s="1">
        <v>60.0</v>
      </c>
      <c r="F75" s="1">
        <v>0.6</v>
      </c>
      <c r="H75" s="1" t="s">
        <v>698</v>
      </c>
      <c r="I75" s="4">
        <v>46204.76923611111</v>
      </c>
      <c r="J75" s="1" t="s">
        <v>40</v>
      </c>
      <c r="K75" s="1">
        <v>500.0</v>
      </c>
      <c r="L75" s="1">
        <v>150.0</v>
      </c>
      <c r="M75" s="1">
        <v>200.0</v>
      </c>
      <c r="N75" s="5">
        <v>43844.0</v>
      </c>
      <c r="O75" s="1" t="s">
        <v>64</v>
      </c>
      <c r="P75" s="1" t="s">
        <v>29</v>
      </c>
      <c r="Q75" s="1" t="s">
        <v>1322</v>
      </c>
      <c r="S75" s="1" t="s">
        <v>34</v>
      </c>
    </row>
    <row r="76">
      <c r="A76" s="1">
        <v>75.0</v>
      </c>
      <c r="B76" s="1" t="s">
        <v>1007</v>
      </c>
      <c r="C76" s="1" t="s">
        <v>21</v>
      </c>
      <c r="D76" s="1">
        <v>0.0</v>
      </c>
      <c r="E76" s="1">
        <v>50.0</v>
      </c>
      <c r="F76" s="1">
        <v>0.8</v>
      </c>
      <c r="H76" s="1" t="s">
        <v>1007</v>
      </c>
      <c r="I76" s="4">
        <v>46205.95318287037</v>
      </c>
      <c r="J76" s="1" t="s">
        <v>40</v>
      </c>
      <c r="K76" s="1">
        <v>60.0</v>
      </c>
      <c r="L76" s="1">
        <v>30.0</v>
      </c>
      <c r="M76" s="1">
        <v>30.0</v>
      </c>
      <c r="N76" s="5">
        <v>42514.0</v>
      </c>
      <c r="O76" s="1" t="s">
        <v>64</v>
      </c>
      <c r="P76" s="1" t="s">
        <v>29</v>
      </c>
      <c r="Q76" s="1" t="s">
        <v>1330</v>
      </c>
      <c r="S76" s="1" t="s">
        <v>34</v>
      </c>
    </row>
    <row r="77">
      <c r="A77" s="1">
        <v>76.0</v>
      </c>
      <c r="B77" s="1" t="s">
        <v>1332</v>
      </c>
      <c r="C77" s="1" t="s">
        <v>21</v>
      </c>
      <c r="D77" s="1">
        <v>17.0</v>
      </c>
      <c r="E77" s="1">
        <v>50.0</v>
      </c>
      <c r="F77" s="1">
        <v>0.7</v>
      </c>
      <c r="H77" s="1" t="s">
        <v>698</v>
      </c>
      <c r="I77" s="4">
        <v>46236.09081018518</v>
      </c>
      <c r="J77" s="1" t="s">
        <v>40</v>
      </c>
      <c r="K77" s="1">
        <v>16000.0</v>
      </c>
      <c r="L77" s="1">
        <v>150.0</v>
      </c>
      <c r="M77" s="1">
        <v>200.0</v>
      </c>
      <c r="N77" s="5">
        <v>42763.0</v>
      </c>
      <c r="O77" s="1" t="s">
        <v>64</v>
      </c>
      <c r="P77" s="1" t="s">
        <v>29</v>
      </c>
      <c r="Q77" s="1" t="s">
        <v>1338</v>
      </c>
      <c r="S77" s="1" t="s">
        <v>34</v>
      </c>
    </row>
    <row r="78">
      <c r="A78" s="1">
        <v>77.0</v>
      </c>
      <c r="B78" s="1" t="s">
        <v>1339</v>
      </c>
      <c r="C78" s="1" t="s">
        <v>21</v>
      </c>
      <c r="D78" s="1">
        <v>0.0</v>
      </c>
      <c r="E78" s="1">
        <v>50.0</v>
      </c>
      <c r="F78" s="1">
        <v>0.9</v>
      </c>
      <c r="H78" s="1" t="s">
        <v>1339</v>
      </c>
      <c r="I78" s="4">
        <v>46217.28668981481</v>
      </c>
      <c r="J78" s="1" t="s">
        <v>1181</v>
      </c>
      <c r="K78" s="1">
        <v>50.0</v>
      </c>
      <c r="L78" s="1">
        <v>20.0</v>
      </c>
      <c r="M78" s="1">
        <v>20.0</v>
      </c>
      <c r="N78" s="5">
        <v>42390.0</v>
      </c>
      <c r="O78" s="1" t="s">
        <v>65</v>
      </c>
      <c r="P78" s="1" t="s">
        <v>29</v>
      </c>
      <c r="Q78" s="1" t="s">
        <v>1344</v>
      </c>
      <c r="S78" s="1" t="s">
        <v>46</v>
      </c>
    </row>
    <row r="79">
      <c r="A79" s="1">
        <v>78.0</v>
      </c>
      <c r="B79" s="1" t="s">
        <v>1345</v>
      </c>
      <c r="C79" s="1" t="s">
        <v>21</v>
      </c>
      <c r="D79" s="1">
        <v>31.0</v>
      </c>
      <c r="E79" s="1">
        <v>50.0</v>
      </c>
      <c r="F79" s="1">
        <v>0.45</v>
      </c>
      <c r="H79" s="1" t="s">
        <v>770</v>
      </c>
      <c r="I79" s="4">
        <v>46201.62321759259</v>
      </c>
      <c r="J79" s="1" t="s">
        <v>40</v>
      </c>
      <c r="K79" s="1">
        <v>50.0</v>
      </c>
      <c r="L79" s="1">
        <v>350.0</v>
      </c>
      <c r="M79" s="1">
        <v>350.0</v>
      </c>
      <c r="N79" s="5">
        <v>42422.0</v>
      </c>
      <c r="O79" s="1" t="s">
        <v>64</v>
      </c>
      <c r="P79" s="1" t="s">
        <v>29</v>
      </c>
      <c r="Q79" s="1" t="s">
        <v>1350</v>
      </c>
      <c r="S79" s="1" t="s">
        <v>34</v>
      </c>
    </row>
    <row r="80">
      <c r="A80" s="1">
        <v>79.0</v>
      </c>
      <c r="B80" s="1" t="s">
        <v>1352</v>
      </c>
      <c r="C80" s="1" t="s">
        <v>21</v>
      </c>
      <c r="D80" s="1">
        <v>0.0</v>
      </c>
      <c r="E80" s="1">
        <v>50.0</v>
      </c>
      <c r="F80" s="1">
        <v>0.7</v>
      </c>
      <c r="H80" s="1" t="s">
        <v>84</v>
      </c>
      <c r="I80" s="4">
        <v>46209.73136574074</v>
      </c>
      <c r="J80" s="1" t="s">
        <v>1354</v>
      </c>
      <c r="K80" s="1">
        <v>5200.0</v>
      </c>
      <c r="L80" s="1">
        <v>1400.0</v>
      </c>
      <c r="M80" s="1">
        <v>1500.0</v>
      </c>
      <c r="N80" s="5">
        <v>43125.0</v>
      </c>
      <c r="O80" s="1" t="s">
        <v>64</v>
      </c>
      <c r="P80" s="1" t="s">
        <v>29</v>
      </c>
      <c r="Q80" s="1" t="s">
        <v>1356</v>
      </c>
      <c r="R80" s="1" t="s">
        <v>1358</v>
      </c>
      <c r="S80" s="1" t="s">
        <v>34</v>
      </c>
    </row>
    <row r="81">
      <c r="A81" s="1">
        <v>80.0</v>
      </c>
      <c r="B81" s="1" t="s">
        <v>1360</v>
      </c>
      <c r="C81" s="1" t="s">
        <v>21</v>
      </c>
      <c r="D81" s="1">
        <v>0.0</v>
      </c>
      <c r="E81" s="1">
        <v>50.0</v>
      </c>
      <c r="F81" s="1">
        <v>0.5</v>
      </c>
      <c r="H81" s="1" t="s">
        <v>1360</v>
      </c>
      <c r="I81" s="4">
        <v>46208.048159722224</v>
      </c>
      <c r="J81" s="1" t="s">
        <v>1364</v>
      </c>
      <c r="K81" s="1">
        <v>1600.0</v>
      </c>
      <c r="L81" s="1">
        <v>10.0</v>
      </c>
      <c r="M81" s="1">
        <v>10.0</v>
      </c>
      <c r="N81" s="5">
        <v>43136.0</v>
      </c>
      <c r="O81" s="1" t="s">
        <v>64</v>
      </c>
      <c r="P81" s="1" t="s">
        <v>29</v>
      </c>
      <c r="Q81" s="1" t="s">
        <v>1368</v>
      </c>
      <c r="S81" s="1" t="s">
        <v>46</v>
      </c>
    </row>
    <row r="82">
      <c r="A82" s="1">
        <v>81.0</v>
      </c>
      <c r="B82" s="1" t="s">
        <v>98</v>
      </c>
      <c r="C82" s="1" t="s">
        <v>21</v>
      </c>
      <c r="D82" s="1">
        <v>0.0</v>
      </c>
      <c r="E82" s="1">
        <v>50.0</v>
      </c>
      <c r="F82" s="1">
        <v>0.5</v>
      </c>
      <c r="H82" s="1" t="s">
        <v>19</v>
      </c>
      <c r="I82" s="4">
        <v>46228.16259259259</v>
      </c>
      <c r="J82" s="1" t="s">
        <v>40</v>
      </c>
      <c r="K82" s="1">
        <v>3200.0</v>
      </c>
      <c r="L82" s="1">
        <v>600.0</v>
      </c>
      <c r="M82" s="1">
        <v>700.0</v>
      </c>
      <c r="N82" s="5">
        <v>42675.0</v>
      </c>
      <c r="O82" s="1" t="s">
        <v>64</v>
      </c>
      <c r="P82" s="1" t="s">
        <v>29</v>
      </c>
      <c r="Q82" s="1" t="s">
        <v>100</v>
      </c>
      <c r="S82" s="1" t="s">
        <v>46</v>
      </c>
    </row>
    <row r="83">
      <c r="A83" s="1">
        <v>82.0</v>
      </c>
      <c r="B83" s="1" t="s">
        <v>1376</v>
      </c>
      <c r="C83" s="1" t="s">
        <v>21</v>
      </c>
      <c r="D83" s="1">
        <v>4.0</v>
      </c>
      <c r="E83" s="1">
        <v>50.0</v>
      </c>
      <c r="F83" s="1">
        <v>0.7</v>
      </c>
      <c r="G83" s="1">
        <v>0.78</v>
      </c>
      <c r="H83" s="1" t="s">
        <v>71</v>
      </c>
      <c r="I83" s="4">
        <v>46235.15528935185</v>
      </c>
      <c r="J83" s="1" t="s">
        <v>1380</v>
      </c>
      <c r="K83" s="1">
        <v>50.0</v>
      </c>
      <c r="L83" s="1">
        <v>500.0</v>
      </c>
      <c r="M83" s="1">
        <v>500.0</v>
      </c>
      <c r="N83" s="5">
        <v>42347.0</v>
      </c>
      <c r="O83" s="1" t="s">
        <v>64</v>
      </c>
      <c r="P83" s="1" t="s">
        <v>29</v>
      </c>
      <c r="Q83" s="1" t="s">
        <v>1383</v>
      </c>
      <c r="S83" s="1" t="s">
        <v>34</v>
      </c>
    </row>
    <row r="84">
      <c r="A84" s="1">
        <v>83.0</v>
      </c>
      <c r="B84" s="1" t="s">
        <v>1385</v>
      </c>
      <c r="C84" s="1" t="s">
        <v>21</v>
      </c>
      <c r="D84" s="1">
        <v>16.0</v>
      </c>
      <c r="E84" s="1">
        <v>40.0</v>
      </c>
      <c r="F84" s="1">
        <v>0.6</v>
      </c>
      <c r="G84" s="1">
        <v>1.0</v>
      </c>
      <c r="H84" s="1" t="s">
        <v>1386</v>
      </c>
      <c r="I84" s="4">
        <v>46229.9765625</v>
      </c>
      <c r="J84" s="1" t="s">
        <v>40</v>
      </c>
      <c r="K84" s="1">
        <v>40.0</v>
      </c>
      <c r="L84" s="1">
        <v>40.0</v>
      </c>
      <c r="M84" s="1">
        <v>40.0</v>
      </c>
      <c r="N84" s="5">
        <v>42257.0</v>
      </c>
      <c r="O84" s="1" t="s">
        <v>64</v>
      </c>
      <c r="P84" s="1" t="s">
        <v>29</v>
      </c>
      <c r="Q84" s="1" t="s">
        <v>1390</v>
      </c>
      <c r="R84" s="1" t="s">
        <v>1391</v>
      </c>
      <c r="S84" s="1" t="s">
        <v>34</v>
      </c>
    </row>
    <row r="85">
      <c r="A85" s="1">
        <v>84.0</v>
      </c>
      <c r="B85" s="1" t="s">
        <v>1393</v>
      </c>
      <c r="C85" s="1" t="s">
        <v>21</v>
      </c>
      <c r="D85" s="1">
        <v>52.0</v>
      </c>
      <c r="E85" s="1">
        <v>40.0</v>
      </c>
      <c r="F85" s="1">
        <v>0.6</v>
      </c>
      <c r="G85" s="1">
        <v>1.03</v>
      </c>
      <c r="H85" s="1" t="s">
        <v>766</v>
      </c>
      <c r="I85" s="4">
        <v>46232.67596064815</v>
      </c>
      <c r="J85" s="1" t="s">
        <v>855</v>
      </c>
      <c r="K85" s="1">
        <v>40.0</v>
      </c>
      <c r="L85" s="1">
        <v>200.0</v>
      </c>
      <c r="M85" s="1">
        <v>200.0</v>
      </c>
      <c r="N85" s="5">
        <v>42253.0</v>
      </c>
      <c r="O85" s="1" t="s">
        <v>64</v>
      </c>
      <c r="P85" s="1" t="s">
        <v>29</v>
      </c>
      <c r="Q85" s="1" t="s">
        <v>1400</v>
      </c>
      <c r="S85" s="1" t="s">
        <v>34</v>
      </c>
    </row>
    <row r="86">
      <c r="A86" s="1">
        <v>85.0</v>
      </c>
      <c r="B86" s="1" t="s">
        <v>1282</v>
      </c>
      <c r="C86" s="1" t="s">
        <v>21</v>
      </c>
      <c r="D86" s="1">
        <v>0.0</v>
      </c>
      <c r="E86" s="1">
        <v>40.0</v>
      </c>
      <c r="F86" s="1">
        <v>0.8</v>
      </c>
      <c r="H86" s="1" t="s">
        <v>755</v>
      </c>
      <c r="I86" s="4">
        <v>46225.394282407404</v>
      </c>
      <c r="J86" s="1" t="s">
        <v>24</v>
      </c>
      <c r="K86" s="1">
        <v>4900.0</v>
      </c>
      <c r="L86" s="1">
        <v>30.0</v>
      </c>
      <c r="M86" s="1">
        <v>30.0</v>
      </c>
      <c r="N86" s="5">
        <v>42305.0</v>
      </c>
      <c r="O86" s="1" t="s">
        <v>64</v>
      </c>
      <c r="P86" s="1" t="s">
        <v>29</v>
      </c>
      <c r="Q86" s="1" t="s">
        <v>1406</v>
      </c>
      <c r="S86" s="1" t="s">
        <v>46</v>
      </c>
    </row>
    <row r="87">
      <c r="A87" s="1">
        <v>86.0</v>
      </c>
      <c r="B87" s="1" t="s">
        <v>1409</v>
      </c>
      <c r="C87" s="1" t="s">
        <v>21</v>
      </c>
      <c r="D87" s="1">
        <v>8.0</v>
      </c>
      <c r="E87" s="1">
        <v>40.0</v>
      </c>
      <c r="F87" s="1">
        <v>0.7</v>
      </c>
      <c r="H87" s="1" t="s">
        <v>1308</v>
      </c>
      <c r="I87" s="4">
        <v>46222.75849537037</v>
      </c>
      <c r="J87" s="1" t="s">
        <v>40</v>
      </c>
      <c r="K87" s="1">
        <v>42000.0</v>
      </c>
      <c r="L87" s="1">
        <v>10.0</v>
      </c>
      <c r="M87" s="1">
        <v>20.0</v>
      </c>
      <c r="N87" s="5">
        <v>42763.0</v>
      </c>
      <c r="O87" s="1" t="s">
        <v>64</v>
      </c>
      <c r="P87" s="1" t="s">
        <v>29</v>
      </c>
      <c r="Q87" s="1" t="s">
        <v>1415</v>
      </c>
      <c r="S87" s="1" t="s">
        <v>34</v>
      </c>
    </row>
    <row r="88">
      <c r="A88" s="1">
        <v>87.0</v>
      </c>
      <c r="B88" s="1" t="s">
        <v>1418</v>
      </c>
      <c r="C88" s="1" t="s">
        <v>21</v>
      </c>
      <c r="D88" s="1">
        <v>28.0</v>
      </c>
      <c r="E88" s="1">
        <v>40.0</v>
      </c>
      <c r="F88" s="1">
        <v>0.7</v>
      </c>
      <c r="H88" s="1" t="s">
        <v>71</v>
      </c>
      <c r="I88" s="4">
        <v>46221.66274305555</v>
      </c>
      <c r="J88" s="1" t="s">
        <v>40</v>
      </c>
      <c r="K88" s="1">
        <v>40.0</v>
      </c>
      <c r="L88" s="1">
        <v>500.0</v>
      </c>
      <c r="M88" s="1">
        <v>500.0</v>
      </c>
      <c r="N88" s="5">
        <v>42390.0</v>
      </c>
      <c r="O88" s="1" t="s">
        <v>65</v>
      </c>
      <c r="P88" s="1" t="s">
        <v>29</v>
      </c>
      <c r="Q88" s="1" t="s">
        <v>1423</v>
      </c>
      <c r="S88" s="1" t="s">
        <v>46</v>
      </c>
    </row>
    <row r="89">
      <c r="A89" s="1">
        <v>88.0</v>
      </c>
      <c r="B89" s="1" t="s">
        <v>1425</v>
      </c>
      <c r="C89" s="1" t="s">
        <v>21</v>
      </c>
      <c r="D89" s="1">
        <v>13.0</v>
      </c>
      <c r="E89" s="1">
        <v>40.0</v>
      </c>
      <c r="F89" s="1">
        <v>0.6</v>
      </c>
      <c r="G89" s="1">
        <v>0.59</v>
      </c>
      <c r="H89" s="1" t="s">
        <v>1229</v>
      </c>
      <c r="I89" s="4">
        <v>46211.41296296296</v>
      </c>
      <c r="J89" s="1" t="s">
        <v>1052</v>
      </c>
      <c r="K89" s="1">
        <v>5100.0</v>
      </c>
      <c r="L89" s="1">
        <v>50.0</v>
      </c>
      <c r="M89" s="1">
        <v>50.0</v>
      </c>
      <c r="N89" s="5">
        <v>42275.0</v>
      </c>
      <c r="O89" s="1" t="s">
        <v>64</v>
      </c>
      <c r="P89" s="1" t="s">
        <v>29</v>
      </c>
      <c r="Q89" s="1" t="s">
        <v>1431</v>
      </c>
      <c r="S89" s="1" t="s">
        <v>34</v>
      </c>
    </row>
    <row r="90">
      <c r="A90" s="1">
        <v>89.0</v>
      </c>
      <c r="B90" s="1" t="s">
        <v>1433</v>
      </c>
      <c r="C90" s="1" t="s">
        <v>21</v>
      </c>
      <c r="D90" s="1">
        <v>0.0</v>
      </c>
      <c r="E90" s="1">
        <v>40.0</v>
      </c>
      <c r="H90" s="1" t="s">
        <v>76</v>
      </c>
      <c r="I90" s="4">
        <v>46217.13767361111</v>
      </c>
      <c r="J90" s="1" t="s">
        <v>1436</v>
      </c>
      <c r="K90" s="1">
        <v>500.0</v>
      </c>
      <c r="L90" s="1">
        <v>12000.0</v>
      </c>
      <c r="M90" s="1">
        <v>12000.0</v>
      </c>
      <c r="N90" s="5">
        <v>42251.0</v>
      </c>
      <c r="O90" s="1" t="s">
        <v>1059</v>
      </c>
      <c r="P90" s="1" t="s">
        <v>29</v>
      </c>
      <c r="Q90" s="1" t="s">
        <v>1439</v>
      </c>
      <c r="S90" s="1" t="s">
        <v>1441</v>
      </c>
    </row>
    <row r="91">
      <c r="A91" s="1">
        <v>90.0</v>
      </c>
      <c r="B91" s="1" t="s">
        <v>1442</v>
      </c>
      <c r="C91" s="1" t="s">
        <v>21</v>
      </c>
      <c r="D91" s="1">
        <v>16.0</v>
      </c>
      <c r="E91" s="1">
        <v>40.0</v>
      </c>
      <c r="F91" s="1">
        <v>0.6</v>
      </c>
      <c r="H91" s="1" t="s">
        <v>676</v>
      </c>
      <c r="I91" s="4">
        <v>46235.771099537036</v>
      </c>
      <c r="J91" s="1" t="s">
        <v>40</v>
      </c>
      <c r="K91" s="1">
        <v>6900.0</v>
      </c>
      <c r="L91" s="1">
        <v>80.0</v>
      </c>
      <c r="M91" s="1">
        <v>80.0</v>
      </c>
      <c r="N91" s="5">
        <v>42648.0</v>
      </c>
      <c r="O91" s="1" t="s">
        <v>64</v>
      </c>
      <c r="P91" s="1" t="s">
        <v>29</v>
      </c>
      <c r="Q91" s="1" t="s">
        <v>1447</v>
      </c>
      <c r="S91" s="1" t="s">
        <v>46</v>
      </c>
    </row>
    <row r="92">
      <c r="A92" s="1">
        <v>91.0</v>
      </c>
      <c r="B92" s="1" t="s">
        <v>1449</v>
      </c>
      <c r="C92" s="1" t="s">
        <v>21</v>
      </c>
      <c r="D92" s="1">
        <v>0.0</v>
      </c>
      <c r="E92" s="1">
        <v>40.0</v>
      </c>
      <c r="F92" s="1">
        <v>1.2</v>
      </c>
      <c r="G92" s="1">
        <v>0.77</v>
      </c>
      <c r="H92" s="1" t="s">
        <v>1449</v>
      </c>
      <c r="I92" s="4">
        <v>46204.85203703704</v>
      </c>
      <c r="J92" s="1" t="s">
        <v>1452</v>
      </c>
      <c r="K92" s="1">
        <v>300.0</v>
      </c>
      <c r="L92" s="1">
        <v>10.0</v>
      </c>
      <c r="M92" s="1">
        <v>10.0</v>
      </c>
      <c r="N92" s="5">
        <v>42261.0</v>
      </c>
      <c r="O92" s="1" t="s">
        <v>823</v>
      </c>
      <c r="P92" s="1" t="s">
        <v>29</v>
      </c>
      <c r="Q92" s="1" t="s">
        <v>1455</v>
      </c>
      <c r="S92" s="1" t="s">
        <v>46</v>
      </c>
    </row>
    <row r="93">
      <c r="A93" s="1">
        <v>92.0</v>
      </c>
      <c r="B93" s="1" t="s">
        <v>1457</v>
      </c>
      <c r="C93" s="1" t="s">
        <v>21</v>
      </c>
      <c r="D93" s="1">
        <v>24.0</v>
      </c>
      <c r="E93" s="1">
        <v>40.0</v>
      </c>
      <c r="F93" s="1">
        <v>0.6</v>
      </c>
      <c r="H93" s="1" t="s">
        <v>745</v>
      </c>
      <c r="I93" s="4">
        <v>46227.61729166667</v>
      </c>
      <c r="J93" s="1" t="s">
        <v>40</v>
      </c>
      <c r="K93" s="1">
        <v>15000.0</v>
      </c>
      <c r="L93" s="1">
        <v>40.0</v>
      </c>
      <c r="M93" s="1">
        <v>50.0</v>
      </c>
      <c r="N93" s="5">
        <v>42380.0</v>
      </c>
      <c r="O93" s="1" t="s">
        <v>64</v>
      </c>
      <c r="P93" s="1" t="s">
        <v>29</v>
      </c>
      <c r="Q93" s="1" t="s">
        <v>1463</v>
      </c>
      <c r="S93" s="1" t="s">
        <v>46</v>
      </c>
    </row>
    <row r="94">
      <c r="A94" s="1">
        <v>93.0</v>
      </c>
      <c r="B94" s="1" t="s">
        <v>1466</v>
      </c>
      <c r="C94" s="1" t="s">
        <v>21</v>
      </c>
      <c r="D94" s="1">
        <v>29.0</v>
      </c>
      <c r="E94" s="1">
        <v>30.0</v>
      </c>
      <c r="F94" s="1">
        <v>0.6</v>
      </c>
      <c r="H94" s="1" t="s">
        <v>688</v>
      </c>
      <c r="I94" s="4">
        <v>46212.080729166664</v>
      </c>
      <c r="J94" s="1" t="s">
        <v>40</v>
      </c>
      <c r="K94" s="1">
        <v>30.0</v>
      </c>
      <c r="L94" s="1">
        <v>40.0</v>
      </c>
      <c r="M94" s="1">
        <v>40.0</v>
      </c>
      <c r="N94" s="5">
        <v>42293.0</v>
      </c>
      <c r="O94" s="1" t="s">
        <v>64</v>
      </c>
      <c r="P94" s="1" t="s">
        <v>29</v>
      </c>
      <c r="Q94" s="1" t="s">
        <v>1473</v>
      </c>
      <c r="S94" s="1" t="s">
        <v>34</v>
      </c>
    </row>
    <row r="95">
      <c r="A95" s="1">
        <v>94.0</v>
      </c>
      <c r="B95" s="1" t="s">
        <v>1475</v>
      </c>
      <c r="C95" s="1" t="s">
        <v>21</v>
      </c>
      <c r="D95" s="1">
        <v>0.0</v>
      </c>
      <c r="E95" s="1">
        <v>30.0</v>
      </c>
      <c r="F95" s="1">
        <v>0.3</v>
      </c>
      <c r="H95" s="1" t="s">
        <v>1475</v>
      </c>
      <c r="I95" s="4">
        <v>46210.658634259256</v>
      </c>
      <c r="J95" s="1" t="s">
        <v>1478</v>
      </c>
      <c r="K95" s="1">
        <v>100.0</v>
      </c>
      <c r="L95" s="1">
        <v>20.0</v>
      </c>
      <c r="M95" s="1">
        <v>20.0</v>
      </c>
      <c r="N95" s="5">
        <v>43970.0</v>
      </c>
      <c r="O95" s="1" t="s">
        <v>1029</v>
      </c>
      <c r="P95" s="1" t="s">
        <v>29</v>
      </c>
      <c r="Q95" s="1" t="s">
        <v>1482</v>
      </c>
      <c r="S95" s="1" t="s">
        <v>1083</v>
      </c>
    </row>
    <row r="96">
      <c r="A96" s="1">
        <v>95.0</v>
      </c>
      <c r="B96" s="1" t="s">
        <v>1484</v>
      </c>
      <c r="C96" s="1" t="s">
        <v>21</v>
      </c>
      <c r="D96" s="1">
        <v>2.0</v>
      </c>
      <c r="E96" s="1">
        <v>30.0</v>
      </c>
      <c r="F96" s="1">
        <v>0.2</v>
      </c>
      <c r="H96" s="1" t="s">
        <v>1484</v>
      </c>
      <c r="I96" s="4">
        <v>46220.7344212963</v>
      </c>
      <c r="J96" s="1" t="s">
        <v>1487</v>
      </c>
      <c r="K96" s="1">
        <v>200.0</v>
      </c>
      <c r="L96" s="1">
        <v>10.0</v>
      </c>
      <c r="M96" s="1">
        <v>10.0</v>
      </c>
      <c r="N96" s="5">
        <v>44014.0</v>
      </c>
      <c r="O96" s="1" t="s">
        <v>1490</v>
      </c>
      <c r="P96" s="1" t="s">
        <v>29</v>
      </c>
      <c r="Q96" s="1" t="s">
        <v>1492</v>
      </c>
      <c r="S96" s="1" t="s">
        <v>1493</v>
      </c>
    </row>
    <row r="97">
      <c r="A97" s="1">
        <v>96.0</v>
      </c>
      <c r="B97" s="1" t="s">
        <v>1494</v>
      </c>
      <c r="C97" s="1" t="s">
        <v>21</v>
      </c>
      <c r="D97" s="1">
        <v>0.0</v>
      </c>
      <c r="E97" s="1">
        <v>30.0</v>
      </c>
      <c r="F97" s="1">
        <v>0.7</v>
      </c>
      <c r="H97" s="1" t="s">
        <v>1494</v>
      </c>
      <c r="I97" s="4">
        <v>46218.88212962963</v>
      </c>
      <c r="J97" s="1" t="s">
        <v>1499</v>
      </c>
      <c r="K97" s="1">
        <v>30.0</v>
      </c>
      <c r="L97" s="1">
        <v>10.0</v>
      </c>
      <c r="M97" s="1">
        <v>10.0</v>
      </c>
      <c r="N97" s="5">
        <v>42514.0</v>
      </c>
      <c r="O97" s="1" t="s">
        <v>65</v>
      </c>
      <c r="P97" s="1" t="s">
        <v>29</v>
      </c>
      <c r="Q97" s="1" t="s">
        <v>1503</v>
      </c>
      <c r="S97" s="1" t="s">
        <v>46</v>
      </c>
    </row>
    <row r="98">
      <c r="A98" s="1">
        <v>97.0</v>
      </c>
      <c r="B98" s="1" t="s">
        <v>1505</v>
      </c>
      <c r="C98" s="1" t="s">
        <v>21</v>
      </c>
      <c r="D98" s="1">
        <v>0.0</v>
      </c>
      <c r="E98" s="1">
        <v>30.0</v>
      </c>
      <c r="H98" s="1" t="s">
        <v>1505</v>
      </c>
      <c r="I98" s="4">
        <v>46226.8484375</v>
      </c>
      <c r="J98" s="1" t="s">
        <v>1508</v>
      </c>
      <c r="K98" s="1">
        <v>30.0</v>
      </c>
      <c r="L98" s="1">
        <v>10.0</v>
      </c>
      <c r="M98" s="1">
        <v>10.0</v>
      </c>
      <c r="N98" s="5">
        <v>43587.0</v>
      </c>
      <c r="O98" s="1" t="s">
        <v>1490</v>
      </c>
      <c r="P98" s="1" t="s">
        <v>29</v>
      </c>
      <c r="Q98" s="1" t="s">
        <v>1512</v>
      </c>
      <c r="S98" s="1" t="s">
        <v>46</v>
      </c>
    </row>
    <row r="99">
      <c r="A99" s="1">
        <v>98.0</v>
      </c>
      <c r="B99" s="1" t="s">
        <v>1513</v>
      </c>
      <c r="C99" s="1" t="s">
        <v>21</v>
      </c>
      <c r="D99" s="1">
        <v>0.0</v>
      </c>
      <c r="E99" s="1">
        <v>30.0</v>
      </c>
      <c r="F99" s="1">
        <v>0.3</v>
      </c>
      <c r="H99" s="1" t="s">
        <v>1076</v>
      </c>
      <c r="I99" s="4">
        <v>46235.75475694444</v>
      </c>
      <c r="J99" s="1" t="s">
        <v>62</v>
      </c>
      <c r="K99" s="1">
        <v>1200.0</v>
      </c>
      <c r="L99" s="1">
        <v>50.0</v>
      </c>
      <c r="M99" s="1">
        <v>50.0</v>
      </c>
      <c r="N99" s="5">
        <v>42435.0</v>
      </c>
      <c r="O99" s="1" t="s">
        <v>1490</v>
      </c>
      <c r="P99" s="1" t="s">
        <v>29</v>
      </c>
      <c r="Q99" s="1" t="s">
        <v>1520</v>
      </c>
      <c r="S99" s="1" t="s">
        <v>46</v>
      </c>
    </row>
    <row r="100">
      <c r="A100" s="1">
        <v>99.0</v>
      </c>
      <c r="B100" s="1" t="s">
        <v>1522</v>
      </c>
      <c r="C100" s="1" t="s">
        <v>21</v>
      </c>
      <c r="D100" s="1">
        <v>0.0</v>
      </c>
      <c r="E100" s="1">
        <v>30.0</v>
      </c>
      <c r="H100" s="1" t="s">
        <v>1148</v>
      </c>
      <c r="I100" s="4">
        <v>46211.682546296295</v>
      </c>
      <c r="J100" s="1" t="s">
        <v>40</v>
      </c>
      <c r="K100" s="1">
        <v>30.0</v>
      </c>
      <c r="L100" s="1">
        <v>50.0</v>
      </c>
      <c r="M100" s="1">
        <v>50.0</v>
      </c>
      <c r="N100" s="5">
        <v>42383.0</v>
      </c>
      <c r="O100" s="1" t="s">
        <v>64</v>
      </c>
      <c r="P100" s="1" t="s">
        <v>29</v>
      </c>
      <c r="Q100" s="1" t="s">
        <v>1527</v>
      </c>
      <c r="S100" s="1" t="s">
        <v>34</v>
      </c>
    </row>
    <row r="101">
      <c r="A101" s="1">
        <v>100.0</v>
      </c>
      <c r="B101" s="1" t="s">
        <v>1529</v>
      </c>
      <c r="C101" s="1" t="s">
        <v>21</v>
      </c>
      <c r="D101" s="1">
        <v>1.0</v>
      </c>
      <c r="E101" s="1">
        <v>30.0</v>
      </c>
      <c r="F101" s="1">
        <v>0.3</v>
      </c>
      <c r="G101" s="1">
        <v>0.79</v>
      </c>
      <c r="H101" s="1" t="s">
        <v>1076</v>
      </c>
      <c r="I101" s="4">
        <v>46212.570497685185</v>
      </c>
      <c r="J101" s="1" t="s">
        <v>1078</v>
      </c>
      <c r="K101" s="1">
        <v>500.0</v>
      </c>
      <c r="L101" s="1">
        <v>60.0</v>
      </c>
      <c r="M101" s="1">
        <v>60.0</v>
      </c>
      <c r="N101" s="5">
        <v>42668.0</v>
      </c>
      <c r="O101" s="1" t="s">
        <v>1490</v>
      </c>
      <c r="P101" s="1" t="s">
        <v>29</v>
      </c>
      <c r="Q101" s="1" t="s">
        <v>1535</v>
      </c>
      <c r="S101" s="1" t="s">
        <v>1083</v>
      </c>
    </row>
    <row r="102">
      <c r="A102" s="1">
        <v>101.0</v>
      </c>
      <c r="B102" s="1" t="s">
        <v>1539</v>
      </c>
      <c r="C102" s="1" t="s">
        <v>21</v>
      </c>
      <c r="D102" s="1">
        <v>0.0</v>
      </c>
      <c r="E102" s="1">
        <v>30.0</v>
      </c>
      <c r="F102" s="1">
        <v>0.3</v>
      </c>
      <c r="H102" s="1" t="s">
        <v>1539</v>
      </c>
      <c r="I102" s="4">
        <v>46206.82693287037</v>
      </c>
      <c r="J102" s="1" t="s">
        <v>1052</v>
      </c>
      <c r="K102" s="1">
        <v>90.0</v>
      </c>
      <c r="L102" s="1">
        <v>20.0</v>
      </c>
      <c r="M102" s="1">
        <v>20.0</v>
      </c>
      <c r="N102" s="5">
        <v>42569.0</v>
      </c>
      <c r="O102" s="1" t="s">
        <v>1490</v>
      </c>
      <c r="P102" s="1" t="s">
        <v>29</v>
      </c>
      <c r="Q102" s="1" t="s">
        <v>1546</v>
      </c>
      <c r="S102" s="1" t="s">
        <v>46</v>
      </c>
    </row>
    <row r="103">
      <c r="A103" s="1">
        <v>102.0</v>
      </c>
      <c r="B103" s="1" t="s">
        <v>1548</v>
      </c>
      <c r="C103" s="1" t="s">
        <v>21</v>
      </c>
      <c r="D103" s="1">
        <v>9.0</v>
      </c>
      <c r="E103" s="1">
        <v>30.0</v>
      </c>
      <c r="F103" s="1">
        <v>0.8</v>
      </c>
      <c r="H103" s="1" t="s">
        <v>1292</v>
      </c>
      <c r="I103" s="4">
        <v>46228.46876157408</v>
      </c>
      <c r="J103" s="1" t="s">
        <v>1552</v>
      </c>
      <c r="K103" s="1">
        <v>1600.0</v>
      </c>
      <c r="L103" s="1">
        <v>20.0</v>
      </c>
      <c r="M103" s="1">
        <v>20.0</v>
      </c>
      <c r="N103" s="5">
        <v>42530.0</v>
      </c>
      <c r="O103" s="1" t="s">
        <v>64</v>
      </c>
      <c r="P103" s="1" t="s">
        <v>29</v>
      </c>
      <c r="Q103" s="1" t="s">
        <v>1556</v>
      </c>
      <c r="S103" s="1" t="s">
        <v>34</v>
      </c>
    </row>
    <row r="104">
      <c r="A104" s="1">
        <v>103.0</v>
      </c>
      <c r="B104" s="1" t="s">
        <v>1559</v>
      </c>
      <c r="C104" s="1" t="s">
        <v>21</v>
      </c>
      <c r="D104" s="1">
        <v>0.0</v>
      </c>
      <c r="E104" s="1">
        <v>30.0</v>
      </c>
      <c r="F104" s="1">
        <v>0.9</v>
      </c>
      <c r="H104" s="1" t="s">
        <v>1559</v>
      </c>
      <c r="I104" s="4">
        <v>46212.83866898148</v>
      </c>
      <c r="J104" s="1" t="s">
        <v>40</v>
      </c>
      <c r="K104" s="1">
        <v>80.0</v>
      </c>
      <c r="L104" s="1">
        <v>0.0</v>
      </c>
      <c r="M104" s="1">
        <v>0.0</v>
      </c>
      <c r="N104" s="5">
        <v>42305.0</v>
      </c>
      <c r="O104" s="1" t="s">
        <v>64</v>
      </c>
      <c r="P104" s="1" t="s">
        <v>29</v>
      </c>
      <c r="Q104" s="1" t="s">
        <v>1564</v>
      </c>
      <c r="S104" s="1" t="s">
        <v>34</v>
      </c>
    </row>
    <row r="105">
      <c r="A105" s="1">
        <v>104.0</v>
      </c>
      <c r="B105" s="1" t="s">
        <v>1566</v>
      </c>
      <c r="C105" s="1" t="s">
        <v>21</v>
      </c>
      <c r="D105" s="1">
        <v>0.0</v>
      </c>
      <c r="E105" s="1">
        <v>30.0</v>
      </c>
      <c r="F105" s="1">
        <v>0.6</v>
      </c>
      <c r="H105" s="1" t="s">
        <v>84</v>
      </c>
      <c r="I105" s="4">
        <v>46211.87939814815</v>
      </c>
      <c r="J105" s="1" t="s">
        <v>1570</v>
      </c>
      <c r="K105" s="1">
        <v>450.0</v>
      </c>
      <c r="L105" s="1">
        <v>1400.0</v>
      </c>
      <c r="M105" s="1">
        <v>1500.0</v>
      </c>
      <c r="N105" s="5">
        <v>43898.0</v>
      </c>
      <c r="O105" s="1" t="s">
        <v>64</v>
      </c>
      <c r="P105" s="1" t="s">
        <v>29</v>
      </c>
      <c r="Q105" s="1" t="s">
        <v>1572</v>
      </c>
      <c r="S105" s="1" t="s">
        <v>34</v>
      </c>
    </row>
    <row r="106">
      <c r="A106" s="1">
        <v>105.0</v>
      </c>
      <c r="B106" s="1" t="s">
        <v>1575</v>
      </c>
      <c r="C106" s="1" t="s">
        <v>21</v>
      </c>
      <c r="D106" s="1">
        <v>0.0</v>
      </c>
      <c r="E106" s="1">
        <v>30.0</v>
      </c>
      <c r="F106" s="1">
        <v>0.8</v>
      </c>
      <c r="H106" s="1" t="s">
        <v>71</v>
      </c>
      <c r="I106" s="4">
        <v>46207.09195601852</v>
      </c>
      <c r="J106" s="1" t="s">
        <v>1578</v>
      </c>
      <c r="K106" s="1">
        <v>500.0</v>
      </c>
      <c r="L106" s="1">
        <v>450.0</v>
      </c>
      <c r="M106" s="1">
        <v>450.0</v>
      </c>
      <c r="N106" s="5">
        <v>42592.0</v>
      </c>
      <c r="O106" s="1" t="s">
        <v>64</v>
      </c>
      <c r="P106" s="1" t="s">
        <v>29</v>
      </c>
      <c r="Q106" s="1" t="s">
        <v>1581</v>
      </c>
      <c r="S106" s="1" t="s">
        <v>46</v>
      </c>
    </row>
    <row r="107">
      <c r="A107" s="1">
        <v>106.0</v>
      </c>
      <c r="B107" s="1" t="s">
        <v>1584</v>
      </c>
      <c r="C107" s="1" t="s">
        <v>21</v>
      </c>
      <c r="D107" s="1">
        <v>0.0</v>
      </c>
      <c r="E107" s="1">
        <v>30.0</v>
      </c>
      <c r="F107" s="1">
        <v>0.35</v>
      </c>
      <c r="H107" s="1" t="s">
        <v>1584</v>
      </c>
      <c r="I107" s="4">
        <v>46211.52644675926</v>
      </c>
      <c r="J107" s="1" t="s">
        <v>1586</v>
      </c>
      <c r="K107" s="1">
        <v>700.0</v>
      </c>
      <c r="L107" s="1">
        <v>30.0</v>
      </c>
      <c r="M107" s="1">
        <v>30.0</v>
      </c>
      <c r="N107" s="5">
        <v>42290.0</v>
      </c>
      <c r="O107" s="1" t="s">
        <v>1490</v>
      </c>
      <c r="P107" s="1" t="s">
        <v>29</v>
      </c>
      <c r="Q107" s="1" t="s">
        <v>1590</v>
      </c>
      <c r="S107" s="1" t="s">
        <v>46</v>
      </c>
    </row>
    <row r="108">
      <c r="A108" s="1">
        <v>107.0</v>
      </c>
      <c r="B108" s="1" t="s">
        <v>1592</v>
      </c>
      <c r="C108" s="1" t="s">
        <v>21</v>
      </c>
      <c r="D108" s="1">
        <v>0.0</v>
      </c>
      <c r="E108" s="1">
        <v>20.0</v>
      </c>
      <c r="F108" s="1">
        <v>0.3</v>
      </c>
      <c r="H108" s="1" t="s">
        <v>1076</v>
      </c>
      <c r="I108" s="4">
        <v>46237.44200231481</v>
      </c>
      <c r="J108" s="1" t="s">
        <v>1595</v>
      </c>
      <c r="K108" s="1">
        <v>20.0</v>
      </c>
      <c r="L108" s="1">
        <v>40.0</v>
      </c>
      <c r="M108" s="1">
        <v>40.0</v>
      </c>
      <c r="N108" s="5">
        <v>42299.0</v>
      </c>
      <c r="O108" s="1" t="s">
        <v>1490</v>
      </c>
      <c r="P108" s="1" t="s">
        <v>29</v>
      </c>
      <c r="Q108" s="1" t="s">
        <v>1598</v>
      </c>
      <c r="S108" s="1" t="s">
        <v>1493</v>
      </c>
    </row>
    <row r="109">
      <c r="A109" s="1">
        <v>108.0</v>
      </c>
      <c r="B109" s="1" t="s">
        <v>1600</v>
      </c>
      <c r="C109" s="1" t="s">
        <v>21</v>
      </c>
      <c r="D109" s="1">
        <v>0.0</v>
      </c>
      <c r="E109" s="1">
        <v>20.0</v>
      </c>
      <c r="F109" s="1">
        <v>0.4</v>
      </c>
      <c r="H109" s="1" t="s">
        <v>1602</v>
      </c>
      <c r="I109" s="4">
        <v>46212.08146990741</v>
      </c>
      <c r="J109" s="1" t="s">
        <v>1604</v>
      </c>
      <c r="K109" s="1">
        <v>3300.0</v>
      </c>
      <c r="L109" s="1">
        <v>0.0</v>
      </c>
      <c r="M109" s="1">
        <v>0.0</v>
      </c>
      <c r="N109" s="5">
        <v>42436.0</v>
      </c>
      <c r="O109" s="1" t="s">
        <v>65</v>
      </c>
      <c r="P109" s="1" t="s">
        <v>29</v>
      </c>
      <c r="Q109" s="1" t="s">
        <v>1607</v>
      </c>
      <c r="S109" s="1" t="s">
        <v>1609</v>
      </c>
    </row>
    <row r="110">
      <c r="A110" s="1">
        <v>109.0</v>
      </c>
      <c r="B110" s="1" t="s">
        <v>1611</v>
      </c>
      <c r="C110" s="1" t="s">
        <v>21</v>
      </c>
      <c r="D110" s="1">
        <v>0.0</v>
      </c>
      <c r="E110" s="1">
        <v>20.0</v>
      </c>
      <c r="F110" s="1">
        <v>0.35</v>
      </c>
      <c r="H110" s="1" t="s">
        <v>1611</v>
      </c>
      <c r="I110" s="4">
        <v>46222.24025462963</v>
      </c>
      <c r="J110" s="1" t="s">
        <v>1613</v>
      </c>
      <c r="K110" s="1">
        <v>200.0</v>
      </c>
      <c r="L110" s="1">
        <v>40.0</v>
      </c>
      <c r="M110" s="1">
        <v>50.0</v>
      </c>
      <c r="N110" s="5">
        <v>42276.0</v>
      </c>
      <c r="O110" s="1" t="s">
        <v>1490</v>
      </c>
      <c r="P110" s="1" t="s">
        <v>29</v>
      </c>
      <c r="Q110" s="1" t="s">
        <v>1615</v>
      </c>
      <c r="S110" s="1" t="s">
        <v>46</v>
      </c>
    </row>
    <row r="111">
      <c r="A111" s="1">
        <v>110.0</v>
      </c>
      <c r="B111" s="1" t="s">
        <v>57</v>
      </c>
      <c r="C111" s="1" t="s">
        <v>21</v>
      </c>
      <c r="D111" s="1">
        <v>0.0</v>
      </c>
      <c r="E111" s="1">
        <v>20.0</v>
      </c>
      <c r="F111" s="1">
        <v>0.5</v>
      </c>
      <c r="H111" s="1" t="s">
        <v>59</v>
      </c>
      <c r="I111" s="4">
        <v>46224.46396990741</v>
      </c>
      <c r="J111" s="1" t="s">
        <v>62</v>
      </c>
      <c r="K111" s="1">
        <v>500.0</v>
      </c>
      <c r="L111" s="1">
        <v>20.0</v>
      </c>
      <c r="M111" s="1">
        <v>20.0</v>
      </c>
      <c r="N111" s="5">
        <v>44244.0</v>
      </c>
      <c r="O111" s="1" t="s">
        <v>65</v>
      </c>
      <c r="P111" s="1" t="s">
        <v>29</v>
      </c>
      <c r="Q111" s="1" t="s">
        <v>67</v>
      </c>
      <c r="S111" s="1" t="s">
        <v>46</v>
      </c>
    </row>
    <row r="112">
      <c r="A112" s="1">
        <v>111.0</v>
      </c>
      <c r="B112" s="1" t="s">
        <v>1619</v>
      </c>
      <c r="C112" s="1" t="s">
        <v>21</v>
      </c>
      <c r="D112" s="1">
        <v>0.0</v>
      </c>
      <c r="E112" s="1">
        <v>20.0</v>
      </c>
      <c r="F112" s="1">
        <v>0.25</v>
      </c>
      <c r="H112" s="1" t="s">
        <v>1505</v>
      </c>
      <c r="I112" s="4">
        <v>46211.45746527778</v>
      </c>
      <c r="J112" s="1" t="s">
        <v>1478</v>
      </c>
      <c r="K112" s="1">
        <v>700.0</v>
      </c>
      <c r="L112" s="1">
        <v>10.0</v>
      </c>
      <c r="M112" s="1">
        <v>10.0</v>
      </c>
      <c r="N112" s="5">
        <v>42326.0</v>
      </c>
      <c r="O112" s="1" t="s">
        <v>1490</v>
      </c>
      <c r="P112" s="1" t="s">
        <v>29</v>
      </c>
      <c r="Q112" s="1" t="s">
        <v>1621</v>
      </c>
      <c r="S112" s="1" t="s">
        <v>46</v>
      </c>
    </row>
    <row r="113">
      <c r="A113" s="1">
        <v>112.0</v>
      </c>
      <c r="B113" s="1" t="s">
        <v>1622</v>
      </c>
      <c r="C113" s="1" t="s">
        <v>21</v>
      </c>
      <c r="D113" s="1">
        <v>34.0</v>
      </c>
      <c r="E113" s="1">
        <v>20.0</v>
      </c>
      <c r="F113" s="1">
        <v>0.7</v>
      </c>
      <c r="H113" s="1" t="s">
        <v>911</v>
      </c>
      <c r="I113" s="4">
        <v>46208.51049768519</v>
      </c>
      <c r="J113" s="1" t="s">
        <v>1624</v>
      </c>
      <c r="K113" s="1">
        <v>20.0</v>
      </c>
      <c r="L113" s="1">
        <v>20.0</v>
      </c>
      <c r="M113" s="1">
        <v>20.0</v>
      </c>
      <c r="N113" s="5">
        <v>42994.0</v>
      </c>
      <c r="O113" s="1" t="s">
        <v>64</v>
      </c>
      <c r="P113" s="1" t="s">
        <v>29</v>
      </c>
      <c r="Q113" s="1" t="s">
        <v>1626</v>
      </c>
      <c r="S113" s="1" t="s">
        <v>46</v>
      </c>
    </row>
    <row r="114">
      <c r="A114" s="1">
        <v>113.0</v>
      </c>
      <c r="B114" s="1" t="s">
        <v>1628</v>
      </c>
      <c r="C114" s="1" t="s">
        <v>21</v>
      </c>
      <c r="D114" s="1">
        <v>0.0</v>
      </c>
      <c r="E114" s="1">
        <v>20.0</v>
      </c>
      <c r="F114" s="1">
        <v>0.3</v>
      </c>
      <c r="H114" s="1" t="s">
        <v>1628</v>
      </c>
      <c r="I114" s="4">
        <v>46206.2924537037</v>
      </c>
      <c r="J114" s="1" t="s">
        <v>1613</v>
      </c>
      <c r="K114" s="1">
        <v>20.0</v>
      </c>
      <c r="L114" s="1">
        <v>10.0</v>
      </c>
      <c r="M114" s="1">
        <v>10.0</v>
      </c>
      <c r="N114" s="5">
        <v>44392.0</v>
      </c>
      <c r="O114" s="1" t="s">
        <v>1490</v>
      </c>
      <c r="P114" s="1" t="s">
        <v>29</v>
      </c>
      <c r="Q114" s="1" t="s">
        <v>1633</v>
      </c>
      <c r="S114" s="1" t="s">
        <v>46</v>
      </c>
    </row>
    <row r="115">
      <c r="A115" s="1">
        <v>114.0</v>
      </c>
      <c r="B115" s="1" t="s">
        <v>1635</v>
      </c>
      <c r="C115" s="1" t="s">
        <v>21</v>
      </c>
      <c r="D115" s="1">
        <v>0.0</v>
      </c>
      <c r="E115" s="1">
        <v>20.0</v>
      </c>
      <c r="F115" s="1">
        <v>0.4</v>
      </c>
      <c r="H115" s="1" t="s">
        <v>1635</v>
      </c>
      <c r="I115" s="4">
        <v>46208.51415509259</v>
      </c>
      <c r="J115" s="1" t="s">
        <v>1638</v>
      </c>
      <c r="K115" s="1">
        <v>30.0</v>
      </c>
      <c r="L115" s="1">
        <v>50.0</v>
      </c>
      <c r="M115" s="1">
        <v>60.0</v>
      </c>
      <c r="N115" s="5">
        <v>42711.0</v>
      </c>
      <c r="O115" s="1" t="s">
        <v>1490</v>
      </c>
      <c r="P115" s="1" t="s">
        <v>29</v>
      </c>
      <c r="Q115" s="1" t="s">
        <v>1642</v>
      </c>
      <c r="S115" s="1" t="s">
        <v>46</v>
      </c>
    </row>
    <row r="116">
      <c r="A116" s="1">
        <v>115.0</v>
      </c>
      <c r="B116" s="1" t="s">
        <v>1644</v>
      </c>
      <c r="C116" s="1" t="s">
        <v>21</v>
      </c>
      <c r="D116" s="1">
        <v>26.0</v>
      </c>
      <c r="E116" s="1">
        <v>20.0</v>
      </c>
      <c r="F116" s="1">
        <v>0.6</v>
      </c>
      <c r="H116" s="1" t="s">
        <v>1229</v>
      </c>
      <c r="I116" s="4">
        <v>46235.90021990741</v>
      </c>
      <c r="J116" s="1" t="s">
        <v>40</v>
      </c>
      <c r="K116" s="1">
        <v>1900.0</v>
      </c>
      <c r="L116" s="1">
        <v>50.0</v>
      </c>
      <c r="M116" s="1">
        <v>50.0</v>
      </c>
      <c r="N116" s="5">
        <v>42512.0</v>
      </c>
      <c r="O116" s="1" t="s">
        <v>64</v>
      </c>
      <c r="P116" s="1" t="s">
        <v>29</v>
      </c>
      <c r="Q116" s="1" t="s">
        <v>1650</v>
      </c>
      <c r="S116" s="1" t="s">
        <v>34</v>
      </c>
    </row>
    <row r="117">
      <c r="A117" s="1">
        <v>116.0</v>
      </c>
      <c r="B117" s="1" t="s">
        <v>1652</v>
      </c>
      <c r="C117" s="1" t="s">
        <v>21</v>
      </c>
      <c r="D117" s="1">
        <v>0.0</v>
      </c>
      <c r="E117" s="1">
        <v>20.0</v>
      </c>
      <c r="F117" s="1">
        <v>0.2</v>
      </c>
      <c r="H117" s="1" t="s">
        <v>1655</v>
      </c>
      <c r="I117" s="4">
        <v>46232.899409722224</v>
      </c>
      <c r="J117" s="1" t="s">
        <v>1656</v>
      </c>
      <c r="K117" s="1">
        <v>150.0</v>
      </c>
      <c r="L117" s="1">
        <v>10.0</v>
      </c>
      <c r="M117" s="1">
        <v>10.0</v>
      </c>
      <c r="N117" s="5">
        <v>42604.0</v>
      </c>
      <c r="O117" s="1" t="s">
        <v>1490</v>
      </c>
      <c r="P117" s="1" t="s">
        <v>29</v>
      </c>
      <c r="Q117" s="1" t="s">
        <v>1661</v>
      </c>
      <c r="S117" s="1" t="s">
        <v>319</v>
      </c>
    </row>
    <row r="118">
      <c r="A118" s="1">
        <v>117.0</v>
      </c>
      <c r="B118" s="1" t="s">
        <v>1663</v>
      </c>
      <c r="C118" s="1" t="s">
        <v>21</v>
      </c>
      <c r="D118" s="1">
        <v>0.0</v>
      </c>
      <c r="E118" s="1">
        <v>10.0</v>
      </c>
      <c r="F118" s="1">
        <v>0.25</v>
      </c>
      <c r="H118" s="1" t="s">
        <v>1635</v>
      </c>
      <c r="I118" s="4">
        <v>46205.988958333335</v>
      </c>
      <c r="J118" s="1" t="s">
        <v>1666</v>
      </c>
      <c r="K118" s="1">
        <v>350.0</v>
      </c>
      <c r="L118" s="1">
        <v>50.0</v>
      </c>
      <c r="M118" s="1">
        <v>60.0</v>
      </c>
      <c r="N118" s="5">
        <v>42639.0</v>
      </c>
      <c r="O118" s="1" t="s">
        <v>1490</v>
      </c>
      <c r="P118" s="1" t="s">
        <v>29</v>
      </c>
      <c r="Q118" s="1" t="s">
        <v>1669</v>
      </c>
      <c r="S118" s="1" t="s">
        <v>1083</v>
      </c>
    </row>
    <row r="119">
      <c r="A119" s="1">
        <v>118.0</v>
      </c>
      <c r="B119" s="1" t="s">
        <v>1671</v>
      </c>
      <c r="C119" s="1" t="s">
        <v>21</v>
      </c>
      <c r="D119" s="1">
        <v>36.0</v>
      </c>
      <c r="E119" s="1">
        <v>10.0</v>
      </c>
      <c r="F119" s="1">
        <v>0.6</v>
      </c>
      <c r="H119" s="1" t="s">
        <v>71</v>
      </c>
      <c r="I119" s="4">
        <v>46204.58018518519</v>
      </c>
      <c r="J119" s="1" t="s">
        <v>1436</v>
      </c>
      <c r="K119" s="1">
        <v>1800.0</v>
      </c>
      <c r="L119" s="1">
        <v>100.0</v>
      </c>
      <c r="M119" s="1">
        <v>100.0</v>
      </c>
      <c r="N119" s="5">
        <v>42852.0</v>
      </c>
      <c r="O119" s="1" t="s">
        <v>64</v>
      </c>
      <c r="P119" s="1" t="s">
        <v>29</v>
      </c>
      <c r="Q119" s="1" t="s">
        <v>1677</v>
      </c>
      <c r="S119" s="1" t="s">
        <v>34</v>
      </c>
    </row>
    <row r="120">
      <c r="A120" s="1">
        <v>119.0</v>
      </c>
      <c r="B120" s="1" t="s">
        <v>1679</v>
      </c>
      <c r="C120" s="1" t="s">
        <v>21</v>
      </c>
      <c r="D120" s="1">
        <v>42.0</v>
      </c>
      <c r="E120" s="1">
        <v>10.0</v>
      </c>
      <c r="F120" s="1">
        <v>0.9</v>
      </c>
      <c r="H120" s="1" t="s">
        <v>1679</v>
      </c>
      <c r="I120" s="4">
        <v>46221.40891203703</v>
      </c>
      <c r="J120" s="1" t="s">
        <v>855</v>
      </c>
      <c r="K120" s="1">
        <v>10.0</v>
      </c>
      <c r="L120" s="1">
        <v>10.0</v>
      </c>
      <c r="M120" s="1">
        <v>10.0</v>
      </c>
      <c r="N120" s="5">
        <v>42432.0</v>
      </c>
      <c r="O120" s="1" t="s">
        <v>65</v>
      </c>
      <c r="P120" s="1" t="s">
        <v>29</v>
      </c>
      <c r="Q120" s="1" t="s">
        <v>1686</v>
      </c>
      <c r="S120" s="1" t="s">
        <v>46</v>
      </c>
    </row>
    <row r="121">
      <c r="A121" s="1">
        <v>120.0</v>
      </c>
      <c r="B121" s="1" t="s">
        <v>1688</v>
      </c>
      <c r="C121" s="1" t="s">
        <v>21</v>
      </c>
      <c r="D121" s="1">
        <v>0.0</v>
      </c>
      <c r="E121" s="1">
        <v>10.0</v>
      </c>
      <c r="F121" s="1">
        <v>0.6</v>
      </c>
      <c r="H121" s="1" t="s">
        <v>1688</v>
      </c>
      <c r="I121" s="4">
        <v>46215.60533564815</v>
      </c>
      <c r="J121" s="1" t="s">
        <v>1691</v>
      </c>
      <c r="K121" s="1">
        <v>20.0</v>
      </c>
      <c r="L121" s="1">
        <v>0.0</v>
      </c>
      <c r="M121" s="1">
        <v>0.0</v>
      </c>
      <c r="N121" s="5">
        <v>43596.0</v>
      </c>
      <c r="O121" s="1" t="s">
        <v>1490</v>
      </c>
      <c r="P121" s="1" t="s">
        <v>29</v>
      </c>
      <c r="Q121" s="1" t="s">
        <v>1695</v>
      </c>
      <c r="S121" s="1" t="s">
        <v>46</v>
      </c>
    </row>
    <row r="122">
      <c r="A122" s="1">
        <v>121.0</v>
      </c>
      <c r="B122" s="1" t="s">
        <v>1697</v>
      </c>
      <c r="C122" s="1" t="s">
        <v>21</v>
      </c>
      <c r="D122" s="1">
        <v>0.0</v>
      </c>
      <c r="E122" s="1">
        <v>10.0</v>
      </c>
      <c r="H122" s="1" t="s">
        <v>781</v>
      </c>
      <c r="I122" s="4">
        <v>46237.03959490741</v>
      </c>
      <c r="J122" s="1" t="s">
        <v>40</v>
      </c>
      <c r="K122" s="1">
        <v>30.0</v>
      </c>
      <c r="L122" s="1">
        <v>80.0</v>
      </c>
      <c r="M122" s="1">
        <v>80.0</v>
      </c>
      <c r="N122" s="5">
        <v>42382.0</v>
      </c>
      <c r="O122" s="1" t="s">
        <v>64</v>
      </c>
      <c r="P122" s="1" t="s">
        <v>29</v>
      </c>
      <c r="Q122" s="1" t="s">
        <v>1703</v>
      </c>
      <c r="S122" s="1" t="s">
        <v>34</v>
      </c>
    </row>
    <row r="123">
      <c r="A123" s="1">
        <v>122.0</v>
      </c>
      <c r="B123" s="1" t="s">
        <v>1707</v>
      </c>
      <c r="C123" s="1" t="s">
        <v>21</v>
      </c>
      <c r="D123" s="1">
        <v>0.0</v>
      </c>
      <c r="E123" s="1">
        <v>10.0</v>
      </c>
      <c r="F123" s="1">
        <v>0.3</v>
      </c>
      <c r="H123" s="1" t="s">
        <v>1635</v>
      </c>
      <c r="I123" s="4">
        <v>46207.016863425924</v>
      </c>
      <c r="J123" s="1" t="s">
        <v>1710</v>
      </c>
      <c r="K123" s="1">
        <v>450.0</v>
      </c>
      <c r="L123" s="1">
        <v>50.0</v>
      </c>
      <c r="M123" s="1">
        <v>60.0</v>
      </c>
      <c r="N123" s="5">
        <v>42299.0</v>
      </c>
      <c r="O123" s="1" t="s">
        <v>1490</v>
      </c>
      <c r="P123" s="1" t="s">
        <v>29</v>
      </c>
      <c r="Q123" s="1" t="s">
        <v>1713</v>
      </c>
      <c r="S123" s="1" t="s">
        <v>46</v>
      </c>
    </row>
    <row r="124">
      <c r="A124" s="1">
        <v>123.0</v>
      </c>
      <c r="B124" s="1" t="s">
        <v>1715</v>
      </c>
      <c r="C124" s="1" t="s">
        <v>21</v>
      </c>
      <c r="D124" s="1">
        <v>0.0</v>
      </c>
      <c r="E124" s="1">
        <v>10.0</v>
      </c>
      <c r="F124" s="1">
        <v>0.3</v>
      </c>
      <c r="H124" s="1" t="s">
        <v>1076</v>
      </c>
      <c r="I124" s="4">
        <v>46232.496516203704</v>
      </c>
      <c r="J124" s="1" t="s">
        <v>1478</v>
      </c>
      <c r="K124" s="1">
        <v>800.0</v>
      </c>
      <c r="L124" s="1">
        <v>40.0</v>
      </c>
      <c r="M124" s="1">
        <v>40.0</v>
      </c>
      <c r="N124" s="5">
        <v>43451.0</v>
      </c>
      <c r="O124" s="1" t="s">
        <v>65</v>
      </c>
      <c r="P124" s="1" t="s">
        <v>29</v>
      </c>
      <c r="Q124" s="1" t="s">
        <v>1719</v>
      </c>
      <c r="S124" s="1" t="s">
        <v>46</v>
      </c>
    </row>
    <row r="125">
      <c r="A125" s="1">
        <v>124.0</v>
      </c>
      <c r="B125" s="1" t="s">
        <v>1722</v>
      </c>
      <c r="C125" s="1" t="s">
        <v>21</v>
      </c>
      <c r="D125" s="1">
        <v>0.0</v>
      </c>
      <c r="E125" s="1">
        <v>10.0</v>
      </c>
      <c r="F125" s="1">
        <v>0.3</v>
      </c>
      <c r="H125" s="1" t="s">
        <v>1505</v>
      </c>
      <c r="I125" s="4">
        <v>46217.16175925926</v>
      </c>
      <c r="J125" s="1" t="s">
        <v>1725</v>
      </c>
      <c r="K125" s="1">
        <v>10.0</v>
      </c>
      <c r="L125" s="1">
        <v>10.0</v>
      </c>
      <c r="M125" s="1">
        <v>10.0</v>
      </c>
      <c r="N125" s="5">
        <v>42332.0</v>
      </c>
      <c r="O125" s="1" t="s">
        <v>1029</v>
      </c>
      <c r="P125" s="1" t="s">
        <v>29</v>
      </c>
      <c r="Q125" s="1" t="s">
        <v>1729</v>
      </c>
      <c r="S125" s="1" t="s">
        <v>46</v>
      </c>
    </row>
    <row r="126">
      <c r="A126" s="1">
        <v>125.0</v>
      </c>
      <c r="B126" s="1" t="s">
        <v>1731</v>
      </c>
      <c r="C126" s="1" t="s">
        <v>21</v>
      </c>
      <c r="D126" s="1">
        <v>31.0</v>
      </c>
      <c r="E126" s="1">
        <v>10.0</v>
      </c>
      <c r="F126" s="1">
        <v>0.4</v>
      </c>
      <c r="H126" s="1" t="s">
        <v>76</v>
      </c>
      <c r="I126" s="4">
        <v>46219.38684027778</v>
      </c>
      <c r="J126" s="1" t="s">
        <v>40</v>
      </c>
      <c r="K126" s="1">
        <v>200.0</v>
      </c>
      <c r="L126" s="1">
        <v>11000.0</v>
      </c>
      <c r="M126" s="1">
        <v>12000.0</v>
      </c>
      <c r="N126" s="5">
        <v>43932.0</v>
      </c>
      <c r="O126" s="1" t="s">
        <v>65</v>
      </c>
      <c r="P126" s="1" t="s">
        <v>29</v>
      </c>
      <c r="Q126" s="1" t="s">
        <v>1736</v>
      </c>
      <c r="S126" s="1" t="s">
        <v>46</v>
      </c>
    </row>
    <row r="127">
      <c r="A127" s="1">
        <v>126.0</v>
      </c>
      <c r="B127" s="1" t="s">
        <v>346</v>
      </c>
      <c r="C127" s="1" t="s">
        <v>21</v>
      </c>
      <c r="D127" s="1">
        <v>10.0</v>
      </c>
      <c r="E127" s="1">
        <v>10.0</v>
      </c>
      <c r="F127" s="1">
        <v>0.6</v>
      </c>
      <c r="H127" s="1" t="s">
        <v>84</v>
      </c>
      <c r="I127" s="4">
        <v>46225.053402777776</v>
      </c>
      <c r="J127" s="1" t="s">
        <v>40</v>
      </c>
      <c r="K127" s="1">
        <v>900.0</v>
      </c>
      <c r="L127" s="1">
        <v>100.0</v>
      </c>
      <c r="M127" s="1">
        <v>100.0</v>
      </c>
      <c r="N127" s="5">
        <v>43574.0</v>
      </c>
      <c r="O127" s="1" t="s">
        <v>64</v>
      </c>
      <c r="P127" s="1" t="s">
        <v>29</v>
      </c>
      <c r="Q127" s="1" t="s">
        <v>349</v>
      </c>
      <c r="S127" s="1" t="s">
        <v>46</v>
      </c>
    </row>
    <row r="128">
      <c r="A128" s="1">
        <v>127.0</v>
      </c>
      <c r="B128" s="1" t="s">
        <v>1745</v>
      </c>
      <c r="C128" s="1" t="s">
        <v>21</v>
      </c>
      <c r="D128" s="1">
        <v>0.0</v>
      </c>
      <c r="E128" s="1">
        <v>10.0</v>
      </c>
      <c r="F128" s="1">
        <v>0.8</v>
      </c>
      <c r="H128" s="1" t="s">
        <v>1747</v>
      </c>
      <c r="I128" s="4">
        <v>46215.10150462963</v>
      </c>
      <c r="J128" s="1" t="s">
        <v>40</v>
      </c>
      <c r="K128" s="1">
        <v>3600.0</v>
      </c>
      <c r="L128" s="1">
        <v>0.0</v>
      </c>
      <c r="M128" s="1">
        <v>0.0</v>
      </c>
      <c r="N128" s="5">
        <v>42496.0</v>
      </c>
      <c r="O128" s="1" t="s">
        <v>64</v>
      </c>
      <c r="P128" s="1" t="s">
        <v>29</v>
      </c>
      <c r="Q128" s="1" t="s">
        <v>1751</v>
      </c>
      <c r="S128" s="1" t="s">
        <v>46</v>
      </c>
    </row>
    <row r="129">
      <c r="A129" s="1">
        <v>128.0</v>
      </c>
      <c r="B129" s="1" t="s">
        <v>1754</v>
      </c>
      <c r="C129" s="1" t="s">
        <v>21</v>
      </c>
      <c r="D129" s="1">
        <v>0.0</v>
      </c>
      <c r="F129" s="1">
        <v>0.2</v>
      </c>
      <c r="H129" s="1" t="s">
        <v>1076</v>
      </c>
      <c r="I129" s="4">
        <v>46233.55755787037</v>
      </c>
      <c r="J129" s="1" t="s">
        <v>1478</v>
      </c>
      <c r="K129" s="1">
        <v>450.0</v>
      </c>
      <c r="L129" s="1">
        <v>40.0</v>
      </c>
      <c r="M129" s="1">
        <v>40.0</v>
      </c>
      <c r="N129" s="5">
        <v>44029.0</v>
      </c>
      <c r="O129" s="1" t="s">
        <v>1490</v>
      </c>
      <c r="P129" s="1" t="s">
        <v>29</v>
      </c>
      <c r="Q129" s="1" t="s">
        <v>1759</v>
      </c>
      <c r="S129" s="1" t="s">
        <v>1083</v>
      </c>
    </row>
    <row r="130">
      <c r="A130" s="1">
        <v>129.0</v>
      </c>
      <c r="B130" s="1" t="s">
        <v>1761</v>
      </c>
      <c r="C130" s="1" t="s">
        <v>21</v>
      </c>
      <c r="D130" s="1">
        <v>0.0</v>
      </c>
      <c r="F130" s="1">
        <v>0.3</v>
      </c>
      <c r="H130" s="1" t="s">
        <v>1764</v>
      </c>
      <c r="I130" s="4">
        <v>46235.56837962963</v>
      </c>
      <c r="J130" s="1" t="s">
        <v>1487</v>
      </c>
      <c r="L130" s="1">
        <v>10.0</v>
      </c>
      <c r="M130" s="1">
        <v>10.0</v>
      </c>
      <c r="N130" s="5">
        <v>43867.0</v>
      </c>
      <c r="O130" s="1" t="s">
        <v>1490</v>
      </c>
      <c r="P130" s="1" t="s">
        <v>29</v>
      </c>
      <c r="Q130" s="1" t="s">
        <v>1767</v>
      </c>
      <c r="S130" s="1" t="s">
        <v>46</v>
      </c>
    </row>
    <row r="131">
      <c r="A131" s="1">
        <v>130.0</v>
      </c>
      <c r="B131" s="1" t="s">
        <v>1770</v>
      </c>
      <c r="C131" s="1" t="s">
        <v>21</v>
      </c>
      <c r="D131" s="1">
        <v>0.0</v>
      </c>
      <c r="F131" s="1">
        <v>0.9</v>
      </c>
      <c r="H131" s="1" t="s">
        <v>1559</v>
      </c>
      <c r="I131" s="4">
        <v>46224.04127314815</v>
      </c>
      <c r="J131" s="1" t="s">
        <v>40</v>
      </c>
      <c r="L131" s="1">
        <v>0.0</v>
      </c>
      <c r="M131" s="1">
        <v>0.0</v>
      </c>
      <c r="N131" s="5">
        <v>42410.0</v>
      </c>
      <c r="O131" s="1" t="s">
        <v>64</v>
      </c>
      <c r="P131" s="1" t="s">
        <v>29</v>
      </c>
      <c r="Q131" s="1" t="s">
        <v>1776</v>
      </c>
      <c r="S131" s="1" t="s">
        <v>34</v>
      </c>
    </row>
    <row r="132">
      <c r="A132" s="1">
        <v>131.0</v>
      </c>
      <c r="B132" s="1" t="s">
        <v>1778</v>
      </c>
      <c r="C132" s="1" t="s">
        <v>21</v>
      </c>
      <c r="D132" s="1">
        <v>2.0</v>
      </c>
      <c r="H132" s="1" t="s">
        <v>20</v>
      </c>
      <c r="I132" s="4">
        <v>45370.89986111111</v>
      </c>
      <c r="J132" s="1" t="s">
        <v>1780</v>
      </c>
      <c r="L132" s="1">
        <v>150.0</v>
      </c>
      <c r="N132" s="5"/>
    </row>
    <row r="133">
      <c r="I133" s="4"/>
      <c r="N133" s="5"/>
    </row>
    <row r="134">
      <c r="I134" s="4"/>
      <c r="N134" s="5"/>
    </row>
    <row r="135">
      <c r="I135" s="4"/>
      <c r="N135" s="5"/>
    </row>
    <row r="136">
      <c r="I136" s="4"/>
      <c r="N136" s="5"/>
    </row>
    <row r="137">
      <c r="I137" s="4"/>
      <c r="N137" s="5"/>
    </row>
    <row r="138">
      <c r="I138" s="4"/>
      <c r="N138" s="5"/>
    </row>
    <row r="139">
      <c r="I139" s="4"/>
      <c r="N139" s="5"/>
    </row>
    <row r="140">
      <c r="I140" s="4"/>
      <c r="N140" s="5"/>
    </row>
    <row r="141">
      <c r="I141" s="4"/>
      <c r="N141" s="5"/>
    </row>
    <row r="142">
      <c r="I142" s="4"/>
      <c r="N142" s="5"/>
    </row>
    <row r="143">
      <c r="I143" s="4"/>
      <c r="N143" s="5"/>
    </row>
    <row r="144">
      <c r="I144" s="4"/>
      <c r="N144" s="5"/>
    </row>
    <row r="145">
      <c r="I145" s="4"/>
      <c r="N145" s="5"/>
    </row>
    <row r="146">
      <c r="I146" s="4"/>
      <c r="N146" s="5"/>
    </row>
    <row r="147">
      <c r="I147" s="4"/>
      <c r="N147" s="5"/>
    </row>
    <row r="148">
      <c r="I148" s="4"/>
      <c r="N148" s="5"/>
    </row>
    <row r="149">
      <c r="I149" s="4"/>
      <c r="N149" s="5"/>
    </row>
    <row r="150">
      <c r="I150" s="4"/>
      <c r="N150" s="5"/>
    </row>
    <row r="151">
      <c r="I151" s="4"/>
      <c r="N151" s="5"/>
    </row>
    <row r="152">
      <c r="I152" s="4"/>
      <c r="N152" s="5"/>
    </row>
    <row r="153">
      <c r="I153" s="4"/>
      <c r="N153" s="5"/>
    </row>
    <row r="154">
      <c r="I154" s="4"/>
      <c r="N154" s="5"/>
    </row>
    <row r="155">
      <c r="I155" s="4"/>
      <c r="N155" s="5"/>
    </row>
    <row r="156">
      <c r="I156" s="4"/>
      <c r="N156" s="5"/>
    </row>
    <row r="157">
      <c r="I157" s="4"/>
      <c r="N157" s="5"/>
    </row>
    <row r="158">
      <c r="I158" s="4"/>
      <c r="N158" s="5"/>
    </row>
    <row r="159">
      <c r="I159" s="4"/>
      <c r="N159" s="5"/>
    </row>
    <row r="160">
      <c r="I160" s="4"/>
      <c r="N160" s="5"/>
    </row>
    <row r="161">
      <c r="I161" s="4"/>
      <c r="N161" s="5"/>
    </row>
    <row r="162">
      <c r="I162" s="4"/>
      <c r="N162" s="5"/>
    </row>
    <row r="163">
      <c r="I163" s="4"/>
      <c r="N163" s="5"/>
    </row>
    <row r="164">
      <c r="I164" s="4"/>
      <c r="N164" s="5"/>
    </row>
    <row r="165">
      <c r="I165" s="4"/>
      <c r="N165" s="5"/>
    </row>
    <row r="166">
      <c r="I166" s="4"/>
      <c r="N166" s="5"/>
    </row>
    <row r="167">
      <c r="I167" s="4"/>
      <c r="N167" s="5"/>
    </row>
    <row r="168">
      <c r="I168" s="4"/>
      <c r="N168" s="5"/>
    </row>
    <row r="169">
      <c r="I169" s="4"/>
      <c r="N169" s="5"/>
    </row>
    <row r="170">
      <c r="I170" s="4"/>
      <c r="N170" s="5"/>
    </row>
    <row r="171">
      <c r="I171" s="4"/>
      <c r="N171" s="5"/>
    </row>
    <row r="172">
      <c r="I172" s="4"/>
      <c r="N172" s="5"/>
    </row>
    <row r="173">
      <c r="I173" s="4"/>
      <c r="N173" s="5"/>
    </row>
    <row r="174">
      <c r="I174" s="4"/>
      <c r="N174" s="5"/>
    </row>
    <row r="175">
      <c r="I175" s="4"/>
      <c r="N175" s="5"/>
    </row>
    <row r="176">
      <c r="I176" s="4"/>
      <c r="N176" s="5"/>
    </row>
    <row r="177">
      <c r="I177" s="4"/>
      <c r="N177" s="5"/>
    </row>
    <row r="178">
      <c r="I178" s="4"/>
      <c r="N178" s="5"/>
    </row>
    <row r="179">
      <c r="I179" s="4"/>
      <c r="N179" s="5"/>
    </row>
    <row r="180">
      <c r="I180" s="4"/>
      <c r="N180" s="5"/>
    </row>
    <row r="181">
      <c r="I181" s="4"/>
      <c r="N181" s="5"/>
    </row>
    <row r="182">
      <c r="I182" s="4"/>
      <c r="N182" s="5"/>
    </row>
    <row r="183">
      <c r="I183" s="4"/>
      <c r="N183" s="5"/>
    </row>
    <row r="184">
      <c r="I184" s="4"/>
      <c r="N184" s="5"/>
    </row>
    <row r="185">
      <c r="I185" s="4"/>
      <c r="N185" s="5"/>
    </row>
    <row r="186">
      <c r="I186" s="4"/>
      <c r="N186" s="5"/>
    </row>
    <row r="187">
      <c r="I187" s="4"/>
      <c r="N187" s="5"/>
    </row>
    <row r="188">
      <c r="I188" s="4"/>
      <c r="N188" s="5"/>
    </row>
    <row r="189">
      <c r="I189" s="4"/>
      <c r="N189" s="5"/>
    </row>
    <row r="190">
      <c r="I190" s="4"/>
      <c r="N190" s="5"/>
    </row>
    <row r="191">
      <c r="I191" s="4"/>
      <c r="N191" s="5"/>
    </row>
    <row r="192">
      <c r="I192" s="4"/>
      <c r="N192" s="5"/>
    </row>
    <row r="193">
      <c r="I193" s="4"/>
      <c r="N193" s="5"/>
    </row>
    <row r="194">
      <c r="I194" s="4"/>
      <c r="N194" s="5"/>
    </row>
    <row r="195">
      <c r="I195" s="4"/>
      <c r="N195" s="5"/>
    </row>
    <row r="196">
      <c r="I196" s="4"/>
      <c r="N196" s="5"/>
    </row>
    <row r="197">
      <c r="I197" s="4"/>
      <c r="N197" s="5"/>
    </row>
    <row r="198">
      <c r="I198" s="4"/>
      <c r="N198" s="5"/>
    </row>
    <row r="199">
      <c r="I199" s="4"/>
      <c r="N199" s="5"/>
    </row>
    <row r="200">
      <c r="I200" s="4"/>
      <c r="N200" s="5"/>
    </row>
    <row r="201">
      <c r="I201" s="4"/>
      <c r="N201" s="5"/>
    </row>
    <row r="202">
      <c r="I202" s="4"/>
      <c r="N202" s="5"/>
    </row>
    <row r="203">
      <c r="I203" s="4"/>
      <c r="N203" s="5"/>
    </row>
    <row r="204">
      <c r="I204" s="4"/>
      <c r="N204" s="5"/>
    </row>
    <row r="205">
      <c r="I205" s="4"/>
      <c r="N205" s="5"/>
    </row>
    <row r="206">
      <c r="I206" s="4"/>
      <c r="N206" s="5"/>
    </row>
    <row r="207">
      <c r="I207" s="4"/>
      <c r="N207" s="5"/>
    </row>
    <row r="208">
      <c r="I208" s="4"/>
      <c r="N208" s="5"/>
    </row>
    <row r="209">
      <c r="I209" s="4"/>
      <c r="N209" s="5"/>
    </row>
    <row r="210">
      <c r="I210" s="4"/>
      <c r="N210" s="5"/>
    </row>
    <row r="211">
      <c r="I211" s="4"/>
      <c r="N211" s="5"/>
    </row>
    <row r="212">
      <c r="I212" s="4"/>
      <c r="N212" s="5"/>
    </row>
    <row r="213">
      <c r="I213" s="4"/>
      <c r="N213" s="5"/>
    </row>
    <row r="214">
      <c r="I214" s="4"/>
      <c r="N214" s="5"/>
    </row>
    <row r="215">
      <c r="I215" s="4"/>
      <c r="N215" s="5"/>
    </row>
    <row r="216">
      <c r="I216" s="4"/>
      <c r="N216" s="5"/>
    </row>
    <row r="217">
      <c r="I217" s="4"/>
      <c r="N217" s="5"/>
    </row>
    <row r="218">
      <c r="I218" s="4"/>
      <c r="N218" s="5"/>
    </row>
    <row r="219">
      <c r="I219" s="4"/>
      <c r="N219" s="5"/>
    </row>
    <row r="220">
      <c r="I220" s="4"/>
      <c r="N220" s="5"/>
    </row>
    <row r="221">
      <c r="I221" s="4"/>
      <c r="N221" s="5"/>
    </row>
    <row r="222">
      <c r="I222" s="4"/>
      <c r="N222" s="5"/>
    </row>
    <row r="223">
      <c r="I223" s="4"/>
      <c r="N223" s="5"/>
    </row>
    <row r="224">
      <c r="I224" s="4"/>
      <c r="N224" s="5"/>
    </row>
    <row r="225">
      <c r="I225" s="4"/>
      <c r="N225" s="5"/>
    </row>
    <row r="226">
      <c r="I226" s="4"/>
      <c r="N226" s="5"/>
    </row>
    <row r="227">
      <c r="I227" s="4"/>
      <c r="N227" s="5"/>
    </row>
    <row r="228">
      <c r="I228" s="4"/>
      <c r="N228" s="5"/>
    </row>
    <row r="229">
      <c r="I229" s="4"/>
      <c r="N229" s="5"/>
    </row>
    <row r="230">
      <c r="I230" s="4"/>
      <c r="N230" s="5"/>
    </row>
    <row r="231">
      <c r="I231" s="4"/>
      <c r="N231" s="5"/>
    </row>
    <row r="232">
      <c r="I232" s="4"/>
      <c r="N232" s="5"/>
    </row>
    <row r="233">
      <c r="I233" s="4"/>
      <c r="N233" s="5"/>
    </row>
    <row r="234">
      <c r="I234" s="4"/>
      <c r="N234" s="5"/>
    </row>
    <row r="235">
      <c r="I235" s="4"/>
      <c r="N235" s="5"/>
    </row>
    <row r="236">
      <c r="I236" s="4"/>
      <c r="N236" s="5"/>
    </row>
    <row r="237">
      <c r="I237" s="4"/>
      <c r="N237" s="5"/>
    </row>
    <row r="238">
      <c r="I238" s="4"/>
      <c r="N238" s="5"/>
    </row>
    <row r="239">
      <c r="I239" s="4"/>
      <c r="N239" s="5"/>
    </row>
    <row r="240">
      <c r="I240" s="4"/>
      <c r="N240" s="5"/>
    </row>
    <row r="241">
      <c r="I241" s="4"/>
      <c r="N241" s="5"/>
    </row>
    <row r="242">
      <c r="I242" s="4"/>
      <c r="N242" s="5"/>
    </row>
    <row r="243">
      <c r="I243" s="4"/>
      <c r="N243" s="5"/>
    </row>
    <row r="244">
      <c r="I244" s="4"/>
      <c r="N244" s="5"/>
    </row>
    <row r="245">
      <c r="I245" s="4"/>
      <c r="N245" s="5"/>
    </row>
    <row r="246">
      <c r="I246" s="4"/>
      <c r="N246" s="5"/>
    </row>
    <row r="247">
      <c r="I247" s="4"/>
      <c r="N247" s="5"/>
    </row>
    <row r="248">
      <c r="I248" s="4"/>
      <c r="N248" s="5"/>
    </row>
    <row r="249">
      <c r="I249" s="4"/>
      <c r="N249" s="5"/>
    </row>
    <row r="250">
      <c r="I250" s="4"/>
      <c r="N250" s="5"/>
    </row>
    <row r="251">
      <c r="I251" s="4"/>
      <c r="N251" s="5"/>
    </row>
    <row r="252">
      <c r="I252" s="4"/>
      <c r="N252" s="5"/>
    </row>
    <row r="253">
      <c r="I253" s="4"/>
      <c r="N253" s="5"/>
    </row>
    <row r="254">
      <c r="I254" s="4"/>
      <c r="N254" s="5"/>
    </row>
    <row r="255">
      <c r="I255" s="4"/>
      <c r="N255" s="5"/>
    </row>
    <row r="256">
      <c r="I256" s="4"/>
      <c r="N256" s="5"/>
    </row>
    <row r="257">
      <c r="I257" s="4"/>
      <c r="N257" s="5"/>
    </row>
    <row r="258">
      <c r="I258" s="4"/>
      <c r="N258" s="5"/>
    </row>
    <row r="259">
      <c r="I259" s="4"/>
      <c r="N259" s="5"/>
    </row>
    <row r="260">
      <c r="I260" s="4"/>
      <c r="N260" s="5"/>
    </row>
    <row r="261">
      <c r="I261" s="4"/>
      <c r="N261" s="5"/>
    </row>
    <row r="262">
      <c r="I262" s="4"/>
      <c r="N262" s="5"/>
    </row>
    <row r="263">
      <c r="I263" s="4"/>
      <c r="N263" s="5"/>
    </row>
    <row r="264">
      <c r="I264" s="4"/>
      <c r="N264" s="5"/>
    </row>
    <row r="265">
      <c r="I265" s="4"/>
      <c r="N265" s="5"/>
    </row>
    <row r="266">
      <c r="I266" s="4"/>
      <c r="N266" s="5"/>
    </row>
    <row r="267">
      <c r="I267" s="4"/>
      <c r="N267" s="5"/>
    </row>
    <row r="268">
      <c r="I268" s="4"/>
      <c r="N268" s="5"/>
    </row>
    <row r="269">
      <c r="I269" s="4"/>
      <c r="N269" s="5"/>
    </row>
    <row r="270">
      <c r="I270" s="4"/>
      <c r="N270" s="5"/>
    </row>
    <row r="271">
      <c r="I271" s="4"/>
      <c r="N271" s="5"/>
    </row>
    <row r="272">
      <c r="I272" s="4"/>
      <c r="N272" s="5"/>
    </row>
    <row r="273">
      <c r="I273" s="4"/>
      <c r="N273" s="5"/>
    </row>
    <row r="274">
      <c r="I274" s="4"/>
      <c r="N274" s="5"/>
    </row>
    <row r="275">
      <c r="I275" s="4"/>
      <c r="N275" s="5"/>
    </row>
    <row r="276">
      <c r="I276" s="4"/>
      <c r="N276" s="5"/>
    </row>
    <row r="277">
      <c r="I277" s="4"/>
      <c r="N277" s="5"/>
    </row>
    <row r="278">
      <c r="I278" s="4"/>
      <c r="N278" s="5"/>
    </row>
    <row r="279">
      <c r="I279" s="4"/>
      <c r="N279" s="5"/>
    </row>
    <row r="280">
      <c r="I280" s="4"/>
      <c r="N280" s="5"/>
    </row>
    <row r="281">
      <c r="I281" s="4"/>
      <c r="N281" s="5"/>
    </row>
    <row r="282">
      <c r="I282" s="4"/>
      <c r="N282" s="5"/>
    </row>
    <row r="283">
      <c r="I283" s="4"/>
      <c r="N283" s="5"/>
    </row>
    <row r="284">
      <c r="I284" s="4"/>
      <c r="N284" s="5"/>
    </row>
    <row r="285">
      <c r="I285" s="4"/>
      <c r="N285" s="5"/>
    </row>
    <row r="286">
      <c r="I286" s="4"/>
      <c r="N286" s="5"/>
    </row>
    <row r="287">
      <c r="I287" s="4"/>
      <c r="N287" s="5"/>
    </row>
    <row r="288">
      <c r="I288" s="4"/>
      <c r="N288" s="5"/>
    </row>
    <row r="289">
      <c r="I289" s="4"/>
      <c r="N289" s="5"/>
    </row>
    <row r="290">
      <c r="I290" s="4"/>
      <c r="N290" s="5"/>
    </row>
    <row r="291">
      <c r="I291" s="4"/>
      <c r="N291" s="5"/>
    </row>
    <row r="292">
      <c r="I292" s="4"/>
      <c r="N292" s="5"/>
    </row>
    <row r="293">
      <c r="I293" s="4"/>
      <c r="N293" s="5"/>
    </row>
    <row r="294">
      <c r="I294" s="4"/>
      <c r="N294" s="5"/>
    </row>
    <row r="295">
      <c r="I295" s="4"/>
      <c r="N295" s="5"/>
    </row>
    <row r="296">
      <c r="I296" s="4"/>
      <c r="N296" s="5"/>
    </row>
    <row r="297">
      <c r="I297" s="4"/>
      <c r="N297" s="5"/>
    </row>
    <row r="298">
      <c r="I298" s="4"/>
      <c r="N298" s="5"/>
    </row>
    <row r="299">
      <c r="I299" s="4"/>
      <c r="N299" s="5"/>
    </row>
    <row r="300">
      <c r="I300" s="4"/>
      <c r="N300" s="5"/>
    </row>
    <row r="301">
      <c r="I301" s="4"/>
      <c r="N301" s="5"/>
    </row>
    <row r="302">
      <c r="I302" s="4"/>
      <c r="N302" s="5"/>
    </row>
    <row r="303">
      <c r="I303" s="4"/>
      <c r="N303" s="5"/>
    </row>
    <row r="304">
      <c r="I304" s="4"/>
      <c r="N304" s="5"/>
    </row>
    <row r="305">
      <c r="I305" s="4"/>
      <c r="N305" s="5"/>
    </row>
    <row r="306">
      <c r="I306" s="4"/>
      <c r="N306" s="5"/>
    </row>
    <row r="307">
      <c r="I307" s="4"/>
      <c r="N307" s="5"/>
    </row>
    <row r="308">
      <c r="I308" s="4"/>
      <c r="N308" s="5"/>
    </row>
    <row r="309">
      <c r="I309" s="4"/>
      <c r="N309" s="5"/>
    </row>
    <row r="310">
      <c r="I310" s="4"/>
      <c r="N310" s="5"/>
    </row>
    <row r="311">
      <c r="I311" s="4"/>
      <c r="N311" s="5"/>
    </row>
    <row r="312">
      <c r="I312" s="4"/>
      <c r="N312" s="5"/>
    </row>
    <row r="313">
      <c r="I313" s="4"/>
      <c r="N313" s="5"/>
    </row>
    <row r="314">
      <c r="I314" s="4"/>
      <c r="N314" s="5"/>
    </row>
    <row r="315">
      <c r="I315" s="4"/>
      <c r="N315" s="5"/>
    </row>
    <row r="316">
      <c r="I316" s="4"/>
      <c r="N316" s="5"/>
    </row>
    <row r="317">
      <c r="I317" s="4"/>
      <c r="N317" s="5"/>
    </row>
    <row r="318">
      <c r="I318" s="4"/>
      <c r="N318" s="5"/>
    </row>
    <row r="319">
      <c r="I319" s="4"/>
      <c r="N319" s="5"/>
    </row>
    <row r="320">
      <c r="I320" s="4"/>
      <c r="N320" s="5"/>
    </row>
    <row r="321">
      <c r="I321" s="4"/>
      <c r="N321" s="5"/>
    </row>
    <row r="322">
      <c r="I322" s="4"/>
      <c r="N322" s="5"/>
    </row>
    <row r="323">
      <c r="I323" s="4"/>
      <c r="N323" s="5"/>
    </row>
    <row r="324">
      <c r="I324" s="4"/>
      <c r="N324" s="5"/>
    </row>
    <row r="325">
      <c r="I325" s="4"/>
      <c r="N325" s="5"/>
    </row>
    <row r="326">
      <c r="I326" s="4"/>
      <c r="N326" s="5"/>
    </row>
    <row r="327">
      <c r="I327" s="4"/>
      <c r="N327" s="5"/>
    </row>
    <row r="328">
      <c r="I328" s="4"/>
      <c r="N328" s="5"/>
    </row>
    <row r="329">
      <c r="I329" s="4"/>
      <c r="N329" s="5"/>
    </row>
    <row r="330">
      <c r="I330" s="4"/>
      <c r="N330" s="5"/>
    </row>
    <row r="331">
      <c r="I331" s="4"/>
      <c r="N331" s="5"/>
    </row>
    <row r="332">
      <c r="I332" s="4"/>
      <c r="N332" s="5"/>
    </row>
    <row r="333">
      <c r="I333" s="4"/>
      <c r="N333" s="5"/>
    </row>
    <row r="334">
      <c r="I334" s="4"/>
      <c r="N334" s="5"/>
    </row>
    <row r="335">
      <c r="I335" s="4"/>
      <c r="N335" s="5"/>
    </row>
    <row r="336">
      <c r="I336" s="4"/>
      <c r="N336" s="5"/>
    </row>
    <row r="337">
      <c r="I337" s="4"/>
      <c r="N337" s="5"/>
    </row>
    <row r="338">
      <c r="I338" s="4"/>
      <c r="N338" s="5"/>
    </row>
    <row r="339">
      <c r="I339" s="4"/>
      <c r="N339" s="5"/>
    </row>
    <row r="340">
      <c r="I340" s="4"/>
      <c r="N340" s="5"/>
    </row>
    <row r="341">
      <c r="I341" s="4"/>
      <c r="N341" s="5"/>
    </row>
    <row r="342">
      <c r="I342" s="4"/>
      <c r="N342" s="5"/>
    </row>
    <row r="343">
      <c r="I343" s="4"/>
      <c r="N343" s="5"/>
    </row>
    <row r="344">
      <c r="I344" s="4"/>
      <c r="N344" s="5"/>
    </row>
    <row r="345">
      <c r="I345" s="4"/>
      <c r="N345" s="5"/>
    </row>
    <row r="346">
      <c r="I346" s="4"/>
      <c r="N346" s="5"/>
    </row>
    <row r="347">
      <c r="I347" s="4"/>
      <c r="N347" s="5"/>
    </row>
    <row r="348">
      <c r="I348" s="4"/>
      <c r="N348" s="5"/>
    </row>
    <row r="349">
      <c r="I349" s="4"/>
      <c r="N349" s="5"/>
    </row>
    <row r="350">
      <c r="I350" s="4"/>
      <c r="N350" s="5"/>
    </row>
    <row r="351">
      <c r="I351" s="4"/>
      <c r="N351" s="5"/>
    </row>
    <row r="352">
      <c r="I352" s="4"/>
      <c r="N352" s="5"/>
    </row>
    <row r="353">
      <c r="I353" s="4"/>
      <c r="N353" s="5"/>
    </row>
    <row r="354">
      <c r="I354" s="4"/>
      <c r="N354" s="5"/>
    </row>
    <row r="355">
      <c r="I355" s="4"/>
      <c r="N355" s="5"/>
    </row>
    <row r="356">
      <c r="I356" s="4"/>
      <c r="N356" s="5"/>
    </row>
    <row r="357">
      <c r="I357" s="4"/>
      <c r="N357" s="5"/>
    </row>
    <row r="358">
      <c r="I358" s="4"/>
      <c r="N358" s="5"/>
    </row>
    <row r="359">
      <c r="I359" s="4"/>
      <c r="N359" s="5"/>
    </row>
    <row r="360">
      <c r="I360" s="4"/>
      <c r="N360" s="5"/>
    </row>
    <row r="361">
      <c r="I361" s="4"/>
      <c r="N361" s="5"/>
    </row>
    <row r="362">
      <c r="I362" s="4"/>
      <c r="N362" s="5"/>
    </row>
    <row r="363">
      <c r="I363" s="4"/>
      <c r="N363" s="5"/>
    </row>
    <row r="364">
      <c r="I364" s="4"/>
      <c r="N364" s="5"/>
    </row>
    <row r="365">
      <c r="I365" s="4"/>
      <c r="N365" s="5"/>
    </row>
    <row r="366">
      <c r="I366" s="4"/>
      <c r="N366" s="5"/>
    </row>
    <row r="367">
      <c r="I367" s="4"/>
      <c r="N367" s="5"/>
    </row>
    <row r="368">
      <c r="I368" s="4"/>
      <c r="N368" s="5"/>
    </row>
    <row r="369">
      <c r="I369" s="4"/>
      <c r="N369" s="5"/>
    </row>
    <row r="370">
      <c r="I370" s="4"/>
      <c r="N370" s="5"/>
    </row>
    <row r="371">
      <c r="I371" s="4"/>
      <c r="N371" s="5"/>
    </row>
    <row r="372">
      <c r="I372" s="4"/>
      <c r="N372" s="5"/>
    </row>
    <row r="373">
      <c r="I373" s="4"/>
      <c r="N373" s="5"/>
    </row>
    <row r="374">
      <c r="I374" s="4"/>
      <c r="N374" s="5"/>
    </row>
    <row r="375">
      <c r="I375" s="4"/>
      <c r="N375" s="5"/>
    </row>
    <row r="376">
      <c r="I376" s="4"/>
      <c r="N376" s="5"/>
    </row>
    <row r="377">
      <c r="I377" s="4"/>
      <c r="N377" s="5"/>
    </row>
    <row r="378">
      <c r="I378" s="4"/>
      <c r="N378" s="5"/>
    </row>
    <row r="379">
      <c r="I379" s="4"/>
      <c r="N379" s="5"/>
    </row>
    <row r="380">
      <c r="I380" s="4"/>
      <c r="N380" s="5"/>
    </row>
    <row r="381">
      <c r="I381" s="4"/>
      <c r="N381" s="5"/>
    </row>
    <row r="382">
      <c r="I382" s="4"/>
      <c r="N382" s="5"/>
    </row>
    <row r="383">
      <c r="I383" s="4"/>
      <c r="N383" s="5"/>
    </row>
    <row r="384">
      <c r="I384" s="4"/>
      <c r="N384" s="5"/>
    </row>
    <row r="385">
      <c r="I385" s="4"/>
      <c r="N385" s="5"/>
    </row>
    <row r="386">
      <c r="I386" s="4"/>
      <c r="N386" s="5"/>
    </row>
    <row r="387">
      <c r="I387" s="4"/>
      <c r="N387" s="5"/>
    </row>
    <row r="388">
      <c r="I388" s="4"/>
      <c r="N388" s="5"/>
    </row>
    <row r="389">
      <c r="I389" s="4"/>
      <c r="N389" s="5"/>
    </row>
    <row r="390">
      <c r="I390" s="4"/>
      <c r="N390" s="5"/>
    </row>
    <row r="391">
      <c r="I391" s="4"/>
      <c r="N391" s="5"/>
    </row>
  </sheetData>
  <autoFilter ref="$A$1:$Z$1000"/>
  <drawing r:id="rId1"/>
</worksheet>
</file>