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Instagram" sheetId="6" r:id="rId10"/>
    <sheet state="visible" name="URLs Clutch.co" sheetId="7" r:id="rId11"/>
    <sheet state="visible" name="URLs Sortlist" sheetId="8" r:id="rId12"/>
    <sheet state="visible" name="URLs Pushgroup" sheetId="9" r:id="rId13"/>
    <sheet state="visible" name="URLs Top Developers" sheetId="10" r:id="rId14"/>
    <sheet state="visible" name="URLs Semrush" sheetId="11" r:id="rId15"/>
    <sheet state="visible" name="URLs Directive Consulting" sheetId="12" r:id="rId16"/>
    <sheet state="visible" name="URLs Design Rush" sheetId="13" r:id="rId17"/>
    <sheet state="hidden" name="URLs TripAdvisor" sheetId="14" r:id="rId18"/>
    <sheet state="visible" name="URLs Reddit" sheetId="15" r:id="rId19"/>
    <sheet state="visible" name="URLs Quora" sheetId="16" r:id="rId20"/>
    <sheet state="visible" name="URLs Medium" sheetId="17" r:id="rId21"/>
    <sheet state="visible" name="URLs Directories" sheetId="18" r:id="rId22"/>
    <sheet state="visible" name="URLs Facebook" sheetId="19" r:id="rId23"/>
    <sheet state="visible" name="URLs LinkedIn" sheetId="20" r:id="rId24"/>
    <sheet state="visible" name="URLs Wikipedia" sheetId="21" r:id="rId25"/>
    <sheet state="visible" name="Types Alternative" sheetId="22" r:id="rId26"/>
    <sheet state="visible" name="Types Article" sheetId="23" r:id="rId27"/>
    <sheet state="visible" name="Types Category" sheetId="24" r:id="rId28"/>
    <sheet state="visible" name="Types Comparison" sheetId="25" r:id="rId29"/>
    <sheet state="visible" name="Types Discussion" sheetId="26" r:id="rId30"/>
    <sheet state="visible" name="Types Homepage" sheetId="27" r:id="rId31"/>
    <sheet state="visible" name="Types How-to guide" sheetId="28" r:id="rId32"/>
    <sheet state="visible" name="Types Listicle" sheetId="29" r:id="rId33"/>
    <sheet state="visible" name="Types Other" sheetId="30" r:id="rId34"/>
    <sheet state="visible" name="Types Product page" sheetId="31" r:id="rId35"/>
    <sheet state="visible" name="Types Profile" sheetId="32" r:id="rId36"/>
  </sheets>
  <definedNames>
    <definedName hidden="1" localSheetId="0" name="_xlnm._FilterDatabase">'PEEC - Domains'!$A$1:$Z$995</definedName>
    <definedName hidden="1" localSheetId="1" name="_xlnm._FilterDatabase">'PEEC - URLs - All'!$A$1:$Z$2073</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Instagram'!$A$1:$Z$802</definedName>
    <definedName hidden="1" localSheetId="6" name="_xlnm._FilterDatabase">'URLs Clutch.co'!$A$1:$Z$802</definedName>
    <definedName hidden="1" localSheetId="7" name="_xlnm._FilterDatabase">'URLs Sortlist'!$A$1:$Z$802</definedName>
    <definedName hidden="1" localSheetId="8" name="_xlnm._FilterDatabase">'URLs Pushgroup'!$A$1:$Z$802</definedName>
    <definedName hidden="1" localSheetId="9" name="_xlnm._FilterDatabase">'URLs Top Developers'!$A$1:$Z$802</definedName>
    <definedName hidden="1" localSheetId="10" name="_xlnm._FilterDatabase">'URLs Semrush'!$A$1:$Z$802</definedName>
    <definedName hidden="1" localSheetId="11" name="_xlnm._FilterDatabase">'URLs Directive Consulting'!$A$1:$Z$802</definedName>
    <definedName hidden="1" localSheetId="12" name="_xlnm._FilterDatabase">'URLs Design Rush'!$A$1:$Z$802</definedName>
    <definedName hidden="1" localSheetId="13" name="_xlnm._FilterDatabase">'URLs TripAdvisor'!$A$1:$Z$802</definedName>
    <definedName hidden="1" localSheetId="14" name="_xlnm._FilterDatabase">'URLs Reddit'!$A$1:$Z$802</definedName>
    <definedName hidden="1" localSheetId="15" name="_xlnm._FilterDatabase">'URLs Quora'!$A$1:$Z$802</definedName>
    <definedName hidden="1" localSheetId="16" name="_xlnm._FilterDatabase">'URLs Medium'!$A$1:$Z$802</definedName>
    <definedName hidden="1" localSheetId="17" name="_xlnm._FilterDatabase">'URLs Directories'!$A$1:$Z$802</definedName>
    <definedName hidden="1" localSheetId="18" name="_xlnm._FilterDatabase">'URLs Facebook'!$A$1:$Z$802</definedName>
    <definedName hidden="1" localSheetId="19" name="_xlnm._FilterDatabase">'URLs LinkedIn'!$A$1:$Z$802</definedName>
    <definedName hidden="1" localSheetId="20" name="_xlnm._FilterDatabase">'URLs Wikipedia'!$A$1:$Z$802</definedName>
    <definedName hidden="1" localSheetId="21" name="_xlnm._FilterDatabase">'Types Alternative'!$A$1:$Z$802</definedName>
    <definedName hidden="1" localSheetId="22" name="_xlnm._FilterDatabase">'Types Article'!$A$1:$Z$802</definedName>
    <definedName hidden="1" localSheetId="23" name="_xlnm._FilterDatabase">'Types Category'!$A$1:$Z$802</definedName>
    <definedName hidden="1" localSheetId="24" name="_xlnm._FilterDatabase">'Types Comparison'!$A$1:$Z$802</definedName>
    <definedName hidden="1" localSheetId="25" name="_xlnm._FilterDatabase">'Types Discussion'!$A$1:$Z$802</definedName>
    <definedName hidden="1" localSheetId="26" name="_xlnm._FilterDatabase">'Types Homepage'!$A$1:$Z$802</definedName>
    <definedName hidden="1" localSheetId="27" name="_xlnm._FilterDatabase">'Types How-to guide'!$A$1:$Z$802</definedName>
    <definedName hidden="1" localSheetId="28" name="_xlnm._FilterDatabase">'Types Listicle'!$A$1:$Z$802</definedName>
    <definedName hidden="1" localSheetId="29" name="_xlnm._FilterDatabase">'Types Other'!$A$1:$Z$802</definedName>
    <definedName hidden="1" localSheetId="30" name="_xlnm._FilterDatabase">'Types Product page'!$A$1:$Z$802</definedName>
    <definedName hidden="1" localSheetId="31" name="_xlnm._FilterDatabase">'Types Profile'!$A$1:$Z$802</definedName>
  </definedNames>
  <calcPr/>
</workbook>
</file>

<file path=xl/sharedStrings.xml><?xml version="1.0" encoding="utf-8"?>
<sst xmlns="http://schemas.openxmlformats.org/spreadsheetml/2006/main" count="12821" uniqueCount="4791">
  <si>
    <t>domain</t>
  </si>
  <si>
    <t>url</t>
  </si>
  <si>
    <t>type</t>
  </si>
  <si>
    <t>mentions</t>
  </si>
  <si>
    <t>retrievals</t>
  </si>
  <si>
    <t>title</t>
  </si>
  <si>
    <t>retrievals_delta</t>
  </si>
  <si>
    <t>retrieved</t>
  </si>
  <si>
    <t>url_classification</t>
  </si>
  <si>
    <t>retrieval_rate</t>
  </si>
  <si>
    <t>domain_classification</t>
  </si>
  <si>
    <t>citation_rate</t>
  </si>
  <si>
    <t>mentioned</t>
  </si>
  <si>
    <t>citation_rate_delta</t>
  </si>
  <si>
    <t>retrieved_percentage</t>
  </si>
  <si>
    <t>sortlist.com</t>
  </si>
  <si>
    <t>https://www.topdevelopers.co/directory/digital-marketing-agencies-in-uae</t>
  </si>
  <si>
    <t>Corporate</t>
  </si>
  <si>
    <t>DigitalFarm, Growth Hackers, Digital Gravity, Adapts Media, Praxis Advertising, Push, ASTUDIO, Ninja Promo, Momentum, AlCaz Media, M3.agency, Admoon, intouch, LUMINA, Solved6, Huge, Measured, Hovi Digital Lab, Web Tonic, Dot IT, Bird Marketing, Pixoo Media, Créo Global, ENH Marketing, EDS FZCO, BIG LAB, Nielsen</t>
  </si>
  <si>
    <t>clutch.co</t>
  </si>
  <si>
    <t>topdevelopers.co</t>
  </si>
  <si>
    <t>intouch, Push, New Engen, Disruptive Advertising, Ninja Promo, Digital Gravity, Prism Digital, Web Tonic, ENH Marketing, Blue Beetle, Dot IT, INSIDEA, M3.agency, inBeat, GrowthSpree, Tinuiti, Brainlabs, YouYaa, Huge, Bird Marketing, Hovi Digital Lab, Leads Dubai, Admoon, Momentum, NoGood, EDS FZCO, Pixoo Media, TIDAL Digital, M&amp;C Saatchi Performance, GPS Marketing Agency, AlCaz Media, Mindshare, Kantar, Sapience</t>
  </si>
  <si>
    <t>semrush.com</t>
  </si>
  <si>
    <t>CATEGORY_PAGE</t>
  </si>
  <si>
    <t>Chain Reaction, Bird Marketing, Acquisit, Measured, SEO Sherpa, Web Tonic, Leads Dubai, Kleosa, Dot IT, United SEO, DigitalFarm, intouch</t>
  </si>
  <si>
    <t>UGC</t>
  </si>
  <si>
    <t>Top 50+ Digital Marketing Agencies in UAE - July 2026 Reviews | Topdevelopers.co</t>
  </si>
  <si>
    <t>Category Page</t>
  </si>
  <si>
    <t>Digital Gravity, Integrate Solutions, Global Media Insight, GCC Marketing, Bird Marketing, Prism Digital, Huge, Digital Media Sapiens, intouch</t>
  </si>
  <si>
    <t>bicommunications.ae</t>
  </si>
  <si>
    <t>https://www.pushgroup.ae/blog/top-9-geo-agencies-in-dubai</t>
  </si>
  <si>
    <t>Tenet, Bird Marketing, WebFX, Leads Dubai, Dot IT, LUMINA, Blue Beetle, Adapts Media, Admoon, Ninja Promo, intouch, Momentum, NEXA, Prism Digital, Global Media Insight, Measured, Red Berries, Chain Reaction, Web Tonic, inBeat, GCC Marketing, ASTUDIO, Solved6, DigitalFarm, Digital Gravity, Acquisit, United SEO, SEO Sherpa, AlCaz Media, Assembly MENA, Digital Media Sapiens, Royex Technologies, Pixoo Media, Upscale Digital, Publicis Groupe, Push, Praxis Advertising, Hovi Digital Lab, YouYaa</t>
  </si>
  <si>
    <t>pushgroup.ae</t>
  </si>
  <si>
    <t>digitalagencynetwork.com</t>
  </si>
  <si>
    <t>LISTICLE</t>
  </si>
  <si>
    <t>COMPETITOR</t>
  </si>
  <si>
    <t>Top 9 GEO Agencies in Dubai (2026) | PUSH</t>
  </si>
  <si>
    <t>Listicle</t>
  </si>
  <si>
    <t>Push, Chain Reaction, Tenet, KPMG, Digital Gravity, Global Media Insight, Royex Technologies, intouch, Push MENA</t>
  </si>
  <si>
    <t>Reference</t>
  </si>
  <si>
    <t>Bird Marketing, Glomm Digital, Chain Reaction, PwC, ASTUDIO, Adapts Media, NoGood, Ninja Promo, Boston Consulting Group, NEXA, Huge, Croud, Digital Gravity, Tenet, United SEO, AlCaz Media, Momentum, Measured</t>
  </si>
  <si>
    <t>https://www.wearetenet.com/blog/best-geo-services-in-dubai</t>
  </si>
  <si>
    <t>housesofgrowth.com</t>
  </si>
  <si>
    <t>wearetenet.com</t>
  </si>
  <si>
    <t>Competitor</t>
  </si>
  <si>
    <t>Digital Gravity, Bird Marketing, House of Growth, LUMINA, NoGood, iPullRank, WebFX, Siege Media, Chain Reaction, Global Media Insight, SEO Sherpa, United SEO, Leads Dubai, Blue Beetle, INSIDEA, NEXA</t>
  </si>
  <si>
    <t>CORPORATE</t>
  </si>
  <si>
    <t>10 Best GEO agencies in Dubai To Hire in 2026</t>
  </si>
  <si>
    <t>Tenet, Zenerom, Royex Technologies, ThatWare</t>
  </si>
  <si>
    <t>https://waimhub.com/best-aeo-geo-agencies-dubai/</t>
  </si>
  <si>
    <t>Push MENA, Digital Gravity, Chain Reaction, Tenet, Global Media Insight, Push, KPMG, Royex Technologies, intouch, NEXA, Momentum, SEO Sherpa, Bird Marketing, Publicis Groupe, FP7 McCann, Memac Ogilvy, WPP, TIDAL Digital, Prism Digital, Red Berries</t>
  </si>
  <si>
    <t>digitalgravity.ae</t>
  </si>
  <si>
    <t>waimhub.com</t>
  </si>
  <si>
    <t>Digital Gravity, NEXA, Tenet, Zenerom, Digital Arabia, Momentum, Bruce Clay MENA, Chain Reaction, Prism Digital, United SEO, Global Media Insight, Red Berries</t>
  </si>
  <si>
    <t>goodfirms.co</t>
  </si>
  <si>
    <t>Best AEO/GEO agencies in Dubai: honest guide</t>
  </si>
  <si>
    <t>intouch, WAIM, Chain Reaction, NEXA, Bruce Clay MENA</t>
  </si>
  <si>
    <t>https://digitalagencynetwork.com/agencies/dubai/</t>
  </si>
  <si>
    <t>Prism Digital, Digital Gravity, WebFX, intouch, Global Media Insight, Leads Dubai, Omnicom Media Group, Royex Technologies, Almost Impossible, ASTUDIO, Push, Monks, Momentum, Pixoo Media, Above Digital, C2C Media, AlCaz Media, NEXA</t>
  </si>
  <si>
    <t>Tenet, Zenerom, ThatWare, Royex Technologies, Digital Gravity, NEXA, Prism Digital, intouch, Chain Reaction, Global Media Insight, United SEO, SEO Sherpa, Red Berries, Blue Beetle, Admoon, TIDAL Digital</t>
  </si>
  <si>
    <t>WAIM, INSIDEA, intouch, Push, Bruce Clay MENA, Chain Reaction, NEXA</t>
  </si>
  <si>
    <t>PROFILE</t>
  </si>
  <si>
    <t>REFERENCE</t>
  </si>
  <si>
    <t>Best Digital Marketing Agencies in Dubai, UAE (2026)</t>
  </si>
  <si>
    <t>Profile</t>
  </si>
  <si>
    <t>Adapts Media, PwC, NEXA, Bird Marketing, AlCaz Media, Tenet, Digital Gravity, Glomm Digital, United SEO, ASTUDIO, Huge, Croud</t>
  </si>
  <si>
    <t>Dot IT, Integrate Solutions, Huge, Prism Digital, Digital Gravity, Bird Marketing, Global Media Insight, Digital Media Sapiens, GCC Marketing, intouch</t>
  </si>
  <si>
    <t>c2cmedia.ae</t>
  </si>
  <si>
    <t>https://www.digitalgravity.ae/blog/top-answer-engine-optimization-aeo-agencies-in-dubai/</t>
  </si>
  <si>
    <t>Huge, C2C Media, intouch, Measured, NEXA, Incubeta, Publicis Groupe, Chain Reaction, WPP, SEO Sherpa, Dentsu, Prism Digital, DigitalFarm, Global Media Insight, Growth Hackers</t>
  </si>
  <si>
    <t>designrush.com</t>
  </si>
  <si>
    <t>INSIDEA, Digital Gravity, Tenet, Bird Marketing, GCC Marketing, Growth Hackers, Huge, Disruptive Advertising, Push, Monks, Power Digital, NoGood, Wpromote, Web Tonic, PwC, M&amp;C Saatchi Performance, LUMINA, Digital Arabia, Dot IT, Measured, GPS Marketing Agency, EDS FZCO, Leads Dubai, Almost Impossible, Adapts Media, NEXA, SEO Sherpa, AlCaz Media</t>
  </si>
  <si>
    <t>thatware.co</t>
  </si>
  <si>
    <t>Top 12 Answer Engine Optimization (AEO) Agencies in Dubai – 2026 Rankings - Digital Gravity | UAE Digital Marketing &amp;amp; Web Design Insights</t>
  </si>
  <si>
    <t>Digital Gravity, Chain Reaction, NEXA, Bruce Clay MENA, United SEO, Red Berries, Global Media Insight, Prism Digital</t>
  </si>
  <si>
    <t>Prism Digital, Tenet, United SEO, Adapts Media, ThatWare, Momentum, Chain Reaction, SEO Sherpa, Zenerom, intouch, weDiscover, Measured, Single Grain, Bruce Clay MENA, Digital Gravity, NEXA, Blue Beetle, Red Berries, EDS FZCO, Global Media Insight, GCC Marketing, Bird Marketing</t>
  </si>
  <si>
    <t>https://www.phable.io/top-creative-agencies/top-10-creative-agencies-operating-in-the-uae</t>
  </si>
  <si>
    <t>phable.io</t>
  </si>
  <si>
    <t>Momentum, Impact BBDO, FP7 McCann, TBWA\RAAD, Memac Ogilvy, VML, WonderEight, Phable, Serviceplan Middle East, Leo Burnett MENA, M&amp;C Saatchi Performance, Publicis Groupe</t>
  </si>
  <si>
    <t>globalmediainsight.com</t>
  </si>
  <si>
    <t>Best Creative Agencies in the UAE (2026) | 10 Top Firms Reviewed — Branding And Content Marketing For Technology</t>
  </si>
  <si>
    <t>Phable, Impact BBDO, FP7 McCann, TBWA\RAAD, Memac Ogilvy, VML, M&amp;C Saatchi Performance, Serviceplan Middle East, WonderEight, Leo Burnett MENA, Momentum</t>
  </si>
  <si>
    <t>Global Media Insight, intouch, EDS FZCO, Leads Dubai</t>
  </si>
  <si>
    <t>https://www.housesofgrowth.com/post/ai-marketing-agencies-in-the-uae</t>
  </si>
  <si>
    <t>lengreo.com</t>
  </si>
  <si>
    <t>NoGood, WebFX, Digital Gravity, NEXA, EDS FZCO, DigitalFarm, Measured, Web Tonic, inBeat, Blue Beetle, Admoon</t>
  </si>
  <si>
    <t>inbeat.agency</t>
  </si>
  <si>
    <t>Nielsen, Momentum, WPP, inBeat, Tinuiti, Bark London, Darkroom, Push, NEXA, BIG LAB, Digital Gravity, Chain Reaction, ASTUDIO, GLMA Agency, TIDAL Digital, Bird Marketing, Zenerom, Adapts Media, Measured, Prism Digital, DigitalFarm, Global Media Insight, Web Tonic, Artefact, WebFX, Huge, M&amp;C Saatchi Performance, Growth Hackers</t>
  </si>
  <si>
    <t>reddit.com</t>
  </si>
  <si>
    <t>10 Best AI Marketing Agencies In The UAE In 2026 [Reviewed]</t>
  </si>
  <si>
    <t>Royex Technologies, Chain Reaction, Huge, Directive, iPullRank, Siege Media, Single Grain, Growth Hackers, NEXA, Publicis Groupe, Prism Digital, Global Media Insight, United SEO, SEO Sherpa, Red Berries, NoGood, Measured, Haus, Dentsu, Home of Performance, Acquisit, Merkle, House of Growth, LUMINA, TIDAL Digital, PHD, NP Digital, Assembly MENA, M&amp;C Saatchi Performance, DigitalFarm, Incubeta, Seven Media, intouch</t>
  </si>
  <si>
    <t>House of Growth, Chain Reaction, Digital Gravity, Bird Marketing, NEXA</t>
  </si>
  <si>
    <t>https://clutch.co/ae/agencies</t>
  </si>
  <si>
    <t>thehovi.com</t>
  </si>
  <si>
    <t>Other</t>
  </si>
  <si>
    <t>Hovi Digital Lab, Digital Gravity, NEXA, Chain Reaction, Prism Digital</t>
  </si>
  <si>
    <t>Top Advertising Agencies in the United Arab Emirates - Jul 2026 Rankings \| Clutch.co</t>
  </si>
  <si>
    <t>M3.agency, INSIDEA, YouYaa, Momentum, EDS FZCO, intouch, Leads Dubai, NoGood, Prism Digital</t>
  </si>
  <si>
    <t>webtonic.io</t>
  </si>
  <si>
    <t>https://clutch.co/ae/agencies/digital-marketing</t>
  </si>
  <si>
    <t>Tinuiti, Accenture Song, WPP, Wpromote, Superside, Web Tonic, intouch, Digital Gravity, Chain Reaction, NEXA, Prism Digital, DigitalFarm, SEO Sherpa, Blue Beetle, Power Digital, Croud, Brainlabs, NoGood, Disruptive Advertising, Directive, Jellyfish, Single Grain, Incubeta, VML, EDS FZCO, Dentsu, Impact BBDO, FP7 McCann, TBWA\RAAD, Memac Ogilvy, Bird Marketing, Global Media Insight, Red Berries, Merkle, PwC, Leads Dubai, inBeat, KPMG, ASTUDIO, Serviceplan Middle East, Momentum, Publicis Groupe, United SEO, AlCaz Media, Zenerom, TIDAL Digital, Push, Omnicom Media Group, GroupM</t>
  </si>
  <si>
    <t>Top Digital Marketing Agencies in the United Arab Emirates - Jul 2026 Rankings | Clutch.co</t>
  </si>
  <si>
    <t>Ninja Promo, Blue Beetle, Bird Marketing, Dot IT, intouch, M3.agency, INSIDEA, Admoon, Web Tonic, YouYaa, Digital Gravity, Leads Dubai, Huge, Hovi Digital Lab</t>
  </si>
  <si>
    <t>hypebox.me</t>
  </si>
  <si>
    <t>https://growthhackers.digital/best-performance-marketing-agencies-in-uae/</t>
  </si>
  <si>
    <t>INSIDEA, intouch, NEXA, Prism Digital, inBeat, ASTUDIO, Momentum, DigitalFarm</t>
  </si>
  <si>
    <t>growthhackers.digital</t>
  </si>
  <si>
    <t>List of Best Performance Marketing Agencies in the UAE</t>
  </si>
  <si>
    <t>Growth Hackers, intouch, Chain Reaction, Digital Gravity, Ninja Promo, Home of Performance, Blue Beetle, Red Berries</t>
  </si>
  <si>
    <t>https://agencies.semrush.com/list/dubai/</t>
  </si>
  <si>
    <t>Chain Reaction, Digital Gravity, Home of Performance, Red Berries, Blue Beetle, Ninja Promo, Growth Hackers, intouch</t>
  </si>
  <si>
    <t>lapaone.com</t>
  </si>
  <si>
    <t>Best Digital Marketing Agencies in Dubai 2026 | Semrush</t>
  </si>
  <si>
    <t>Bird Marketing, Leads Dubai, Kleosa, Dot IT, Acquisit, Chain Reaction, SEO Sherpa, Measured, Web Tonic</t>
  </si>
  <si>
    <t>https://www.sortlist.com/s/marketing-analytics/dubai-ae</t>
  </si>
  <si>
    <t>Zenerom, Digital Gravity, NEXA, Bird Marketing, ASTUDIO, Adapts Media, Upscale Digital</t>
  </si>
  <si>
    <t>spiderworks.ae</t>
  </si>
  <si>
    <t>Push, Digital Gravity, Publicis Groupe, Chain Reaction, NEXA, Prism Digital, Bird Marketing, United SEO, Dot IT, Omnicom Media Group, PHD</t>
  </si>
  <si>
    <t>digitalagencies.ae</t>
  </si>
  <si>
    <t>The 10 Best Marketing Analytics Companies in Dubai - 2026 Reviews</t>
  </si>
  <si>
    <t>AlCaz Media, Momentum, M3.agency, Praxis Advertising, Ninja Promo, intouch, Bird Marketing, Pixoo Media</t>
  </si>
  <si>
    <t>NEXA, Chain Reaction, Global Media Insight, Acquisit, Leads Dubai, WebFX, Assembly MENA, Prism Digital, Digital Media Sapiens, GPS Marketing Agency, intouch</t>
  </si>
  <si>
    <t>https://www.bicommunications.ae/blog/best-google-ads-agencies-uae/</t>
  </si>
  <si>
    <t>techbullion.com</t>
  </si>
  <si>
    <t>Editorial</t>
  </si>
  <si>
    <t>NorthQuery, YouYaa, EDS FZCO, Impact BBDO, Memac Ogilvy, PwC, Push</t>
  </si>
  <si>
    <t>solved6.com</t>
  </si>
  <si>
    <t>Assembly MENA, Impact BBDO, Digital Gravity, Chain Reaction, NEXA, Solved6</t>
  </si>
  <si>
    <t>digitalmediasapiens.com</t>
  </si>
  <si>
    <t>Best Google Ads Agencies in UAE (2026) – Top 15 Experts Ranked</t>
  </si>
  <si>
    <t>Admoon, Leads Dubai, Ninja Promo, Tenet, Bird Marketing, Adapts Media, LUMINA, Dot IT, Blue Beetle, WebFX, intouch</t>
  </si>
  <si>
    <t>Digital Gravity, NEXA, Prism Digital, United SEO, Global Media Insight, Digital Media Sapiens, Red Berries, Momentum, Chain Reaction, Bruce Clay MENA, Blue Beetle</t>
  </si>
  <si>
    <t>https://www.sortlist.com/s/paid-media/united-arab-emirates-ae</t>
  </si>
  <si>
    <t>oski.site</t>
  </si>
  <si>
    <t>intouch, Incubeta, Chain Reaction, Adapts Media, SOL Analytics</t>
  </si>
  <si>
    <t>digitalswot.ae</t>
  </si>
  <si>
    <t>The 10 Best Paid Media Agencies in the United Arab Emirates - 2026 Reviews</t>
  </si>
  <si>
    <t>Digital SWOT MENA, Measured</t>
  </si>
  <si>
    <t>LUMINA, Praxis Advertising, AlCaz Media, intouch, Momentum, M3.agency</t>
  </si>
  <si>
    <t>measured.com</t>
  </si>
  <si>
    <t>https://c2cmedia.ae/services/performance-marketing/</t>
  </si>
  <si>
    <t>Measured, Analytic Partners, Haus, Rockerbox, intouch, New Engen, Wpromote</t>
  </si>
  <si>
    <t>linkedin.com</t>
  </si>
  <si>
    <t>Push, Epsilon, intouch, Publicis Groupe, Chain Reaction, WPP, Monks, Mindshare, Acquisit, McKinsey &amp; Company, Home of Performance, Incubeta, Huge, Impact BBDO, PHD, Publicis Media, Measured, Growth Hackers, NEXA, Memac Ogilvy, VML, Leo Burnett MENA, Power Digital, New Engen, Tinuiti, NoGood, Wpromote, Disruptive Advertising, Merkle, WebFX, Siege Media, NP Digital, WonderEight, PwC, Boston Consulting Group, KPMG, EY, GCC Marketing, EDS FZCO, Digital Gravity, ThatWare, Assembly MENA, Momentum, Créo Global, Prism Digital, TIDAL Digital, Artefact, INSIDEA, Nielsen</t>
  </si>
  <si>
    <t>PRODUCT_PAGE</t>
  </si>
  <si>
    <t>prism-me.com</t>
  </si>
  <si>
    <t>100% Reliable Performance Marketing Agency Dubai | Digital Marketing</t>
  </si>
  <si>
    <t>Product Page</t>
  </si>
  <si>
    <t>C2C Media, intouch, Huge</t>
  </si>
  <si>
    <t>https://www.bicommunications.ae/blog/best-ppc-agencies-uae/</t>
  </si>
  <si>
    <t>Huge, Prism Digital, Push, intouch</t>
  </si>
  <si>
    <t>marketing-agency-dubai.com</t>
  </si>
  <si>
    <t>Best PPC Agencies in UAE 2026 | Dubai &amp;amp; Abu Dhabi Experts</t>
  </si>
  <si>
    <t>Bird Marketing, Digital Gravity, Prism Digital, Pixoo Media, intouch</t>
  </si>
  <si>
    <t>https://digitalagencynetwork.com/agencies/dubai/ai-marketing/</t>
  </si>
  <si>
    <t>ititans.com</t>
  </si>
  <si>
    <t>Top AI Marketing Agencies in Dubai (2026)</t>
  </si>
  <si>
    <t>Bird Marketing, Glomm Digital</t>
  </si>
  <si>
    <t>Bruce Clay MENA, Digital Gravity, Chain Reaction, NEXA, DigitalFarm, Red Berries, Blue Beetle, intouch</t>
  </si>
  <si>
    <t>https://www.sortlist.com/s/paid-media/dubai-ae</t>
  </si>
  <si>
    <t>cometly.com</t>
  </si>
  <si>
    <t>Push, Measured, Rockerbox, Haus, Northbeam</t>
  </si>
  <si>
    <t>leadsdubai.com</t>
  </si>
  <si>
    <t>The 10 Best Paid Media Agencies in Dubai - 2026 Reviews</t>
  </si>
  <si>
    <t>https://marketing-agency-dubai.com/dubai/marketing-analytics-companies</t>
  </si>
  <si>
    <t>Leads Dubai, intouch, Measured</t>
  </si>
  <si>
    <t>10seos.com</t>
  </si>
  <si>
    <t>Chain Reaction, DigitalFarm, SEO Sherpa, intouch, NEXA, Digital Gravity, Global Media Insight</t>
  </si>
  <si>
    <t>bird.ae</t>
  </si>
  <si>
    <t>OTHER</t>
  </si>
  <si>
    <t>Bird Marketing, intouch</t>
  </si>
  <si>
    <t>upscale-digital.com</t>
  </si>
  <si>
    <t>Unknown</t>
  </si>
  <si>
    <t>https://c2cmedia.ae/blog/best-social-media-agencies-in-dubai/</t>
  </si>
  <si>
    <t>Upscale Digital, Digital Gravity, NEXA, Chain Reaction, Prism Digital, Global Media Insight, Measured, United SEO, SEO Sherpa, Red Berries, intouch, DigitalFarm, Momentum, Digital Arabia, Blue Beetle, ASTUDIO, Growth Hackers</t>
  </si>
  <si>
    <t>theuaeblog.com</t>
  </si>
  <si>
    <t>Best 10 Social Media Agencies in Dubai – Proven Picks</t>
  </si>
  <si>
    <t>C2C Media, Global Media Insight, Prism Digital, NEXA, DigitalFarm, intouch, WPP, Publicis Groupe, Dentsu, Growth Hackers</t>
  </si>
  <si>
    <t>https://www.designrush.com/agency/ad-agencies/ae</t>
  </si>
  <si>
    <t>Riman Agency, 4Sight Research &amp; Analytics, Huge, SEO Sherpa, Blue Beetle</t>
  </si>
  <si>
    <t>chainreaction.ae</t>
  </si>
  <si>
    <t>Chain Reaction</t>
  </si>
  <si>
    <t>edvido.ae</t>
  </si>
  <si>
    <t>Home of Performance, Dot IT, AlCaz Media, Praxis Advertising, intouch, TIDAL Digital, Digital Gravity, Admoon, Adapts Media</t>
  </si>
  <si>
    <t>Top Advertising Agencies in United Arab Emirates | 2026</t>
  </si>
  <si>
    <t>hashtag-me.com</t>
  </si>
  <si>
    <t>Growth Hackers, GPS Marketing Agency, Almost Impossible, EDS FZCO, Leads Dubai</t>
  </si>
  <si>
    <t>https://www.digitalgravity.ae/blog/best-ai-marketing-agencies/</t>
  </si>
  <si>
    <t>intouch</t>
  </si>
  <si>
    <t>marketingagencyabudhabi.com</t>
  </si>
  <si>
    <t>The 10 Best AI Marketing Agencies in Dubai - March 2026 Reviews</t>
  </si>
  <si>
    <t>Digital Gravity, NEXA, Tenet, Digital Arabia, Zenerom</t>
  </si>
  <si>
    <t>https://hypebox.me/blog/articles/top-10-uae-marketing-agencies</t>
  </si>
  <si>
    <t>Pixoo Media, Momentum, Bird Marketing, M3.agency, Ninja Promo, Praxis Advertising, intouch</t>
  </si>
  <si>
    <t>kineticcs.com</t>
  </si>
  <si>
    <t>byteeit.com</t>
  </si>
  <si>
    <t>Top 10 UAE Marketing Agencies | Hypebox Media</t>
  </si>
  <si>
    <t>inBeat, ASTUDIO, NEXA, intouch, Prism Digital</t>
  </si>
  <si>
    <t>https://ititans.com/blog/leading-digital-marketing-agencies-in-uae/</t>
  </si>
  <si>
    <t>Prism Digital, Chain Reaction, NEXA, intouch</t>
  </si>
  <si>
    <t>octopusmarketing.agency</t>
  </si>
  <si>
    <t>Huge</t>
  </si>
  <si>
    <t>mcsaatchiperformance.com</t>
  </si>
  <si>
    <t>Push, M&amp;C Saatchi Performance</t>
  </si>
  <si>
    <t>Top 20 Leading Digital Marketing Agencies in UAE | iTitans</t>
  </si>
  <si>
    <t>intouch, NEXA, Chain Reaction, Bruce Clay MENA, Digital Gravity, Red Berries, Blue Beetle, DigitalFarm</t>
  </si>
  <si>
    <t>biglab.ae</t>
  </si>
  <si>
    <t>https://www.globalmediainsight.com/blog/digital-marketing-companies-dubai/</t>
  </si>
  <si>
    <t>Measured, BIG LAB</t>
  </si>
  <si>
    <t>influencermarketinghub.com</t>
  </si>
  <si>
    <t>McKinsey &amp; Company, Ninja Promo, Momentum, Dentsu, Wpromote, Mindshare, Incubeta, Power Digital, Croud, Tinuiti, NoGood, Measured, Disruptive Advertising, Merkle, GroupM, Directive, WebFX, Monks</t>
  </si>
  <si>
    <t>hikemytraffic.com</t>
  </si>
  <si>
    <t>Top 10 Digital Marketing Companies in Dubai 2026</t>
  </si>
  <si>
    <t>DigitalFarm, Huge, Digital Media Sapiens, Red Berries, Blue Beetle, M3.agency, Leads Dubai, United SEO, Digital Arabia, ASTUDIO</t>
  </si>
  <si>
    <t>Global Media Insight, EDS FZCO, Leads Dubai</t>
  </si>
  <si>
    <t>salesbox.ai</t>
  </si>
  <si>
    <t>https://thehovi.com/blog/agency-insights/top-10-digital-marketing-agencies-dubai-2026</t>
  </si>
  <si>
    <t>NEXA, EDS FZCO, Prism Digital, Digital Gravity, Global Media Insight, Red Berries</t>
  </si>
  <si>
    <t>hop.rocks</t>
  </si>
  <si>
    <t>Home of Performance, intouch</t>
  </si>
  <si>
    <t>applabx.com</t>
  </si>
  <si>
    <t>Digital Gravity, Bird Marketing, Global Media Insight, Measured, WebFX, ThatWare, Huge</t>
  </si>
  <si>
    <t>Top 10 Digital Marketing Agencies in Dubai (2026 Guide) | Hovi Digital Lab</t>
  </si>
  <si>
    <t>Hovi Digital Lab, NEXA, Chain Reaction, Digital Gravity, Prism Digital</t>
  </si>
  <si>
    <t>apptunix.ae</t>
  </si>
  <si>
    <t>https://www.phable.io/top-creative-agencies/top-10-creative-agencies-in-the-middle-east-2025</t>
  </si>
  <si>
    <t>Measured, Push, intouch</t>
  </si>
  <si>
    <t>semnexus.com</t>
  </si>
  <si>
    <t>Best Creative Agencies in the Middle East (2026) | 10 Top Firms Reviewed — Branding And Content Marketing For Technology</t>
  </si>
  <si>
    <t>NEXA, SEO Sherpa, United SEO, intouch, EDS FZCO, Prism Digital</t>
  </si>
  <si>
    <t>Phable, Impact BBDO, FP7 McCann, TBWA\RAAD, Memac Ogilvy, VML, WonderEight, Leo Burnett MENA, Momentum, Publicis Groupe</t>
  </si>
  <si>
    <t>https://www.reddit.com/r/UAE/comments/1gt9dr2/which_is_the_best_performance_marketing_agency_in/</t>
  </si>
  <si>
    <t>triplewhale.com</t>
  </si>
  <si>
    <t>Measured, Haus</t>
  </si>
  <si>
    <t>eseospace.com</t>
  </si>
  <si>
    <t>DISCUSSION</t>
  </si>
  <si>
    <t>Which is the best performance marketing agency in Dubai?</t>
  </si>
  <si>
    <t>Discussion</t>
  </si>
  <si>
    <t>TIDAL Digital, Acquisit, Chain Reaction, PHD, Assembly MENA, NP Digital, Huge, House of Growth, NEXA, M&amp;C Saatchi Performance, Home of Performance, LUMINA, Dentsu, Merkle</t>
  </si>
  <si>
    <t>https://www.sortlist.com/s/display-advertising/dubai-ae</t>
  </si>
  <si>
    <t>Power Digital, WebFX, intouch</t>
  </si>
  <si>
    <t>havstrategy.com</t>
  </si>
  <si>
    <t>The 10 Best Display Advertising Agencies in Dubai - 2026 Reviews</t>
  </si>
  <si>
    <t>AlCaz Media, Praxis Advertising, Momentum, M3.agency, Ninja Promo, intouch</t>
  </si>
  <si>
    <t>astudio.ae</t>
  </si>
  <si>
    <t>https://www.sortlist.com/s/marketing-analytics/united-arab-emirates-ae</t>
  </si>
  <si>
    <t>ASTUDIO, intouch, Measured</t>
  </si>
  <si>
    <t>nuundigital.com</t>
  </si>
  <si>
    <t>The 10 Best Marketing Analytics Companies in the United Arab Emirates - 2026 Reviews</t>
  </si>
  <si>
    <t>Prism Digital, Impact BBDO, NEXA, TBWA\RAAD, Measured, PwC, GroupM, EY, Publicis Media</t>
  </si>
  <si>
    <t>AlCaz Media, Momentum, M3.agency, Praxis Advertising, intouch, Ninja Promo, Bird Marketing, Pixoo Media</t>
  </si>
  <si>
    <t>https://www.housesofgrowth.com/post/growth-marketing-agencies-in-the-uae</t>
  </si>
  <si>
    <t>morismedia.in</t>
  </si>
  <si>
    <t>VML, Dentsu, Publicis Groupe, Mindshare, OMD, NEXA, Bruce Clay MENA, EDS FZCO, Chain Reaction, Measured, United SEO, SEO Sherpa, Red Berries, Blue Beetle, Publicis Media, Impact BBDO, Disruptive Advertising, Memac Ogilvy, TBWA\RAAD</t>
  </si>
  <si>
    <t>edisonmoment.com</t>
  </si>
  <si>
    <t>10 Best Growth Marketing Agencies in the UAE in 2026 [Reviewed]</t>
  </si>
  <si>
    <t>House of Growth, Blue Beetle, INSIDEA, Leads Dubai, Chain Reaction</t>
  </si>
  <si>
    <t>https://www.spiderworks.ae/blog/digital-marketing-agencies-in-dubai-uae</t>
  </si>
  <si>
    <t>Measured, Edison Moment</t>
  </si>
  <si>
    <t>gcc-marketing.com</t>
  </si>
  <si>
    <t>GCC Marketing</t>
  </si>
  <si>
    <t>harisand.co</t>
  </si>
  <si>
    <t>Assembly MENA, Chain Reaction, NEXA, Home of Performance, ASTUDIO, TIDAL Digital, intouch</t>
  </si>
  <si>
    <t>List of Best Digital Marketing Agencies in Dubai, UAE (2026)</t>
  </si>
  <si>
    <t>sellforte.com</t>
  </si>
  <si>
    <t>NEXA, United SEO, Chain Reaction, Publicis Groupe, Bird Marketing, Dot IT, Digital Gravity, Prism Digital</t>
  </si>
  <si>
    <t>https://techbullion.com/best-aeo-agency-in-dubai-2026-how-to-choose-and-the-top-options-compared/</t>
  </si>
  <si>
    <t>Measured, Sellforte, Haus, Boston Consulting Group, Huge, Push</t>
  </si>
  <si>
    <t>ensun.io</t>
  </si>
  <si>
    <t>godigitalalpha.com</t>
  </si>
  <si>
    <t>EDITORIAL</t>
  </si>
  <si>
    <t>Best AEO Agency in Dubai (2026): How to Choose, and the Top Options Compared - TechBullion</t>
  </si>
  <si>
    <t>NorthQuery</t>
  </si>
  <si>
    <t>Bruce Clay MENA, NEXA, Prism Digital, DigitalFarm, Red Berries, Blue Beetle, Seven Media</t>
  </si>
  <si>
    <t>seocompare.co.uk</t>
  </si>
  <si>
    <t>https://agencies.semrush.com/list/advertising/dubai/</t>
  </si>
  <si>
    <t>SEO Sherpa, WebFX</t>
  </si>
  <si>
    <t>google.com</t>
  </si>
  <si>
    <t>Best Advertising Agencies in Dubai 2026 | Semrush</t>
  </si>
  <si>
    <t>Leads Dubai, Kleosa, Dot IT, Acquisit, Chain Reaction, SEO Sherpa, Web Tonic, DigitalFarm</t>
  </si>
  <si>
    <t>https://www.apptunix.ae/digital-marketing-agency-dubai-uae/</t>
  </si>
  <si>
    <t>New Engen, Wpromote, Merkle</t>
  </si>
  <si>
    <t>brandstory.ae</t>
  </si>
  <si>
    <t>DigitalFarm, Bird Marketing, intouch, Momentum, Measured, weDiscover, NEXA, Chain Reaction, United SEO, Global Media Insight, SEO Sherpa, Red Berries, Leads Dubai</t>
  </si>
  <si>
    <t>247agency.ae</t>
  </si>
  <si>
    <t>ROI-Driven Digital Marketing Agency in Dubai, UAE</t>
  </si>
  <si>
    <t>Digital Gravity, Chain Reaction, NEXA, Prism Digital, Global Media Insight, intouch</t>
  </si>
  <si>
    <t>Measured, intouch, Push</t>
  </si>
  <si>
    <t>https://www.bicommunications.ae/blog/best-social-media-marketing-agencies-uae/</t>
  </si>
  <si>
    <t>nomadx.ae</t>
  </si>
  <si>
    <t>Measured, intouch, Push, INSIDEA</t>
  </si>
  <si>
    <t>digitalnexa.com</t>
  </si>
  <si>
    <t>Best Social Media Marketing Agencies in UAE — Expert-Reviewed for 2026</t>
  </si>
  <si>
    <t>NEXA, Prism Digital, Bird Marketing, ASTUDIO, Chain Reaction, GCC Marketing, Dot IT, Web Tonic, inBeat, Solved6, Global Media Insight, intouch</t>
  </si>
  <si>
    <t>https://hashtag-me.com/services/social-media-agency-paid-social/</t>
  </si>
  <si>
    <t>NEXA, Momentum, intouch</t>
  </si>
  <si>
    <t>glomm.co</t>
  </si>
  <si>
    <t>Best Paid Social Agency UAE | Social Media Advertising Agency Dubai</t>
  </si>
  <si>
    <t>Prism Digital, Glomm Digital, NEXA, Zenerom, Above Digital, Home of Performance, LUMINA, GCC Marketing</t>
  </si>
  <si>
    <t>https://theuaeblog.com/work/top-10-marketing-analytics-agencies-in-the-uae/</t>
  </si>
  <si>
    <t>bloomingvelocity.com</t>
  </si>
  <si>
    <t>thebuzihub.com</t>
  </si>
  <si>
    <t>Top 10 Marketing Analytics Agencies in the UAE - The UAE Blog</t>
  </si>
  <si>
    <t>Riman Agency, 4Sight Research &amp; Analytics</t>
  </si>
  <si>
    <t>https://blog.applabx.com/top-10-geo-agencies-in-the-united-arab-emirates-uae-in-2026/</t>
  </si>
  <si>
    <t>Momentum, TheBuzihub, GCC Marketing, Measured</t>
  </si>
  <si>
    <t>marketnavigator.ae</t>
  </si>
  <si>
    <t>VML, Impact BBDO, TBWA\RAAD, Memac Ogilvy, WPP, Bruce Clay MENA, Incubeta, Publicis Groupe, Chain Reaction, NEXA, Home of Performance, SEO Sherpa, United SEO, Assembly MENA</t>
  </si>
  <si>
    <t>mystrika.com</t>
  </si>
  <si>
    <t>HOW_TO_GUIDE</t>
  </si>
  <si>
    <t>Top 10 GEO Agencies in the United Arab Emirates (UAE) in 2026</t>
  </si>
  <si>
    <t>How-To Guide</t>
  </si>
  <si>
    <t>Bird Marketing, ThatWare, Global Media Insight, Digital Gravity, Measured, WebFX</t>
  </si>
  <si>
    <t>https://byteeit.com/blog/best-google-partners-in-uae</t>
  </si>
  <si>
    <t>Upscale Digital, Chain Reaction, DigitalFarm, United SEO, Acquisit, SEO Sherpa, Dot IT, Kleosa</t>
  </si>
  <si>
    <t>foresightfox.com</t>
  </si>
  <si>
    <t>Global Media Insight, intouch, NEXA, Digital Gravity, Chain Reaction, Prism Digital, Measured, Red Berries</t>
  </si>
  <si>
    <t>Top 5 Google Partners in UAE for Google Workspace &amp;amp; Cloud</t>
  </si>
  <si>
    <t>NEXA, Chain Reaction, Prism Digital, intouch</t>
  </si>
  <si>
    <t>opinosis-analytics.com</t>
  </si>
  <si>
    <t>https://eseospace.com/blog/best-ai-seo-consultants-dubai-2026/</t>
  </si>
  <si>
    <t>Opinosis Analytics, intouch</t>
  </si>
  <si>
    <t>theorangeclub.me</t>
  </si>
  <si>
    <t>Best AI SEO Consultants in Dubai in 2026: Top UAE-Based Search Optimization Experts - eSEOspace</t>
  </si>
  <si>
    <t>WebFX, Power Digital, intouch</t>
  </si>
  <si>
    <t>https://kineticcs.com/ai-consulting-services-in-dubai-kinetic-consultancy/</t>
  </si>
  <si>
    <t>techbehemoths.com</t>
  </si>
  <si>
    <t>Dot IT, Adapts Media, intouch</t>
  </si>
  <si>
    <t>aimarketingpro.ae</t>
  </si>
  <si>
    <t>AI Consulting Services in Dubai – Kinetic Consultancy</t>
  </si>
  <si>
    <t>Huge, Push, intouch, Momentum</t>
  </si>
  <si>
    <t>https://www.mcsaatchiperformance.com/dubai/</t>
  </si>
  <si>
    <t>hellopixels.com</t>
  </si>
  <si>
    <t>boostmylocalbusiness.ai</t>
  </si>
  <si>
    <t>enhmedia.com</t>
  </si>
  <si>
    <t>Performance Marketing Agency Dubai | M+C Saatchi Performance</t>
  </si>
  <si>
    <t>M&amp;C Saatchi Performance, Push</t>
  </si>
  <si>
    <t>ENH Marketing</t>
  </si>
  <si>
    <t>https://www.solved6.com/blogs/best-digital-marketing-agencies-dubai-2026-report#:~:text=2.%20Digital%20Gravity%20%E2%80%93%20Best%20for%20Performance,Ads%2C%20Meta%20performance%2C%20and%20landing%20page%20CRO.</t>
  </si>
  <si>
    <t>getapexanalytics.com</t>
  </si>
  <si>
    <t>Measured, intouch</t>
  </si>
  <si>
    <t>noorrank.com</t>
  </si>
  <si>
    <t>leadmetrics.ai</t>
  </si>
  <si>
    <t>The 7 Best Digital Marketing Agencies in Dubai (2026 Rankings) - BrightEdge</t>
  </si>
  <si>
    <t>Solved6, Digital Gravity, NEXA, Chain Reaction, Assembly MENA, Impact BBDO</t>
  </si>
  <si>
    <t>Leadmetrics</t>
  </si>
  <si>
    <t>https://agencies.semrush.com/list/ai-optimization/dubai/</t>
  </si>
  <si>
    <t>wisoftsolutions.com</t>
  </si>
  <si>
    <t>Best AI Search Optimization Agencies in Dubai 2026 | Semrush</t>
  </si>
  <si>
    <t>aiwatchmena.com</t>
  </si>
  <si>
    <t>Kleosa, Leads Dubai, Measured, Web Tonic</t>
  </si>
  <si>
    <t>https://digitalmediasapiens.com/best-aeo-agency-dubai/</t>
  </si>
  <si>
    <t>Chain Reaction, Global Media Insight, Measured, House of Growth, NEXA, Bruce Clay MENA, EDS FZCO, Prism Digital, Digital Gravity, Red Berries</t>
  </si>
  <si>
    <t>techradar.com</t>
  </si>
  <si>
    <t>Huge, Push</t>
  </si>
  <si>
    <t>valors.agency</t>
  </si>
  <si>
    <t>avixa.org</t>
  </si>
  <si>
    <t>Best AEO Agency Dubai | AI Search Optimization Experts</t>
  </si>
  <si>
    <t>Digital Media Sapiens</t>
  </si>
  <si>
    <t>https://oski.site/blog/sales-and-marketing-analytics-companies-uae/</t>
  </si>
  <si>
    <t>Institutional</t>
  </si>
  <si>
    <t>Leads Dubai, EDS FZCO, NEXA, Blue Beetle, Digital Gravity, GCC Marketing, Prism Digital, United SEO</t>
  </si>
  <si>
    <t>digiexpo.ae</t>
  </si>
  <si>
    <t>EDS FZCO, Digital Gravity, Chain Reaction, NEXA, Digital Media Sapiens, Blue Beetle</t>
  </si>
  <si>
    <t>segmentstream.com</t>
  </si>
  <si>
    <t>Top Sales and Marketing Analytics Companies in the UAE</t>
  </si>
  <si>
    <t>intouch, SOL Analytics, Chain Reaction, Incubeta, Adapts Media</t>
  </si>
  <si>
    <t>https://salesbox.ai/blog/top-geo-companies-dubai-2026/</t>
  </si>
  <si>
    <t>Measured, Rockerbox, Haus, SegmentStream, Momentum, Sellforte, Push, Northbeam, Leadmetrics, Huge</t>
  </si>
  <si>
    <t>effective.ae</t>
  </si>
  <si>
    <t>SalesboxAI: The #1 GTM Advertising Platform for B2B Marketers</t>
  </si>
  <si>
    <t>Digital Gravity, NEXA, EDS FZCO, Red Berries, Global Media Insight, Prism Digital</t>
  </si>
  <si>
    <t>integrateitsolutions.com</t>
  </si>
  <si>
    <t>https://www.bicommunications.ae/blog/best-digital-marketing-agencies-uae/</t>
  </si>
  <si>
    <t>Integrate Solutions, intouch</t>
  </si>
  <si>
    <t>lifesight.io</t>
  </si>
  <si>
    <t>Best Digital Marketing Agencies in UAE 2026 – Reviews, Pricing &amp;amp; Services</t>
  </si>
  <si>
    <t>Prism Digital, Digital Gravity, NEXA, Bird Marketing, Chain Reaction, United SEO, GCC Marketing, Upscale Digital, ASTUDIO, SEO Sherpa, Dot IT, DigitalFarm, Global Media Insight, Push, Measured, Publicis Groupe, intouch</t>
  </si>
  <si>
    <t>https://clutch.co/ae/consulting/ai/dubai</t>
  </si>
  <si>
    <t>Measured, Push, Haus, Northbeam, Sellforte, Rockerbox</t>
  </si>
  <si>
    <t>superbcompanies.com</t>
  </si>
  <si>
    <t>Top AI Consultants in Dubai - Jul 2026 Rankings | Clutch.co</t>
  </si>
  <si>
    <t>intouch, Push</t>
  </si>
  <si>
    <t>https://influencermarketinghub.com/uae-advertising-agencies/</t>
  </si>
  <si>
    <t>Digital Gravity, Prism Digital, Bird Marketing, GCC Marketing, Dot IT, YouYaa</t>
  </si>
  <si>
    <t>digital-qube.com</t>
  </si>
  <si>
    <t>Digital Qube, intouch</t>
  </si>
  <si>
    <t>youtube.com</t>
  </si>
  <si>
    <t>United SEO, Digital Arabia, ASTUDIO, Brainlabs</t>
  </si>
  <si>
    <t>Top UAE Advertising Agencies Shaping Brand Growth Across the Emirates</t>
  </si>
  <si>
    <t>bolusdigital.com</t>
  </si>
  <si>
    <t>Ninja Promo, McKinsey &amp; Company</t>
  </si>
  <si>
    <t>https://www.leadsdubai.com/premier-google-partner-agency-dubai/</t>
  </si>
  <si>
    <t>WPP, GroupM, intouch</t>
  </si>
  <si>
    <t>campaignme.com</t>
  </si>
  <si>
    <t>Impact BBDO, Publicis Groupe, FP7 McCann, Memac Ogilvy, OMD, Serviceplan Middle East, Chain Reaction, Kantar, TBWA\RAAD, Assembly MENA, PwC</t>
  </si>
  <si>
    <t>advertising-companies-in-dubai.com</t>
  </si>
  <si>
    <t>Premier Google Partner Agency in Dubai - Assured Success | Leads Dubai</t>
  </si>
  <si>
    <t>Leads Dubai, intouch</t>
  </si>
  <si>
    <t>https://thatware.co/top-10-geo-companies-in-dubai/</t>
  </si>
  <si>
    <t>Momentum, AlCaz Media, M3.agency, Ninja Promo, Praxis Advertising, intouch</t>
  </si>
  <si>
    <t>prismads.com</t>
  </si>
  <si>
    <t>Top 10 GEO Companies in Dubai - Dubai GEO Firms</t>
  </si>
  <si>
    <t>ThatWare, Digital Gravity, NEXA, EDS FZCO, Red Berries, Global Media Insight, Prism Digital</t>
  </si>
  <si>
    <t>https://clutch.co/ae/agencies/creative/dubai</t>
  </si>
  <si>
    <t>stackwise.site</t>
  </si>
  <si>
    <t>PwC, Measured, intouch</t>
  </si>
  <si>
    <t>Top Creative Agencies in Dubai - Jul 2026 Rankings | Clutch.co</t>
  </si>
  <si>
    <t>udjat.ae</t>
  </si>
  <si>
    <t>intouch, Pixoo Media</t>
  </si>
  <si>
    <t>https://www.designrush.com/agency/digital-marketing/ae</t>
  </si>
  <si>
    <t>Dentsu, Publicis Groupe, Chain Reaction, NEXA, FP7 McCann, Bird Marketing, Ninja Promo</t>
  </si>
  <si>
    <t>adbeacon.com</t>
  </si>
  <si>
    <t>Top Digital Marketing Agencies in United Arab Emirates | 2026</t>
  </si>
  <si>
    <t>Bird Marketing, Adapts Media, Dot IT, Digital Gravity, Growth Hackers, Tenet, GPS Marketing Agency</t>
  </si>
  <si>
    <t>Push, Rockerbox, Northbeam</t>
  </si>
  <si>
    <t>https://www.sortlist.com/s/ai-marketing/dubai-ae</t>
  </si>
  <si>
    <t>aarmeh.ae</t>
  </si>
  <si>
    <t>The 10 Best AI Marketing Companies in Dubai - 2026 Reviews</t>
  </si>
  <si>
    <t>alcazmedia.ae</t>
  </si>
  <si>
    <t>Praxis Advertising, Adapts Media, Digital Gravity</t>
  </si>
  <si>
    <t>https://www.sortlist.com/s/performance-marketing/dubai-ae</t>
  </si>
  <si>
    <t>GCC Marketing, AlCaz Media</t>
  </si>
  <si>
    <t>amraandelma.com</t>
  </si>
  <si>
    <t>The 10 Best Performance Marketing Agencies in Dubai - 2026 Reviews</t>
  </si>
  <si>
    <t>LUMINA, Praxis Advertising, AlCaz Media, intouch, Momentum, M3.agency, Admoon</t>
  </si>
  <si>
    <t>https://www.triplewhale.com/blog/best-incrementality-testing-tools</t>
  </si>
  <si>
    <t>Momentum, Deloitte Digital, Chain Reaction, GLMA Agency, Push, Adapts Media</t>
  </si>
  <si>
    <t>bestdigitalagency.in</t>
  </si>
  <si>
    <t>Digital Gravity, Chain Reaction, Home of Performance, Measured, Ninja Promo, Red Berries, Blue Beetle, Growth Hackers</t>
  </si>
  <si>
    <t>list-of-digital-marketing-companies-in-dubai.com</t>
  </si>
  <si>
    <t>COMPARISON</t>
  </si>
  <si>
    <t>The Best Incrementality Testing Tools for Marketers in 2026 | Triple Whale</t>
  </si>
  <si>
    <t>Comparison</t>
  </si>
  <si>
    <t>Haus, Measured</t>
  </si>
  <si>
    <t>https://upscale-digital.com/blog/top-10-ai-seo-agencies-in-dubai/</t>
  </si>
  <si>
    <t>prontosys.ae</t>
  </si>
  <si>
    <t>intouch, NEXA, Red Berries, Leads Dubai, LUMINA, Admoon, Measured, Boston Consulting Group</t>
  </si>
  <si>
    <t>toprankedworld.com</t>
  </si>
  <si>
    <t>NEXA, EDS FZCO, Prism Digital, Digital Gravity, Chain Reaction, United SEO, Blue Beetle</t>
  </si>
  <si>
    <t>zainlee.com</t>
  </si>
  <si>
    <t>Zainlee Technologies, intouch</t>
  </si>
  <si>
    <t>Top 10 AI SEO Agencies in Dubai in 2026 - Upscale Digital</t>
  </si>
  <si>
    <t>withgoogle.com</t>
  </si>
  <si>
    <t>Upscale Digital, Chain Reaction, NEXA, United SEO, Digital Gravity, Global Media Insight, Prism Digital, SEO Sherpa, Red Berries, Measured, intouch</t>
  </si>
  <si>
    <t>https://www.bicommunications.ae/blog/best-ppc-agencies-dubai/</t>
  </si>
  <si>
    <t>Acadia, Acquisit</t>
  </si>
  <si>
    <t>brandburp.com</t>
  </si>
  <si>
    <t>Bruce Clay MENA, EDS FZCO, Momentum, NEXA, Global Media Insight, United SEO, Seven Media</t>
  </si>
  <si>
    <t>appinventiv.com</t>
  </si>
  <si>
    <t>Best PPC Agencies in Dubai 2026 (Expert Picks + Pricing)</t>
  </si>
  <si>
    <t>Bird Marketing, Chain Reaction, Digital Gravity, Acquisit, United SEO, SEO Sherpa, Ninja Promo, Prism Digital, Measured, intouch</t>
  </si>
  <si>
    <t>https://www.gcc-marketing.com/en/ai-consulting-dubai/</t>
  </si>
  <si>
    <t>intouch, Directive, Push, McKinsey &amp; Company, PwC</t>
  </si>
  <si>
    <t>digiscorp.com</t>
  </si>
  <si>
    <t>PwC, intouch</t>
  </si>
  <si>
    <t>gcctechgroup.com</t>
  </si>
  <si>
    <t>hikmahaiagency.com</t>
  </si>
  <si>
    <t>AI Consulting Services in Dubai | GCC Marketing</t>
  </si>
  <si>
    <t>https://thatware.co/top-10-aeo-companies-in-dubai/</t>
  </si>
  <si>
    <t>Push, Measured</t>
  </si>
  <si>
    <t>kvnpromos.ae</t>
  </si>
  <si>
    <t>promoguy.nl</t>
  </si>
  <si>
    <t>Top AEO Companies in Dubai | 10 Best Dubai AEO Firms</t>
  </si>
  <si>
    <t>ThatWare, NEXA, Bruce Clay MENA, Chain Reaction, Prism Digital, Digital Gravity, Blue Beetle</t>
  </si>
  <si>
    <t>https://agencies.semrush.com/list/ai-optimization/united-arab-emirates/</t>
  </si>
  <si>
    <t>uaesmsmarketing.com</t>
  </si>
  <si>
    <t>EDS FZCO, Push</t>
  </si>
  <si>
    <t>Best AI Search Optimization Agencies in United Arab Emirates 2026 | Semrush</t>
  </si>
  <si>
    <t>architecturaldigest.com</t>
  </si>
  <si>
    <t>https://harisand.co/blog/10-award-winning-digital-marketing-agencies-in-dubai/</t>
  </si>
  <si>
    <t>arytech.com</t>
  </si>
  <si>
    <t>digitaloasisae.com</t>
  </si>
  <si>
    <t>Award-Winning Digital Marketing Agencies in Dubai</t>
  </si>
  <si>
    <t>TIDAL Digital, Home of Performance, NEXA, Assembly MENA, Chain Reaction, ASTUDIO, intouch</t>
  </si>
  <si>
    <t>https://www.housesofgrowth.com/post/aeo-agencies-in-dubai</t>
  </si>
  <si>
    <t>Dentsu, Digital Gravity, Publicis Groupe, Chain Reaction, NEXA, Prism Digital, WPP, United SEO, Red Berries, intouch, EDS FZCO, Impact BBDO, FP7 McCann, TBWA\RAAD, Memac Ogilvy, PwC, Push</t>
  </si>
  <si>
    <t>diuna.ae</t>
  </si>
  <si>
    <t>leo9studio.com</t>
  </si>
  <si>
    <t>10 Best AEO/GEO Agencies In Dubai In 2026 [Reviewed]</t>
  </si>
  <si>
    <t>House of Growth, Bird Marketing, LUMINA, Digital Gravity</t>
  </si>
  <si>
    <t>https://lengreo.com/top-15-ai-search-optimization-agencies-for-uae-businesses-in-2025/</t>
  </si>
  <si>
    <t>Push</t>
  </si>
  <si>
    <t>mintdigitalsolutions.ae</t>
  </si>
  <si>
    <t>15 Best AI Search Optimization Companies for UAE Businesses (2026)</t>
  </si>
  <si>
    <t>WebFX, NoGood</t>
  </si>
  <si>
    <t>mobian.studio</t>
  </si>
  <si>
    <t>https://lengreo.com/top-answer-engine-optimization-aeo-agencies-for-uae-businesses-in-2025/</t>
  </si>
  <si>
    <t>INSIDEA, intouch</t>
  </si>
  <si>
    <t>pepper.inc</t>
  </si>
  <si>
    <t>Chain Reaction, NEXA, Tenet, Global Media Insight, PwC, Push, INSIDEA</t>
  </si>
  <si>
    <t>digitalmarketingagency.ae</t>
  </si>
  <si>
    <t>10 Best Answer Engine Optimization (AEO) Companies for UAE (2026)</t>
  </si>
  <si>
    <t>NoGood, WebFX</t>
  </si>
  <si>
    <t>https://semnexus.com/best-aeo-agencies-dubai/</t>
  </si>
  <si>
    <t>savit.ae</t>
  </si>
  <si>
    <t>e-cens.com</t>
  </si>
  <si>
    <t>Publicis Groupe, Chain Reaction, PwC</t>
  </si>
  <si>
    <t>The Best AEO Agencies in Dubai: Dominating AI Search in 2026 | SEM Nexus</t>
  </si>
  <si>
    <t>SEO Sherpa, NEXA, Prism Digital, EDS FZCO, intouch</t>
  </si>
  <si>
    <t>nerdsey.com</t>
  </si>
  <si>
    <t>https://seocompare.co.uk/ai-search-agencies-middle-east/</t>
  </si>
  <si>
    <t>sapience.ae</t>
  </si>
  <si>
    <t>Sapience</t>
  </si>
  <si>
    <t>synscribe.com</t>
  </si>
  <si>
    <t>4 Best AI Search Agencies Middle East - UAE, Saudi Arabia | SEOCompare</t>
  </si>
  <si>
    <t>Digital Gravity, Measured, SEO Sherpa, Bird Marketing</t>
  </si>
  <si>
    <t>https://www.goodfirms.co/directory/country/top-digital-marketing-companies/advertising-ppc/uae</t>
  </si>
  <si>
    <t>innovatscale.ae</t>
  </si>
  <si>
    <t>loomlinker.com</t>
  </si>
  <si>
    <t>NEXA, Impact BBDO, Prism Digital, DigitalFarm, Global Media Insight, Blue Beetle</t>
  </si>
  <si>
    <t>slashdot.org</t>
  </si>
  <si>
    <t>Top PPC Agencies in UAE - 2026 Reviews | Goodfirms</t>
  </si>
  <si>
    <t>intouch, WebFX, Prism Digital, Digital Gravity, Pixoo Media</t>
  </si>
  <si>
    <t>https://www.goodfirms.co/directory/country/top-digital-marketing-companies/ae</t>
  </si>
  <si>
    <t>Measured, Analytic Partners, Rockerbox, Sellforte, Haus</t>
  </si>
  <si>
    <t>truenorthmarketing.ae</t>
  </si>
  <si>
    <t>Top Digital Marketing Agencies in UAE - 2026 Reviews | Goodfirms</t>
  </si>
  <si>
    <t>WebFX, intouch, Prism Digital, Digital Gravity</t>
  </si>
  <si>
    <t>incrementors.com</t>
  </si>
  <si>
    <t>https://hop.rocks/</t>
  </si>
  <si>
    <t>HOMEPAGE</t>
  </si>
  <si>
    <t>Home of Performance | ROI Driven Performance Marketing Agency in Dubai</t>
  </si>
  <si>
    <t>Homepage</t>
  </si>
  <si>
    <t>https://www.prism-me.com/paid-media-agency</t>
  </si>
  <si>
    <t>benchmarketing.org</t>
  </si>
  <si>
    <t>NEXA, Digital Gravity, SEO Sherpa</t>
  </si>
  <si>
    <t>digitalfarm.ae</t>
  </si>
  <si>
    <t>Best Paid Media Agency in UAE | Prism Digital</t>
  </si>
  <si>
    <t>intouch, Prism Digital</t>
  </si>
  <si>
    <t>DigitalFarm, Push, Digital Gravity, NEXA, ASTUDIO, Prism Digital, Digital Media Sapiens</t>
  </si>
  <si>
    <t>https://thehovi.com/ai-marketing-agency-dubai</t>
  </si>
  <si>
    <t>loudface.co</t>
  </si>
  <si>
    <t>NoGood, Measured, Omniscient Digital, iPullRank, Siege Media, INSIDEA</t>
  </si>
  <si>
    <t>AI Marketing Agency in Dubai | Hovi Digital Lab</t>
  </si>
  <si>
    <t>Hovi Digital Lab</t>
  </si>
  <si>
    <t>2p.ae</t>
  </si>
  <si>
    <t>https://247agency.ae/blog/top-digital-marketing-agencies-dubai-2026</t>
  </si>
  <si>
    <t>aeo-collective.com</t>
  </si>
  <si>
    <t>Single Grain</t>
  </si>
  <si>
    <t>aiims.group</t>
  </si>
  <si>
    <t>ASTUDIO</t>
  </si>
  <si>
    <t>artrevo.net</t>
  </si>
  <si>
    <t>Top Digital Marketing Agencies in Dubai 2026 | UAE and GCC Guide</t>
  </si>
  <si>
    <t>NEXA, Digital Gravity, Chain Reaction, Prism Digital, Global Media Insight, intouch</t>
  </si>
  <si>
    <t>https://c2cmedia.ae/blog/best-performance-marketing-agencies-in-the-uae/</t>
  </si>
  <si>
    <t>hammerhead.global</t>
  </si>
  <si>
    <t>Impact BBDO, NEXA, TBWA\RAAD, Memac Ogilvy</t>
  </si>
  <si>
    <t>Best Performance Marketing Agencies in the UAE: What Sets Them</t>
  </si>
  <si>
    <t>C2C Media, Huge, Measured</t>
  </si>
  <si>
    <t>hostino.ae</t>
  </si>
  <si>
    <t>https://www.digitalagencies.ae/topics/best-google-partner-agencies-in-dubai</t>
  </si>
  <si>
    <t>Momentum, intouch</t>
  </si>
  <si>
    <t>icp.gov.ae</t>
  </si>
  <si>
    <t>impressionmedia.ae</t>
  </si>
  <si>
    <t>Best Google Partner Agencies in Dubai | UAE | Digital Agencies</t>
  </si>
  <si>
    <t>NEXA, Leads Dubai, Chain Reaction, Digital Media Sapiens, Prism Digital</t>
  </si>
  <si>
    <t>lucidly.ae</t>
  </si>
  <si>
    <t>https://www.digitalagencies.ae/topics/leading-google-ads-partner-agencies-in-dubai</t>
  </si>
  <si>
    <t>Prism Digital, Digital Gravity, Bird Marketing, Red Berries, Leads Dubai, Blue Beetle, Chain Reaction, NEXA, United SEO, GCC Marketing</t>
  </si>
  <si>
    <t>moonbox.ae</t>
  </si>
  <si>
    <t>Best Google Ads Partner in Dubai | Digital Agencies | UAE</t>
  </si>
  <si>
    <t>NEXA, Leads Dubai, Global Media Insight, Acquisit, Assembly MENA, Chain Reaction, WebFX</t>
  </si>
  <si>
    <t>https://digitalswot.ae/best-ai-marketing-agency-in-dubai/</t>
  </si>
  <si>
    <t>noirandblanco.com</t>
  </si>
  <si>
    <t>Integrate Solutions, Digital Gravity, Global Media Insight, GCC Marketing, Upscale Digital, NEXA, SEO Sherpa, PwC, ASTUDIO, intouch, Measured</t>
  </si>
  <si>
    <t>roifromads.com</t>
  </si>
  <si>
    <t>Best AI Marketing Agency in Dubai | Digital SWOT MENA</t>
  </si>
  <si>
    <t>Digital SWOT MENA</t>
  </si>
  <si>
    <t>https://edisonmoment.com/agency/best/performance-marketing-agency-uae</t>
  </si>
  <si>
    <t>signatureglobalmedia.com</t>
  </si>
  <si>
    <t>teamlewis.com</t>
  </si>
  <si>
    <t>Performance Marketing Agency in the UAE | Edison Moment</t>
  </si>
  <si>
    <t>Edison Moment, Measured</t>
  </si>
  <si>
    <t>https://www.sortlist.com/s/display-advertising/abu-dhabi-ae</t>
  </si>
  <si>
    <t>themarketingagency.ca</t>
  </si>
  <si>
    <t>NEXA, Upscale Digital, Momentum, Digital Gravity, Prism Digital, Bird Marketing, United SEO, Global Media Insight, Zenerom, ASTUDIO</t>
  </si>
  <si>
    <t>The 10 Best Display Advertising Agencies in Abu Dhabi - 2026 Reviews</t>
  </si>
  <si>
    <t>Pixoo Media, Bird Marketing, intouch, Praxis Advertising, Ninja Promo, Momentum, M3.agency</t>
  </si>
  <si>
    <t>titananalytics.ae</t>
  </si>
  <si>
    <t>https://www.10seos.com/ae/display-advertising-companies-in-dubai-uae</t>
  </si>
  <si>
    <t>topgeoagencies.com</t>
  </si>
  <si>
    <t>Siege Media, iPullRank</t>
  </si>
  <si>
    <t>Top 10 Display Advertising Companies For Best Services-Dubai-Uae | July 2026</t>
  </si>
  <si>
    <t>xparro.com</t>
  </si>
  <si>
    <t>DigitalFarm, Chain Reaction</t>
  </si>
  <si>
    <t>https://bird.ae/ai/#:~:text=That%20Delivers%20Results.%20Award%2Dwinning%20AI%20agency%20in,intelligence.%20Trusted%20by%20enterprises%20across%20the%20region.</t>
  </si>
  <si>
    <t>zabtechdigital.ae</t>
  </si>
  <si>
    <t>AI Agency Consultants UAE - Bird Marketing</t>
  </si>
  <si>
    <t>adaptsmedia.com</t>
  </si>
  <si>
    <t>https://www.chainreaction.ae/web-analytics/</t>
  </si>
  <si>
    <t>Adapts Media</t>
  </si>
  <si>
    <t>aeoagency.org</t>
  </si>
  <si>
    <t>aeovision.ai</t>
  </si>
  <si>
    <t>Data &amp;amp; Web Analytics Services in Dubai | Chain Reaction</t>
  </si>
  <si>
    <t>https://www.globalmediainsight.com/web-analytics-agency/</t>
  </si>
  <si>
    <t>NoGood, Wpromote, Directive, House of Growth, Omniscient Digital, iPullRank, Darkroom, Siege Media, NorthQuery, Single Grain</t>
  </si>
  <si>
    <t>aifirstpartners.com</t>
  </si>
  <si>
    <t>Web Analytics Agency Dubai | Data Analytics Services | GMI</t>
  </si>
  <si>
    <t>Global Media Insight, intouch</t>
  </si>
  <si>
    <t>https://www.pushgroup.ae/blog/top-9-social-media-agencies-in-dubai</t>
  </si>
  <si>
    <t>allblogthings.com</t>
  </si>
  <si>
    <t>Top 9 Social Media Agencies in Dubai (2026) | PUSH</t>
  </si>
  <si>
    <t>Push MENA, Push, Prism Digital, Chain Reaction, Digital Gravity, intouch</t>
  </si>
  <si>
    <t>NEXA, SEO Sherpa, Tenet, House of Growth, Bird Marketing, NorthQuery, Digital Media Sapiens</t>
  </si>
  <si>
    <t>https://clutch.co/ae/agencies/creative</t>
  </si>
  <si>
    <t>doorsstudio.com</t>
  </si>
  <si>
    <t>Top Creative Agencies in the United Arab Emirates - Jul 2026 Rankings | Clutch.co</t>
  </si>
  <si>
    <t>intouch, NoGood, Pixoo Media</t>
  </si>
  <si>
    <t>forebettoday.com</t>
  </si>
  <si>
    <t>https://www.goodfirms.co/advertising-companies/creative/uae</t>
  </si>
  <si>
    <t>mediaupshift.com</t>
  </si>
  <si>
    <t>Top Creative Agencies in United Arab Emirates - 2026 Reviews | Goodfirms</t>
  </si>
  <si>
    <t>Prism Digital, Pixoo Media, Digital Gravity, Monks, Leads Dubai</t>
  </si>
  <si>
    <t>https://www.measured.com/faq/best-incrementality-testing-companies-software-for-marketing-2026/</t>
  </si>
  <si>
    <t>Push, Northbeam</t>
  </si>
  <si>
    <t>metasocial.ae</t>
  </si>
  <si>
    <t>mosaicdigital.ae</t>
  </si>
  <si>
    <t>Best Incrementality Testing Companies &amp;amp; Software for Marketing (2026)</t>
  </si>
  <si>
    <t>Measured, Rockerbox, Haus, Analytic Partners</t>
  </si>
  <si>
    <t>https://www.sortlist.com/s/performance-marketing/united-arab-emirates-ae</t>
  </si>
  <si>
    <t>omnieclipse.ai</t>
  </si>
  <si>
    <t>The 10 Best Performance Marketing Agencies in the United Arab Emirates - 2026 Reviews</t>
  </si>
  <si>
    <t>https://thatware.co/top-10-aeo-companies-in-uae/</t>
  </si>
  <si>
    <t>ruleranalytics.com</t>
  </si>
  <si>
    <t>Top 10 AEO Service Providers in UAE for AI-Powered Growth</t>
  </si>
  <si>
    <t>ThatWare, United SEO, Tenet, Adapts Media, Prism Digital</t>
  </si>
  <si>
    <t>https://theorangeclub.me/paid-media-agency</t>
  </si>
  <si>
    <t>scaled.ae</t>
  </si>
  <si>
    <t>socially.ae</t>
  </si>
  <si>
    <t>sociallypowerful.com</t>
  </si>
  <si>
    <t>Paid Media Agency | Advertising Agency In UAE | The Orange Club</t>
  </si>
  <si>
    <t>https://www.webtonic.io/blog/top-digital-marketing-agencies-dubai</t>
  </si>
  <si>
    <t>Digital Gravity, NEXA, DigitalFarm, ASTUDIO, intouch</t>
  </si>
  <si>
    <t>top-media-companies-in-dubai.com</t>
  </si>
  <si>
    <t>The 52 Top Digital Marketing Agencies in Dubai as of 2026</t>
  </si>
  <si>
    <t>Web Tonic, NEXA, Prism Digital, Chain Reaction, Blue Beetle, Digital Gravity, DigitalFarm, SEO Sherpa, Global Media Insight, Red Berries, PwC, ASTUDIO, EDS FZCO, inBeat, Leads Dubai, Bird Marketing, Momentum, intouch</t>
  </si>
  <si>
    <t>upvantage.ae</t>
  </si>
  <si>
    <t>https://agencies.semrush.com/list/smm/dubai/</t>
  </si>
  <si>
    <t>vocal.media</t>
  </si>
  <si>
    <t>Best Social Media Marketing Agencies in Dubai 2026 | Semrush</t>
  </si>
  <si>
    <t>Integrate Solutions, Prism Digital, Digital Gravity, NEXA, GCC Marketing</t>
  </si>
  <si>
    <t>Leads Dubai, Dot IT, Acquisit, DigitalFarm</t>
  </si>
  <si>
    <t>holm.com</t>
  </si>
  <si>
    <t>https://www.bicommunications.ae/blog/best-social-media-marketing-agencies-dubai/</t>
  </si>
  <si>
    <t>provokemedia.com</t>
  </si>
  <si>
    <t>Best Social Media Marketing Agencies in Dubai (2026 Guide &amp;amp; Top Companies)</t>
  </si>
  <si>
    <t>NEXA, Chain Reaction, ASTUDIO, Prism Digital, Upscale Digital, DigitalFarm, Hovi Digital Lab, Bird Marketing, Dot IT, Digital Gravity, Measured, intouch</t>
  </si>
  <si>
    <t>Memac Ogilvy</t>
  </si>
  <si>
    <t>digitalorks.com</t>
  </si>
  <si>
    <t>https://bloomingvelocity.com/google-ppc-ads-agency/</t>
  </si>
  <si>
    <t>superside.com</t>
  </si>
  <si>
    <t>Huge, Superside, intouch, Push, Croud</t>
  </si>
  <si>
    <t>adcountable.com</t>
  </si>
  <si>
    <t>Google Ads Agency Dubai, UAE | Google Ads Dubai | Google Ads</t>
  </si>
  <si>
    <t>alwafaagroup.com</t>
  </si>
  <si>
    <t>https://www.hellopixels.com/google-marketing/</t>
  </si>
  <si>
    <t>anirup.com</t>
  </si>
  <si>
    <t>Ninja Promo</t>
  </si>
  <si>
    <t>bimodal.io</t>
  </si>
  <si>
    <t>blog.google</t>
  </si>
  <si>
    <t>ebiquity.com</t>
  </si>
  <si>
    <t>Ebiquity, intouch</t>
  </si>
  <si>
    <t>Google Marketing Consulting and Services Company in Dubai, Abu Dhabi</t>
  </si>
  <si>
    <t>ichelonconsulting.com</t>
  </si>
  <si>
    <t>https://www.nuundigital.com/services/data-analytics/marketing-analytics-attribution</t>
  </si>
  <si>
    <t>intouch, Measured</t>
  </si>
  <si>
    <t>nrdigitalagency.com</t>
  </si>
  <si>
    <t>performancestimuli.com</t>
  </si>
  <si>
    <t>NUUN Digital | Revenue-accountable partner</t>
  </si>
  <si>
    <t>https://www.solved6.com/ae/blogs/best-digital-marketing-agencies-dubai-2026-report#:~:text=They%20combine%20CRM%20strategy%20with%20content%20marketing,managing%20massive%20multi%2Dchannel%20media%20budgets%20across%20borders.</t>
  </si>
  <si>
    <t>redberries.ae</t>
  </si>
  <si>
    <t>Red Berries, intouch</t>
  </si>
  <si>
    <t>selectedfirms.co</t>
  </si>
  <si>
    <t>https://thebuzihub.com/page/47/performance-marketing-dubai</t>
  </si>
  <si>
    <t>Huge, Digital Gravity, Bird Marketing, Leads Dubai, GCC Marketing, Admoon, intouch</t>
  </si>
  <si>
    <t>thegeoagency.ai</t>
  </si>
  <si>
    <t>trusttry.com</t>
  </si>
  <si>
    <t>Performance Marketing Dubai | TheBuzihub</t>
  </si>
  <si>
    <t>Measured, TheBuzihub</t>
  </si>
  <si>
    <t>https://agencies.semrush.com/list/display-advertising/dubai/</t>
  </si>
  <si>
    <t>Best Display Ads Agencies in Dubai 2026 | Semrush</t>
  </si>
  <si>
    <t>upliftgtm.com</t>
  </si>
  <si>
    <t>Leads Dubai, Dot IT, Chain Reaction, DigitalFarm</t>
  </si>
  <si>
    <t>https://agencies.semrush.com/list/united-arab-emirates/</t>
  </si>
  <si>
    <t>NoGood, Measured, Omniscient Digital, Siege Media, INSIDEA, Single Grain</t>
  </si>
  <si>
    <t>verifywise.ai</t>
  </si>
  <si>
    <t>Best Digital Marketing Agencies in United Arab Emirates 2026 | Semrush</t>
  </si>
  <si>
    <t>Bird Marketing, Leads Dubai, Kleosa, Dot IT, Acquisit, Chain Reaction, DigitalFarm, SEO Sherpa, Measured</t>
  </si>
  <si>
    <t>https://www.bicommunications.ae/blog/best-google-ads-agencies-dubai/</t>
  </si>
  <si>
    <t>voctos.net</t>
  </si>
  <si>
    <t>Measured, Siege Media, intouch</t>
  </si>
  <si>
    <t>indexlab.ai</t>
  </si>
  <si>
    <t>Best Google Ads Agencies in Dubai (2026 Guide)</t>
  </si>
  <si>
    <t>LUMINA, Red Berries, Leads Dubai, Ninja Promo, Admoon, Measured, intouch</t>
  </si>
  <si>
    <t>https://c2cmedia.ae/blog/best-performance-marketing-agency-dubai/</t>
  </si>
  <si>
    <t>Bruce Clay MENA, Chain Reaction, NEXA, Push</t>
  </si>
  <si>
    <t>az-group.ae</t>
  </si>
  <si>
    <t>nogood.io</t>
  </si>
  <si>
    <t>Best Performance Marketing Agency in Dubai for ROI</t>
  </si>
  <si>
    <t>C2C Media, NEXA, Chain Reaction, SEO Sherpa, Incubeta, Huge, WPP, Publicis Groupe</t>
  </si>
  <si>
    <t>NoGood, Push, iPullRank, Omniscient Digital, Power Digital, Huge, Measured, Disruptive Advertising, Wpromote, Directive, Monks, inBeat, Single Grain, WebFX, Ninja Promo, Northbeam, Rockerbox</t>
  </si>
  <si>
    <t>https://www.cometly.com/post/marketing-incrementality-testing-tools</t>
  </si>
  <si>
    <t>creativemediahouse.ae</t>
  </si>
  <si>
    <t>Publicis Groupe, FP7 McCann, Memac Ogilvy, intouch, Integrate Solutions, Huge, DigitalFarm, Measured, Push</t>
  </si>
  <si>
    <t>nucleusmedia.ae</t>
  </si>
  <si>
    <t>9 Best Marketing Incrementality Testing Tools 2026</t>
  </si>
  <si>
    <t>Measured, Rockerbox, Northbeam, Haus</t>
  </si>
  <si>
    <t>https://www.getapexanalytics.com/</t>
  </si>
  <si>
    <t>Incubeta, NEXA, Momentum, Chain Reaction, Prism Digital, United SEO, Global Media Insight, Digital Media Sapiens, Push, Red Berries, Blue Beetle</t>
  </si>
  <si>
    <t>acquisit.io</t>
  </si>
  <si>
    <t>Acquisit, intouch</t>
  </si>
  <si>
    <t>adsdigital.agency</t>
  </si>
  <si>
    <t>Apex Analytics: Marketing Attribution &amp;amp; Incrementality Measurement</t>
  </si>
  <si>
    <t>aidatalizer.com</t>
  </si>
  <si>
    <t>https://glomm.co/top-performance-marketing-agencies-in-dubai-uae-gcc-for-ecommerce-brands/</t>
  </si>
  <si>
    <t>Momentum, Push</t>
  </si>
  <si>
    <t>aliseoservices.com</t>
  </si>
  <si>
    <t>Top Performance Marketing Agencies in Dubai, UAE &amp;amp; GCC for eCommerce Brands (2026) - glomm</t>
  </si>
  <si>
    <t>Glomm Digital, Prism Digital, LUMINA, Home of Performance, GCC Marketing, Above Digital</t>
  </si>
  <si>
    <t>Measured</t>
  </si>
  <si>
    <t>https://marketingagencyabudhabi.com/display-advertising-agencies/abu-dhabi</t>
  </si>
  <si>
    <t>futuredigital.ae</t>
  </si>
  <si>
    <t>Huge, Prism Digital, Digital Gravity, NEXA, Home of Performance, Measured, Leads Dubai, Red Berries, Blue Beetle</t>
  </si>
  <si>
    <t>gaper.io</t>
  </si>
  <si>
    <t>NoGood, Directive, INSIDEA</t>
  </si>
  <si>
    <t>gartner.com</t>
  </si>
  <si>
    <t>Push, Measured, Haus, SegmentStream</t>
  </si>
  <si>
    <t>geoagency.net</t>
  </si>
  <si>
    <t>https://www.marketnavigator.ae/top-10-creative-agencies-dubai-2026</t>
  </si>
  <si>
    <t>iasmedia.com</t>
  </si>
  <si>
    <t>idhlagency.com</t>
  </si>
  <si>
    <t>IDHL, intouch</t>
  </si>
  <si>
    <t>Top 10 Creative Agencies in Dubai (2026) | Market Navigator</t>
  </si>
  <si>
    <t>multimarketing.ae</t>
  </si>
  <si>
    <t>Impact BBDO, TBWA\RAAD, VML, WPP, Memac Ogilvy</t>
  </si>
  <si>
    <t>https://agencies.semrush.com/list/advertising/united-arab-emirates/</t>
  </si>
  <si>
    <t>salesduo.com</t>
  </si>
  <si>
    <t>Best Advertising Agencies in United Arab Emirates 2026 | Semrush</t>
  </si>
  <si>
    <t>Leads Dubai, Kleosa, Dot IT, Acquisit, Chain Reaction, DigitalFarm, SEO Sherpa, Web Tonic</t>
  </si>
  <si>
    <t>Chain Reaction, Global Media Insight, intouch</t>
  </si>
  <si>
    <t>https://digitalswot.ae/blog/best-performance-marketing-agency-dubai/#:~:text=Our%20PPC%20and%20paid%20media%20team%20at,tracking%20accuracy%20in%20a%20post%2DiOS14%20measurement%20environment.</t>
  </si>
  <si>
    <t>searchengineoptimization.ae</t>
  </si>
  <si>
    <t>Best Performance Marketing Agency in Dubai: What to Look For and How to Choose - Digital Swot Mena</t>
  </si>
  <si>
    <t>seotechexperts.ae</t>
  </si>
  <si>
    <t>https://www.edvido.ae/performance-marketing-agencies</t>
  </si>
  <si>
    <t>snezzi.com</t>
  </si>
  <si>
    <t>Top 15+ Performance Marketing Agencies in United Arab Emirates (2026)</t>
  </si>
  <si>
    <t>intouch, Digital Gravity, AlCaz Media, TIDAL Digital, Home of Performance, Praxis Advertising</t>
  </si>
  <si>
    <t>socialchameleon.com</t>
  </si>
  <si>
    <t>https://leadmetrics.ai/post/top-10-ai-digital-marketing-companies-in-dubai-2026-edition</t>
  </si>
  <si>
    <t>Digital Gravity, NEXA, DigitalFarm, United SEO, Red Berries, Dot IT, ASTUDIO, Adapts Media</t>
  </si>
  <si>
    <t>decipher.agency</t>
  </si>
  <si>
    <t>globalsurf.ae</t>
  </si>
  <si>
    <t>Top 10 AI Digital Marketing Companies in Dubai for 2026</t>
  </si>
  <si>
    <t>https://www.noorrank.com/</t>
  </si>
  <si>
    <t>digitalarabia.ae</t>
  </si>
  <si>
    <t>NEXA, Digital Arabia, intouch, Blue Beetle, SEO Sherpa, Ninja Promo, M3.agency, Web Tonic, Global Media Insight, Prism Digital, Bird Marketing, Digital Gravity, Integrate Solutions, Chain Reaction, United SEO</t>
  </si>
  <si>
    <t>cosmopole.com</t>
  </si>
  <si>
    <t>NoorRank | AEO Services Dubai | AI Search Optimization</t>
  </si>
  <si>
    <t>digidot.ae</t>
  </si>
  <si>
    <t>https://www.sortlist.com/s/display-advertising/united-arab-emirates-ae</t>
  </si>
  <si>
    <t>NEXA, Measured, SEO Sherpa, EY</t>
  </si>
  <si>
    <t>konvergense.com</t>
  </si>
  <si>
    <t>The 10 Best Display Advertising Agencies in the United Arab Emirates - 2026 Reviews</t>
  </si>
  <si>
    <t>AlCaz Media, Praxis Advertising, Momentum, M3.agency, intouch, Ninja Promo</t>
  </si>
  <si>
    <t>https://www.wearetenet.com/blog/best-geo-agencies-in-ajman</t>
  </si>
  <si>
    <t>auge10x.com</t>
  </si>
  <si>
    <t>7 Best GEO Agencies in Ajman for AI Search (2026 List)</t>
  </si>
  <si>
    <t>Tenet, Digital Gravity, Prism Digital, NEXA, ThatWare</t>
  </si>
  <si>
    <t>https://www.wearetenet.com/blog/best-google-ads-agencies-in-dubai</t>
  </si>
  <si>
    <t>beontop.ae</t>
  </si>
  <si>
    <t>10 Best Google Ad Agencies in Dubai (2026 Updated)</t>
  </si>
  <si>
    <t>Tenet, Digital Gravity, NEXA, Prism Digital, United SEO, Chain Reaction, SEO Sherpa, Blue Beetle, Admoon, Red Berries, Global Media Insight, TIDAL Digital</t>
  </si>
  <si>
    <t>https://www.bicommunications.ae/blog/google-ads-agencies-dubai/</t>
  </si>
  <si>
    <t>digital-agency.ae</t>
  </si>
  <si>
    <t>Top 10 Google Ads Agencies in Dubai: Expert Guide 2026</t>
  </si>
  <si>
    <t>edelman.ae</t>
  </si>
  <si>
    <t>Admoon, LUMINA, NEXA, Leads Dubai, Prism Digital, Red Berries, Measured, Global Media Insight, Momentum, intouch</t>
  </si>
  <si>
    <t>https://www.housesofgrowth.com/post/ai-seo-agencies-in-the-uae</t>
  </si>
  <si>
    <t>entasher.com</t>
  </si>
  <si>
    <t>10 Best AI SEO Agencies In The UAE In 2026 [Reviewed]</t>
  </si>
  <si>
    <t>House of Growth, Global Media Insight, Chain Reaction, SEO Sherpa, United SEO</t>
  </si>
  <si>
    <t>goodtal.com</t>
  </si>
  <si>
    <t>https://www.lapaone.com/best-geo-agencies-in-dubai/</t>
  </si>
  <si>
    <t>Pixoo Media, Digital Gravity, Prism Digital, Leads Dubai, intouch</t>
  </si>
  <si>
    <t>houseoffix.com</t>
  </si>
  <si>
    <t>11 Generative Engine Optimization Agencies in Dubai (2026)</t>
  </si>
  <si>
    <t>Zenerom</t>
  </si>
  <si>
    <t>impressiondigital.com</t>
  </si>
  <si>
    <t>https://www.sortlist.com/web-analytics/united-arab-emirates-ae</t>
  </si>
  <si>
    <t>The 10 Best Web Analytics Agencies in the United Arab Emirates - 2026 Reviews</t>
  </si>
  <si>
    <t>Pixoo Media, Growth Hackers, Bird Marketing, Adapts Media</t>
  </si>
  <si>
    <t>inbeat.co</t>
  </si>
  <si>
    <t>https://agencies.semrush.com/list/display-advertising/united-arab-emirates/</t>
  </si>
  <si>
    <t>PwC, inBeat, NEXA, GPS Marketing Agency, Incubeta, Chain Reaction, Prism Digital, Digital Gravity, Digital Media Sapiens, DigitalFarm, United SEO, Red Berries, GCC Marketing, ASTUDIO</t>
  </si>
  <si>
    <t>kifconsultancy.com</t>
  </si>
  <si>
    <t>Best Display Ads Agencies in United Arab Emirates 2026 | Semrush</t>
  </si>
  <si>
    <t>https://biglab.ae/services/ai/ai-consulting-services/</t>
  </si>
  <si>
    <t>PwC</t>
  </si>
  <si>
    <t>masterofcode.com</t>
  </si>
  <si>
    <t>AI Consulting Services UAE | BIG LAB</t>
  </si>
  <si>
    <t>Momentum, Push, intouch</t>
  </si>
  <si>
    <t>BIG LAB, Measured</t>
  </si>
  <si>
    <t>https://www.bolusdigital.com/</t>
  </si>
  <si>
    <t>s360digital.com</t>
  </si>
  <si>
    <t>thedigitalelevator.com</t>
  </si>
  <si>
    <t>Directive, Siege Media, iPullRank</t>
  </si>
  <si>
    <t>liftlab.com</t>
  </si>
  <si>
    <t>Bolus Digital — Performance Marketing Agency | UAE, UK &amp;amp; GCC</t>
  </si>
  <si>
    <t>intouch, GroupM, WPP</t>
  </si>
  <si>
    <t>https://www.digiexpo.ae/blogs/12-best-answer-engine-optimization-aeo-agencies-in-dubai-to-watch-in-2025</t>
  </si>
  <si>
    <t>Measured, Haus, INSIDEA</t>
  </si>
  <si>
    <t>tidal.digital</t>
  </si>
  <si>
    <t>TIDAL Digital, Huge, Tinuiti, Measured, Push, SegmentStream</t>
  </si>
  <si>
    <t>ogilvy.com</t>
  </si>
  <si>
    <t>VML, Momentum, FP7 McCann, Memac Ogilvy, WPP</t>
  </si>
  <si>
    <t>pwc.com</t>
  </si>
  <si>
    <t>VML, EY, PwC</t>
  </si>
  <si>
    <t>emblixsolutions.ae</t>
  </si>
  <si>
    <t>12 Best AEO Agencies in Dubai 2025 | DigiExpo</t>
  </si>
  <si>
    <t>Digital Gravity, NEXA, Blue Beetle, Chain Reaction, EDS FZCO, Digital Media Sapiens</t>
  </si>
  <si>
    <t>https://digitalagencynetwork.com/agencies/dubai/geo/</t>
  </si>
  <si>
    <t>baselinemix.com</t>
  </si>
  <si>
    <t>Top GEO Agencies in Dubai for Generative Engine Optimization (2026)</t>
  </si>
  <si>
    <t>Bird Marketing</t>
  </si>
  <si>
    <t>blueduckagency.com</t>
  </si>
  <si>
    <t>https://ensun.io/search/marketing-analytics/united-arab-emirates</t>
  </si>
  <si>
    <t>datatrust.ae</t>
  </si>
  <si>
    <t>Top 100 Marketing Analytics Companies in United Arab Emirates (2026) \| ensun</t>
  </si>
  <si>
    <t>https://www.havstrategy.com/best-performance-marketing-agency-in-uae/</t>
  </si>
  <si>
    <t>decisionfoundry.com</t>
  </si>
  <si>
    <t>digitalimpressions.ae</t>
  </si>
  <si>
    <t>Momentum, Measured, Push, intouch</t>
  </si>
  <si>
    <t>Best Performance Marketing Agency in UAE | HavStrategy</t>
  </si>
  <si>
    <t>dubaiweb.ae</t>
  </si>
  <si>
    <t>https://mystrika.com/directory/agencies/top/data-analytics-in-country-united-arab-emirates</t>
  </si>
  <si>
    <t>EDS FZCO, Digital Gravity, Chain Reaction, NEXA, Prism Digital, Global Media Insight, Measured, Leads Dubai, ASTUDIO</t>
  </si>
  <si>
    <t>elioplus.com</t>
  </si>
  <si>
    <t>Home of Performance, Blue Beetle</t>
  </si>
  <si>
    <t>feedbax.ai</t>
  </si>
  <si>
    <t>Top Rated Data Analytics Agencies in United Arab Emirates - Directory - Mystrika | Stop Cold Emailing. Start Conversations</t>
  </si>
  <si>
    <t>Web Tonic</t>
  </si>
  <si>
    <t>Acquisit, Chain Reaction, Dot IT, Kleosa, DigitalFarm, SEO Sherpa, United SEO, Upscale Digital</t>
  </si>
  <si>
    <t>incubeta.com</t>
  </si>
  <si>
    <t>https://www.prism-me.com/</t>
  </si>
  <si>
    <t>You</t>
  </si>
  <si>
    <t>Incubeta, intouch, Push</t>
  </si>
  <si>
    <t>jadasquad.com</t>
  </si>
  <si>
    <t>Best Digital Marketing Agency in Dubai | Prism Digital</t>
  </si>
  <si>
    <t>intouch, Huge, Prism Digital, Push</t>
  </si>
  <si>
    <t>https://www.sortlist.com/advertising/dubai-ae</t>
  </si>
  <si>
    <t>linea-analytics.com</t>
  </si>
  <si>
    <t>Ebiquity</t>
  </si>
  <si>
    <t>lps-me.com</t>
  </si>
  <si>
    <t>medium.com</t>
  </si>
  <si>
    <t>The 10 Best Advertising Agencies in Dubai - 2026 Reviews</t>
  </si>
  <si>
    <t>intouch, AlCaz Media, Ninja Promo, Praxis Advertising, Momentum, M3.agency, Admoon</t>
  </si>
  <si>
    <t>NEXA, Integrate Solutions, EDS FZCO, Dentsu, Chain Reaction, Prism Digital, DigitalFarm, Global Media Insight, Digital Media Sapiens, Leads Dubai, Red Berries, Blue Beetle</t>
  </si>
  <si>
    <t>https://valors.agency/best-influencer-marketing-agencies-uae</t>
  </si>
  <si>
    <t>ninjapromo.io</t>
  </si>
  <si>
    <t>Momentum, Digital Gravity, Publicis Groupe, Chain Reaction, Ninja Promo, Tinuiti, M&amp;C Saatchi Performance, Nielsen, PwC, McKinsey &amp; Company, KPMG, Boston Consulting Group, intouch</t>
  </si>
  <si>
    <t>outdooradvertisinguae.com</t>
  </si>
  <si>
    <t>Valors – Performance-Driven Influencer Network</t>
  </si>
  <si>
    <t>https://www.wisoftsolutions.com/services/performance-marketing-agency</t>
  </si>
  <si>
    <t>EDS FZCO, Huge, intouch</t>
  </si>
  <si>
    <t>planaletix.com</t>
  </si>
  <si>
    <t>quoleady.com</t>
  </si>
  <si>
    <t>NoGood, Measured, Push, Omniscient Digital, Darkroom</t>
  </si>
  <si>
    <t>reyson.ae</t>
  </si>
  <si>
    <t>Nielsen, Kantar, Sapience, 4Sight Research &amp; Analytics</t>
  </si>
  <si>
    <t>rightsideup.com</t>
  </si>
  <si>
    <t>#1 Performance Marketing Agency in Dubai, UAE</t>
  </si>
  <si>
    <t>https://aimarketingpro.ae/</t>
  </si>
  <si>
    <t>rollingpixel.ae</t>
  </si>
  <si>
    <t>EDS FZCO, Prism Digital, NEXA, Digital Gravity, Chain Reaction, Global Media Insight, Red Berries, Blue Beetle, intouch</t>
  </si>
  <si>
    <t>scopicstudios.com</t>
  </si>
  <si>
    <t>AI Marketing Agency in Dubai &amp;amp; UAE | AI Marketing Pro</t>
  </si>
  <si>
    <t>Huge, Push, intouch</t>
  </si>
  <si>
    <t>Measured, NoGood, GCC Marketing, Single Grain</t>
  </si>
  <si>
    <t>https://bestdigitalagency.in/best-performance-marketing-agencies-uae/</t>
  </si>
  <si>
    <t>srccreationz.com</t>
  </si>
  <si>
    <t>uplift-lab.com</t>
  </si>
  <si>
    <t>Best Performance marketing agencies in UAE</t>
  </si>
  <si>
    <t>Measured, Growth Hackers, Chain Reaction, Digital Gravity, Ninja Promo, Home of Performance, Blue Beetle, Red Berries</t>
  </si>
  <si>
    <t>https://digitalagencynetwork.com/agencies/dubai/creative/</t>
  </si>
  <si>
    <t>vybinex.com</t>
  </si>
  <si>
    <t>darkroomagency.com</t>
  </si>
  <si>
    <t>Top Creative Agencies in Dubai (2026)</t>
  </si>
  <si>
    <t>Bird Marketing, PwC, Adapts Media, ASTUDIO, Chain Reaction</t>
  </si>
  <si>
    <t>https://www.integrateitsolutions.com/abu-dhabi-geo.php#:~:text=We%20implement%20comprehensive%20schema%20markup%20%E2%80%94%20including,must%20be%20published%20on%20the%20right%20channels.</t>
  </si>
  <si>
    <t>Power Digital, Tinuiti, NoGood, Disruptive Advertising, Wpromote, Directive, inBeat, Darkroom, Measured, Common Thread Collective, WebFX</t>
  </si>
  <si>
    <t>velmontcrest.ae</t>
  </si>
  <si>
    <t>fieldtrip.agency</t>
  </si>
  <si>
    <t>Momentum, inBeat, Power Digital, Brainlabs, Measured, Wpromote, Superside, Monks, Jellyfish, Single Grain, Omniscient Digital, iPullRank, WebFX, Siege Media, NP Digital, intouch, Nielsen, Dentsu</t>
  </si>
  <si>
    <t>incrmntal.com</t>
  </si>
  <si>
    <t>GEO Agency in Abu Dhabi | Generative Engine Optimisation Services UAE</t>
  </si>
  <si>
    <t>https://www.prismads.com/</t>
  </si>
  <si>
    <t>senvoradigital.ae</t>
  </si>
  <si>
    <t>SEO Sherpa, United SEO</t>
  </si>
  <si>
    <t>abmediaco.com</t>
  </si>
  <si>
    <t>Best Marketing &amp;amp; Advertising Agency in Dubai - Prism Advertising LLC</t>
  </si>
  <si>
    <t>https://www.sortlist.com/l/united-arab-emirates-ae</t>
  </si>
  <si>
    <t>apptunix.com</t>
  </si>
  <si>
    <t>The 10 Best Marketing Agencies in the United Arab Emirates - 2026 Reviews</t>
  </si>
  <si>
    <t>Momentum, intouch, Digital Gravity, PwC, EDS FZCO, Prism Digital, Chain Reaction, NEXA, United SEO, Global Media Insight</t>
  </si>
  <si>
    <t>LUMINA, Praxis Advertising, AlCaz Media, Momentum, M3.agency, intouch, Ninja Promo</t>
  </si>
  <si>
    <t>avinityconsulting.com</t>
  </si>
  <si>
    <t>https://www.sortlist.com/social-media/dubai-ae</t>
  </si>
  <si>
    <t>beyond.agency</t>
  </si>
  <si>
    <t>The 10 Best Social Media Marketing Agencies in Dubai - 2026 Reviews</t>
  </si>
  <si>
    <t>intouch, Praxis Advertising, Adapts Media, AlCaz Media, Ninja Promo</t>
  </si>
  <si>
    <t>bizcommunity.com</t>
  </si>
  <si>
    <t>https://www.adbeacon.com/19-best-marketing-attribution-software-solutions-in-2026/</t>
  </si>
  <si>
    <t>FP7 McCann, Impact BBDO</t>
  </si>
  <si>
    <t>burjsahra.com</t>
  </si>
  <si>
    <t>businessinsider.com</t>
  </si>
  <si>
    <t>19 Best Marketing Attribution Software Solutions in 2026 | AdBeacon</t>
  </si>
  <si>
    <t>Push, Rockerbox</t>
  </si>
  <si>
    <t>WPP, intouch, Huge, Measured, Assembly MENA, PwC, McKinsey &amp; Company, KPMG, Boston Consulting Group</t>
  </si>
  <si>
    <t>businessofapps.com</t>
  </si>
  <si>
    <t>https://www.astudio.ae/creative-digital-agency/uae/</t>
  </si>
  <si>
    <t>Huge, Push, Ninja Promo, intouch, Incubeta, Measured, Directive, NoGood</t>
  </si>
  <si>
    <t>consultancy-me.com</t>
  </si>
  <si>
    <t>Artefact, PwC, McKinsey &amp; Company, KPMG, EY, Boston Consulting Group</t>
  </si>
  <si>
    <t>dejaoffice.com</t>
  </si>
  <si>
    <t>Advertising Agency in Abu Dhabi, UAE \| Branding Agency</t>
  </si>
  <si>
    <t>ASTUDIO, intouch</t>
  </si>
  <si>
    <t>https://clutch.co/ae/agencies/social-media-marketing/dubai</t>
  </si>
  <si>
    <t>Huge, NoGood, iPullRank, Omniscient Digital, Siege Media, Single Grain</t>
  </si>
  <si>
    <t>digeesell.ae</t>
  </si>
  <si>
    <t>Top Social Media Marketing Agencies in Dubai - Jul 2026 Rankings | Clutch.co</t>
  </si>
  <si>
    <t>M3.agency, INSIDEA, Blue Beetle, Dot IT, Web Tonic, YouYaa, intouch, EDS FZCO, Leads Dubai, Prism Digital</t>
  </si>
  <si>
    <t>https://nomadx.ae/ai-consulting-uae/</t>
  </si>
  <si>
    <t>dreamizegroup.com</t>
  </si>
  <si>
    <t>Nielsen, Measured</t>
  </si>
  <si>
    <t>AI Consulting UAE - Strategy, Agents &amp; Production AI for Dubai Enterprises | NomadX</t>
  </si>
  <si>
    <t>eliya.io</t>
  </si>
  <si>
    <t>https://www.octopusmarketing.agency/digital-marketing/analytics-and-cro/a-b-testing-agency-service/</t>
  </si>
  <si>
    <t>eykdata.com</t>
  </si>
  <si>
    <t>goedix.com</t>
  </si>
  <si>
    <t>A/B Testing Service in Dubai, UAE | CRO &amp;amp; Conversion Optimization Experts</t>
  </si>
  <si>
    <t>https://oski.site/blog/ai-consulting-companies-uae/</t>
  </si>
  <si>
    <t>greenbook.org</t>
  </si>
  <si>
    <t>Top AI Consulting Companies in the United Arab Emirates</t>
  </si>
  <si>
    <t>https://toprankedworld.com/top-performance-marketing-agencies-in-uae/</t>
  </si>
  <si>
    <t>Accenture Song, Mindshare, Kantar, intouch</t>
  </si>
  <si>
    <t>gulfupdates24.com</t>
  </si>
  <si>
    <t>Top Performance Marketing Agencies in UAE - TopRankedWorld.com</t>
  </si>
  <si>
    <t>NEXA, Prism Digital, United SEO, Digital Gravity, Chain Reaction, EDS FZCO, Blue Beetle</t>
  </si>
  <si>
    <t>https://xchange.avixa.org/posts/top-5-digital-marketing-agencies-in-uae-2026</t>
  </si>
  <si>
    <t>Digital Gravity, Prism Digital, Tenet, Global Media Insight</t>
  </si>
  <si>
    <t>itpro.com</t>
  </si>
  <si>
    <t>INSTITUTIONAL</t>
  </si>
  <si>
    <t>Top 5 Emerging Digital Marketing Agencies in UAE (2026) | AVIXA Xchange</t>
  </si>
  <si>
    <t>Leads Dubai</t>
  </si>
  <si>
    <t>kdm.ae</t>
  </si>
  <si>
    <t>https://www.10seos.com/ae/display-advertising-companies-in-dubai-uae?page=3</t>
  </si>
  <si>
    <t>lbbonline.com</t>
  </si>
  <si>
    <t>NEXA, Global Media Insight, Digital Gravity</t>
  </si>
  <si>
    <t>https://www.aarmeh.ae/ai-consulting</t>
  </si>
  <si>
    <t>Impact BBDO, FP7 McCann, VML</t>
  </si>
  <si>
    <t>lenabara.com</t>
  </si>
  <si>
    <t>AI Consultancy and Services | Aarmeh</t>
  </si>
  <si>
    <t>https://www.adbeacon.com/7-best-marketing-attribution-tools-compared-2026/</t>
  </si>
  <si>
    <t>nevolearn.com</t>
  </si>
  <si>
    <t>ohm.agency</t>
  </si>
  <si>
    <t>onlinemarketing.ae</t>
  </si>
  <si>
    <t>7 Best Marketing Attribution Tools Compared (2026) | AdBeacon</t>
  </si>
  <si>
    <t>Northbeam, Rockerbox</t>
  </si>
  <si>
    <t>https://aiwatchmena.com/analysis/top-geo-companies-gcc-2026.html</t>
  </si>
  <si>
    <t>Digital Gravity, Chain Reaction, NEXA, Prism Digital, DigitalFarm</t>
  </si>
  <si>
    <t>purealanalytics.co.uk</t>
  </si>
  <si>
    <t>rankfirms.com</t>
  </si>
  <si>
    <t>Best GEO Agencies in the GCC — Ranked for 2026 | AI Watch MENA</t>
  </si>
  <si>
    <t>House of Growth, Chain Reaction, Global Media Insight, Measured</t>
  </si>
  <si>
    <t>https://blog.brandburp.com/2026-top-10-ppc-agencies-in-dubai/</t>
  </si>
  <si>
    <t>sourceforge.net</t>
  </si>
  <si>
    <t>Tenet, Measured, Analytic Partners, Push, Haus, Sellforte, Rockerbox</t>
  </si>
  <si>
    <t>thedesigninspiration.com</t>
  </si>
  <si>
    <t>​2026 TOP 10 PPC Agencies in Dubai</t>
  </si>
  <si>
    <t>NEXA, Seven Media, Global Media Insight, United SEO, EDS FZCO, Bruce Clay MENA, Momentum</t>
  </si>
  <si>
    <t>https://www.brandstory.ae/marketing-analytics-agency-in-abu-dhabi/</t>
  </si>
  <si>
    <t>Digital Gravity, Chain Reaction, Push, Red Berries, Blue Beetle</t>
  </si>
  <si>
    <t>themanifest.com</t>
  </si>
  <si>
    <t>YouYaa, Digital Gravity, Tenet, Bird Marketing, Hovi Digital Lab, Leads Dubai, Blue Beetle, INSIDEA, ThatWare</t>
  </si>
  <si>
    <t>clicksgeek.com</t>
  </si>
  <si>
    <t>Marketing Analytics Agency in Abu Dhabi: Advanced Data &amp;amp; Performance Tracking</t>
  </si>
  <si>
    <t>Momentum, Measured, intouch</t>
  </si>
  <si>
    <t>https://clutch.co/ae/agencies/branding</t>
  </si>
  <si>
    <t>Momentum, Measured, Push, Rockerbox, Northbeam</t>
  </si>
  <si>
    <t>Top Branding Agencies in the United Arab Emirates - Jul 2026 Rankings | Clutch.co</t>
  </si>
  <si>
    <t>intouch, Dot IT, YouYaa, Momentum, ENH Marketing</t>
  </si>
  <si>
    <t>pulseo.ae</t>
  </si>
  <si>
    <t>https://clutch.co/ae/agencies/media-buying/dubai</t>
  </si>
  <si>
    <t>Top Media Buying Agencies in Dubai - Jul 2026 Rankings | Clutch.co</t>
  </si>
  <si>
    <t>intouch, EDS FZCO, M&amp;C Saatchi Performance</t>
  </si>
  <si>
    <t>https://clutch.co/ae/agencies/ppc/display</t>
  </si>
  <si>
    <t>webperts.com</t>
  </si>
  <si>
    <t>Top Display Advertising Services in the United Arab Emirates - Jul 2026 Rankings | Clutch.co</t>
  </si>
  <si>
    <t>INSIDEA, YouYaa, EDS FZCO, intouch, TIDAL Digital, M&amp;C Saatchi Performance</t>
  </si>
  <si>
    <t>NEXA, Prism Digital, Bird Marketing, Global Media Insight, United SEO, SEO Sherpa</t>
  </si>
  <si>
    <t>https://clutch.co/ae/agencies/social-media-marketing</t>
  </si>
  <si>
    <t>artefact.com</t>
  </si>
  <si>
    <t>Top Social Media Marketing Companies in the United Arab Emirates - Jul 2026 Rankings \| Clutch.co</t>
  </si>
  <si>
    <t>Blue Beetle, Dot IT, M3.agency, INSIDEA, intouch, Web Tonic, YouYaa</t>
  </si>
  <si>
    <t>https://digiscorp.com/best-ai-consulting-companies-in-dubai/</t>
  </si>
  <si>
    <t>Artefact, PHD</t>
  </si>
  <si>
    <t>flypix.ai</t>
  </si>
  <si>
    <t>thekeenfolks.com</t>
  </si>
  <si>
    <t>Best AI Consulting Companies in Dubai</t>
  </si>
  <si>
    <t>https://www.digital-qube.com/#:~:text=Digital%20Qube%20%7C%20AI%20%26%20Digital%20Marketing,power%20of%20AI%2C%20digital%20transformation%2C%20and%20exceptional.</t>
  </si>
  <si>
    <t>Croud, Tinuiti, Disruptive Advertising, WebFX</t>
  </si>
  <si>
    <t>aeoagencyservices.com</t>
  </si>
  <si>
    <t>NoGood, Omniscient Digital, Siege Media</t>
  </si>
  <si>
    <t>Digital Qube | AI &amp;amp; Digital Marketing Consultancy Dubai &amp;amp; Abu Dhabi | UAE</t>
  </si>
  <si>
    <t>aisuperior.com</t>
  </si>
  <si>
    <t>https://godigitalalpha.com/best-performance-marketing-services-in-uae-2/</t>
  </si>
  <si>
    <t>PHD, Push</t>
  </si>
  <si>
    <t>alstudio.ai</t>
  </si>
  <si>
    <t>amazon.in</t>
  </si>
  <si>
    <t>https://www.goodfirms.co/advertising-companies/uae</t>
  </si>
  <si>
    <t>artifactinnovations.com</t>
  </si>
  <si>
    <t>Top Advertising Agencies in UAE - 2026 Reviews | Goodfirms</t>
  </si>
  <si>
    <t>Prism Digital, Pixoo Media, intouch, Digital Gravity, Leads Dubai</t>
  </si>
  <si>
    <t>https://www.goodfirms.co/big-data-analytics/uae</t>
  </si>
  <si>
    <t>Almost Impossible</t>
  </si>
  <si>
    <t>Top Big Data Analytics Companies in UAE - 2026 Reviews | Goodfirms</t>
  </si>
  <si>
    <t>https://www.havstrategy.com/best-influencer-marketing-agency-in-uae/</t>
  </si>
  <si>
    <t>astudio.agency</t>
  </si>
  <si>
    <t>attributionapp.com</t>
  </si>
  <si>
    <t>Best Influencer Marketing Agency in UAE | HavStrategy - HavStrategy</t>
  </si>
  <si>
    <t>https://hikemytraffic.com/ai-digital-marketing-companies-in-uae/#:~:text=This%20makes%20HikeMyTraffic%C2%AE%20a%20reliable%20AI%20digital,AI%20email%20marketing%20helps%20businesses%3A%20Automate%20follow%2Dups.</t>
  </si>
  <si>
    <t>Measured, Rockerbox, Northbeam, Push</t>
  </si>
  <si>
    <t>bconic.com</t>
  </si>
  <si>
    <t>7 Best AI Digital Marketing Companies in UAE (Updated 2026)</t>
  </si>
  <si>
    <t>beomniscient.com</t>
  </si>
  <si>
    <t>Red Berries, Blue Beetle, M3.agency, Digital Media Sapiens</t>
  </si>
  <si>
    <t>https://www.linkedin.com/pulse/definitive-list-best-generative-engine-optimization-geo-agencies-svknc</t>
  </si>
  <si>
    <t>NoGood, Measured, Omniscient Digital, Single Grain, Daydream, iPullRank, Momentum, Disruptive Advertising, Superside, Directive, NP Digital</t>
  </si>
  <si>
    <t>c3metrics.com</t>
  </si>
  <si>
    <t>Best Generative Engine Optimization Agency Dubai: 2026</t>
  </si>
  <si>
    <t>ThatWare, Digital Gravity, NEXA, EDS FZCO</t>
  </si>
  <si>
    <t>https://list-of-digital-marketing-companies-in-dubai.com/dubai/ai-marketing</t>
  </si>
  <si>
    <t>colabdxb.ae</t>
  </si>
  <si>
    <t>cornerstonecontent.com</t>
  </si>
  <si>
    <t>https://promoguy.nl/blog/2026/02/12/incrementality-testing-for-marketing-promotion/</t>
  </si>
  <si>
    <t>Omniscient Digital, Single Grain, Measured</t>
  </si>
  <si>
    <t>digixvalley.com</t>
  </si>
  <si>
    <t>Incrementality Testing For Marketing &amp;amp; Promotion - Promoguy Digital Marketing Agency</t>
  </si>
  <si>
    <t>https://sellforte.com/blog/best-incrementality-testing-tools</t>
  </si>
  <si>
    <t>directiveconsulting.com</t>
  </si>
  <si>
    <t>Best Incrementality Testing Tools in 2026: In-depth Vendor Comparison</t>
  </si>
  <si>
    <t>Wpromote, NoGood, Measured, Directive, Omniscient Digital, Common Thread Collective, inBeat, Darkroom, Single Grain, Dentsu, Brainlabs, Disruptive Advertising, Merkle, WebFX, KPMG, Jellyfish</t>
  </si>
  <si>
    <t>Sellforte, Measured, Haus, Boston Consulting Group</t>
  </si>
  <si>
    <t>easyinsights.ai</t>
  </si>
  <si>
    <t>https://www.semrush.com/agencies/list/display-advertising/dubai/</t>
  </si>
  <si>
    <t>Best Display Ads Agencies in Dubai 2026 \| Semrush</t>
  </si>
  <si>
    <t>intouch, Leads Dubai, Dot IT, Chain Reaction, DigitalFarm</t>
  </si>
  <si>
    <t>eventseeker.com</t>
  </si>
  <si>
    <t>https://www.sortlist.com/advertising/united-arab-emirates-ae</t>
  </si>
  <si>
    <t>firstpagesage.com</t>
  </si>
  <si>
    <t>The 10 Best Advertising Agencies in the United Arab Emirates - 2026 Reviews</t>
  </si>
  <si>
    <t>intouch, Praxis Advertising, AlCaz Media, Momentum, M3.agency, Ninja Promo</t>
  </si>
  <si>
    <t>https://www.sortlist.com/s/creative/dubai-ae</t>
  </si>
  <si>
    <t>iPullRank, Omniscient Digital, intouch</t>
  </si>
  <si>
    <t>The 10 Best Creative Agencies in Dubai - 2026 Reviews</t>
  </si>
  <si>
    <t>ft.com</t>
  </si>
  <si>
    <t>Ninja Promo, Praxis Advertising, Adapts Media, Push, ASTUDIO</t>
  </si>
  <si>
    <t>https://udjat.ae/ai-marketing-agency-uae/</t>
  </si>
  <si>
    <t>WPP</t>
  </si>
  <si>
    <t>getprolinks.com</t>
  </si>
  <si>
    <t>AI Marketing Agency UAE - Udjat Agency LLC</t>
  </si>
  <si>
    <t>growthspreeofficial.com</t>
  </si>
  <si>
    <t>https://zainlee.com/ai-geo-services-uae</t>
  </si>
  <si>
    <t>NoGood, GrowthSpree, Single Grain, Measured</t>
  </si>
  <si>
    <t>AI GEO Services UAE | Generative Engine Optimization &amp;amp; AI Search | Zainlee</t>
  </si>
  <si>
    <t>hawkemedia.com</t>
  </si>
  <si>
    <t>https://www.amraandelma.com/marketing-agencies-in-the-united-arab-emirates/</t>
  </si>
  <si>
    <t>Power Digital, New Engen, Tinuiti, NoGood, Measured, Disruptive Advertising, VML, Wpromote, Merkle, Monks, WebFX, Siege Media, NP Digital</t>
  </si>
  <si>
    <t>heroiks.com</t>
  </si>
  <si>
    <t>GroupM</t>
  </si>
  <si>
    <t>10 TOP MARKETING AGENCIES IN THE UNITED ARAB EMIRATES DOMINATING BRANDS IN 2026</t>
  </si>
  <si>
    <t>Push, Momentum, GLMA Agency, Chain Reaction, Adapts Media, Deloitte Digital</t>
  </si>
  <si>
    <t>hillsadvertising.com</t>
  </si>
  <si>
    <t>https://www.cometly.com/post/marketing-attribution-tools-for-agencies</t>
  </si>
  <si>
    <t>Best Marketing Attribution Tools For Agencies 2026</t>
  </si>
  <si>
    <t>instagram.com</t>
  </si>
  <si>
    <t>https://www.designrush.com/agency/creative-agencies/ae/dubai</t>
  </si>
  <si>
    <t>klic.ae</t>
  </si>
  <si>
    <t>Top Creative Agencies in Dubai | 2026</t>
  </si>
  <si>
    <t>Adapts Media, GPS Marketing Agency, Almost Impossible</t>
  </si>
  <si>
    <t>https://www.designrush.com/agency/paid-media-pay-per-click/ae</t>
  </si>
  <si>
    <t>Momentum, NEXA, Prism Digital, Measured, NoGood, United SEO</t>
  </si>
  <si>
    <t>market-research-companies.in</t>
  </si>
  <si>
    <t>Top PPC Agencies in United Arab Emirates | 2026</t>
  </si>
  <si>
    <t>Bird Marketing, GCC Marketing, Digital Gravity, Tenet, Growth Hackers</t>
  </si>
  <si>
    <t>https://www.digitalagencies.ae/creative-agencies</t>
  </si>
  <si>
    <t>4Sight Research &amp; Analytics</t>
  </si>
  <si>
    <t>mediaroi.io</t>
  </si>
  <si>
    <t>Creative Agencies in UAE - Creative Agencies</t>
  </si>
  <si>
    <t>intouch, GPS Marketing Agency</t>
  </si>
  <si>
    <t>https://www.digitalmarketingagency.ae/</t>
  </si>
  <si>
    <t>monks.com</t>
  </si>
  <si>
    <t>Monks, intouch</t>
  </si>
  <si>
    <t>morispr.com</t>
  </si>
  <si>
    <t>#1 Digital Marketing Agency UAE | AI SEO, PPC &amp;amp; AI Ads Abu Dhabi Dubai</t>
  </si>
  <si>
    <t>Dentsu, Measured, OMD, Mindshare, PHD</t>
  </si>
  <si>
    <t>https://www.diuna.ae/</t>
  </si>
  <si>
    <t>newengen.com</t>
  </si>
  <si>
    <t>New Engen, intouch</t>
  </si>
  <si>
    <t>Diuna Technologies | AI Readiness Assessment UAE | DIFC | Dubai AI Campus</t>
  </si>
  <si>
    <t>https://www.hammerhead.global/blogs/top-10-advertising-companies-in-dubai-uae-guide</t>
  </si>
  <si>
    <t>northbeam.io</t>
  </si>
  <si>
    <t>Northbeam, Measured</t>
  </si>
  <si>
    <t>onelittleweb.com</t>
  </si>
  <si>
    <t>Top 10 Advertising Companies in Dubai UAE (2025 Guide)</t>
  </si>
  <si>
    <t>Memac Ogilvy, Impact BBDO, TBWA\RAAD, NEXA</t>
  </si>
  <si>
    <t>https://hikemytraffic.com/ai-social-media-marketing-agencies-in-dubai/</t>
  </si>
  <si>
    <t>Tenet, Disruptive Advertising, WebFX</t>
  </si>
  <si>
    <t>plana.tech</t>
  </si>
  <si>
    <t>reach360.ae</t>
  </si>
  <si>
    <t>Top 11 AI Social Media Marketing Agencies in Dubai (updated 2026)</t>
  </si>
  <si>
    <t>DigitalFarm</t>
  </si>
  <si>
    <t>reuters.com</t>
  </si>
  <si>
    <t>https://inbeat.agency/blog/best-google-ads-agencies-dubai</t>
  </si>
  <si>
    <t>Publicis Groupe</t>
  </si>
  <si>
    <t>revclickmarketing.com</t>
  </si>
  <si>
    <t>Performance Marketing 101: Definitive Guide with Agency Insights - inBeat Agency</t>
  </si>
  <si>
    <t>inBeat, Nielsen, Push, Momentum</t>
  </si>
  <si>
    <t>https://inbeat.agency/blog/best-social-media-agencies-dubai</t>
  </si>
  <si>
    <t>search.agency</t>
  </si>
  <si>
    <t>seoprofy.com</t>
  </si>
  <si>
    <t>Best 31 Social Media Agencies in Dubai as of 2025 - Tried and Tested - inBeat Agency</t>
  </si>
  <si>
    <t>NoGood, Measured, Omniscient Digital, INSIDEA, Siege Media, WebFX, iPullRank</t>
  </si>
  <si>
    <t>inBeat, Nielsen, Global Media Insight, Web Tonic, NEXA, ASTUDIO, Prism Digital, DigitalFarm, Chain Reaction, Digital Gravity</t>
  </si>
  <si>
    <t>https://www.lapaone.com/creative-design-agencies-dubai/</t>
  </si>
  <si>
    <t>sixthfactor.com</t>
  </si>
  <si>
    <t>11 Best Creative Design Agencies in Dubai (2026)</t>
  </si>
  <si>
    <t>Digital Gravity</t>
  </si>
  <si>
    <t>skmcglobal.com</t>
  </si>
  <si>
    <t>https://leo9studio.com/blog/best-creative-advertising-agencies-dubai/</t>
  </si>
  <si>
    <t>techhive.ae</t>
  </si>
  <si>
    <t>Best Creative Advertising Agencies in Dubai: Explained - Leo9 Studio</t>
  </si>
  <si>
    <t>trefon.com</t>
  </si>
  <si>
    <t>https://mintdigitalsolutions.ae/performance-marketing/</t>
  </si>
  <si>
    <t>tudoopiq.com</t>
  </si>
  <si>
    <t>vimdrive.com</t>
  </si>
  <si>
    <t>Best Performance Marketing Services | Mint Digital Solutions.</t>
  </si>
  <si>
    <t>https://mobian.studio/ai-consulting-companies-uae/</t>
  </si>
  <si>
    <t>websenor.com</t>
  </si>
  <si>
    <t>Leading AI Consulting Firms in the United Arab Emirates</t>
  </si>
  <si>
    <t>intouch, INSIDEA</t>
  </si>
  <si>
    <t>https://www.morismedia.in/united-arab-emirates-top-10-llm-ai-search-optimization-agency-for-corporate-consulting-in-2026</t>
  </si>
  <si>
    <t>Bruce Clay MENA, EDS FZCO, Chain Reaction, NEXA, United SEO, Red Berries, Blue Beetle</t>
  </si>
  <si>
    <t>wittwise.com</t>
  </si>
  <si>
    <t>Brandtech</t>
  </si>
  <si>
    <t>Top 10 LLM &amp;amp; AI Search Optimization Agencies in United Arab Emirates 2026</t>
  </si>
  <si>
    <t>Measured, NEXA, Chain Reaction, Bruce Clay MENA, SEO Sherpa, United SEO, Red Berries, EDS FZCO</t>
  </si>
  <si>
    <t>yesoptimist.com</t>
  </si>
  <si>
    <t>https://www.pepper.inc/blog/best-geo-agencies-dubai-middle-east/</t>
  </si>
  <si>
    <t>Measured, Omniscient Digital, iPullRank, Siege Media, NoGood, Push</t>
  </si>
  <si>
    <t>Best GEO Agencies in Dubai and the Middle East: 2026 Top Firms | Pepper Content</t>
  </si>
  <si>
    <t>semabrands.com</t>
  </si>
  <si>
    <t>PwC, Chain Reaction, NEXA, Tenet, Push, Global Media Insight, INSIDEA</t>
  </si>
  <si>
    <t>https://www.pushgroup.ae/blog/top-9-marketing-agencies-dubai</t>
  </si>
  <si>
    <t>sustainablemindz.net</t>
  </si>
  <si>
    <t>Top 9 Marketing Agencies in Dubai (2026) | PUSH</t>
  </si>
  <si>
    <t>intouch, Push MENA, Push, FP7 McCann, Memac Ogilvy, WPP, Publicis Groupe, NEXA, Chain Reaction, TIDAL Digital</t>
  </si>
  <si>
    <t>https://techbullion.com/top-creative-and-advertising-agencies-dubai-uae/</t>
  </si>
  <si>
    <t>toimi.pro</t>
  </si>
  <si>
    <t>Top 10 Best Creative and Advertising Agencies in Dubai, UAE - TechBullion</t>
  </si>
  <si>
    <t>WPP, WonderEight, McKinsey &amp; Company</t>
  </si>
  <si>
    <t>Impact BBDO, Memac Ogilvy, Push, EDS FZCO, YouYaa, PwC</t>
  </si>
  <si>
    <t>2pointagency.com</t>
  </si>
  <si>
    <t>https://waimhub.com/ai-digital-marketing-agency-dubai-guide/</t>
  </si>
  <si>
    <t>clickpost.ai</t>
  </si>
  <si>
    <t>AI digital marketing agency in Dubai: what works</t>
  </si>
  <si>
    <t>intouch, WAIM</t>
  </si>
  <si>
    <t>https://www.webtonic.io/blog/best-social-media-agencies-dubai</t>
  </si>
  <si>
    <t>The 45 Top Social Media Agencies in Dubai as of 2026</t>
  </si>
  <si>
    <t>Web Tonic, DigitalFarm, KPMG, PwC, NEXA, Publicis Groupe, TBWA\RAAD, FP7 McCann, Impact BBDO, VML, Serviceplan Middle East, Momentum, intouch</t>
  </si>
  <si>
    <t>crawlbrains.ae</t>
  </si>
  <si>
    <t>https://agencies.semrush.com/list/ppc/united-arab-emirates/</t>
  </si>
  <si>
    <t>gr.agency</t>
  </si>
  <si>
    <t>intouch, NEXA</t>
  </si>
  <si>
    <t>Best PPC Agencies in United Arab Emirates 2026 | Semrush</t>
  </si>
  <si>
    <t>zawya.com</t>
  </si>
  <si>
    <t>https://agencies.semrush.com/list/smm/united-arab-emirates/</t>
  </si>
  <si>
    <t>PHD, Push, Omnicom Media Group, OMD, Assembly MENA</t>
  </si>
  <si>
    <t>3rdscreendigital.com</t>
  </si>
  <si>
    <t>Best Social Media Marketing Agencies in United Arab Emirates 2026 | Semrush</t>
  </si>
  <si>
    <t>https://www.alcazmedia.ae/services/data-analytics-consulting-services-dubai</t>
  </si>
  <si>
    <t>aakashpareek.in</t>
  </si>
  <si>
    <t>admoon.agency</t>
  </si>
  <si>
    <t>Admoon</t>
  </si>
  <si>
    <t>aeoengine.ai</t>
  </si>
  <si>
    <t>Data Analytics Consulting Services Dubai | Accurate ROI Data</t>
  </si>
  <si>
    <t>AlCaz Media, GCC Marketing</t>
  </si>
  <si>
    <t>https://www.architecturaldigest.com/story/is-your-business-ready-for-the-ai-overview-era</t>
  </si>
  <si>
    <t>NoGood, iPullRank</t>
  </si>
  <si>
    <t>aimenalabs.com</t>
  </si>
  <si>
    <t>al-bahr-growth-advisory.com</t>
  </si>
  <si>
    <t>ARTICLE</t>
  </si>
  <si>
    <t>Is Your Business Ready for the AI Overview Era? | Architectural Digest</t>
  </si>
  <si>
    <t>Article</t>
  </si>
  <si>
    <t>https://arytech.com/uae/services/ai-consulting-services/</t>
  </si>
  <si>
    <t>amazon.es</t>
  </si>
  <si>
    <t>https://clutch.co/ae/agencies/dubai</t>
  </si>
  <si>
    <t>aoyawardsme.com</t>
  </si>
  <si>
    <t>Top Advertising Agencies in Dubai - Jul 2026 Rankings \| Clutch.co</t>
  </si>
  <si>
    <t>M3.agency, INSIDEA, YouYaa, Momentum, intouch, EDS FZCO, Leads Dubai, M&amp;C Saatchi Performance, Prism Digital</t>
  </si>
  <si>
    <t>https://www.designrush.com/agency/digital-marketing/analytics</t>
  </si>
  <si>
    <t>Assembly MENA, Momentum, Impact BBDO, Publicis Groupe, NEXA, FP7 McCann, TBWA\RAAD, Home of Performance, Measured, WPP, Push, OMD, Leo Burnett MENA</t>
  </si>
  <si>
    <t>ardantisglobal.com</t>
  </si>
  <si>
    <t>Top Marketing Analytics Agencies in 2026</t>
  </si>
  <si>
    <t>Huge, Monks</t>
  </si>
  <si>
    <t>https://godigitalalpha.com/best-social-media-marketing-services-in-uae/</t>
  </si>
  <si>
    <t>arfadia.com</t>
  </si>
  <si>
    <t>Best Social Media Marketing Services in UAE</t>
  </si>
  <si>
    <t>NEXA, Red Berries, Blue Beetle, DigitalFarm, Seven Media, Prism Digital, Bruce Clay MENA</t>
  </si>
  <si>
    <t>NEXA, Digital Gravity, Push, Omniscient Digital, Tenet, Global Media Insight, Measured, Chain Reaction, Royex Technologies, iPullRank</t>
  </si>
  <si>
    <t>https://innovatscale.ae/ai-consulting-uae/</t>
  </si>
  <si>
    <t>augencia.com</t>
  </si>
  <si>
    <t>NoGood, Monks, Single Grain</t>
  </si>
  <si>
    <t>AI Consulting UAE | Strategy, Implementation &amp;amp; Transformation | InnovatScale</t>
  </si>
  <si>
    <t>axios.com</t>
  </si>
  <si>
    <t>https://www.lapaone.com/digital-marketing-agencies-in-uae/#:~:text=Digital%20Nexa%20is%20a%20prominent%20digital%20marketing,businesses%20operating%20in%20the%20Middle%20East%20region.</t>
  </si>
  <si>
    <t>Push, PwC</t>
  </si>
  <si>
    <t>bainna.ae</t>
  </si>
  <si>
    <t>12 Best Digital Marketing Agencies in the UAE for Business Growth (2026)</t>
  </si>
  <si>
    <t>NEXA, ASTUDIO, Adapts Media, Bird Marketing</t>
  </si>
  <si>
    <t>https://loomlinker.com/blog/best-social-media-agencies-dubai/</t>
  </si>
  <si>
    <t>brandmeadv.com</t>
  </si>
  <si>
    <t>Best 20 Social Media Agencies in Dubai as of 2025</t>
  </si>
  <si>
    <t>brentonway.com</t>
  </si>
  <si>
    <t>NEXA, Impact BBDO, Prism Digital, Blue Beetle, DigitalFarm, Global Media Insight</t>
  </si>
  <si>
    <t>https://www.measured.com/incrementality-testing/</t>
  </si>
  <si>
    <t>Power Digital, NoGood, Disruptive Advertising, Push, Directive, inBeat</t>
  </si>
  <si>
    <t>communicateonline.me</t>
  </si>
  <si>
    <t>Measured: Incrementality Testing</t>
  </si>
  <si>
    <t>https://www.opinosis-analytics.com/ai-consulting-in-dubai/</t>
  </si>
  <si>
    <t>Publicis Groupe, Omnicom Media Group</t>
  </si>
  <si>
    <t>daleel-ai.com</t>
  </si>
  <si>
    <t>dataterminal.co</t>
  </si>
  <si>
    <t>AI Consulting Company in Dubai | UAE | AI Strategy Consulting</t>
  </si>
  <si>
    <t>https://www.sortlist.com/l/dubai-ae</t>
  </si>
  <si>
    <t>deducive.com</t>
  </si>
  <si>
    <t>PHD</t>
  </si>
  <si>
    <t>Sortlist</t>
  </si>
  <si>
    <t>deloitte.com</t>
  </si>
  <si>
    <t>Solved6, AlCaz Media, Praxis Advertising, LUMINA, Momentum, M3.agency, Ninja Promo, intouch, Push</t>
  </si>
  <si>
    <t>https://www.stackwise.site/services/ai-consulting</t>
  </si>
  <si>
    <t>drivix.io</t>
  </si>
  <si>
    <t>dss-ai.com</t>
  </si>
  <si>
    <t>AI Consulting Services | StackWise</t>
  </si>
  <si>
    <t>https://www.techradar.com/pro/aeo-vs-seo-whats-the-difference-and-do-you-need-both</t>
  </si>
  <si>
    <t>dynamictech.ae</t>
  </si>
  <si>
    <t>eightysixmedia.ae</t>
  </si>
  <si>
    <t>emotedigital.ae</t>
  </si>
  <si>
    <t>AEO vs SEO: What's the difference &amp;amp; do you need both? | TechRadar</t>
  </si>
  <si>
    <t>enterprisemarketingportal.google</t>
  </si>
  <si>
    <t>https://titananalytics.ae/services/digital-marketing/</t>
  </si>
  <si>
    <t>forbesberry.com</t>
  </si>
  <si>
    <t>fusepointinsights.com</t>
  </si>
  <si>
    <t>Power Digital</t>
  </si>
  <si>
    <t>Best Digital Marketing Agency in Dubai - Titan Analytics</t>
  </si>
  <si>
    <t>geoq.ai</t>
  </si>
  <si>
    <t>https://uaesmsmarketing.com/list-best-outdoor-advertising-companies-dubai-uae/</t>
  </si>
  <si>
    <t>getrecast.com</t>
  </si>
  <si>
    <t>govanator.com</t>
  </si>
  <si>
    <t>List of Best Outdoor Advertising Companies in Dubai UAE</t>
  </si>
  <si>
    <t>Digital Gravity, Prism Digital, Chain Reaction, NEXA, DigitalFarm, Web Tonic, inBeat, ASTUDIO, intouch, Push</t>
  </si>
  <si>
    <t>gravitybase.ai</t>
  </si>
  <si>
    <t>https://www.youtube.com/watch?v=IhghlPIIuic</t>
  </si>
  <si>
    <t>Digital Gravity, intouch</t>
  </si>
  <si>
    <t>haus.io</t>
  </si>
  <si>
    <t>Momentum, Haus</t>
  </si>
  <si>
    <t>What Are the Best Generative Engine Optimization (GEO) Agencies in the United Arab Emirates?</t>
  </si>
  <si>
    <t>houbaracomms.agency</t>
  </si>
  <si>
    <t>Brainlabs</t>
  </si>
  <si>
    <t>impactbbdo.com</t>
  </si>
  <si>
    <t>https://2p.ae/certified-google-partner/</t>
  </si>
  <si>
    <t>Impact BBDO</t>
  </si>
  <si>
    <t>improvado.io</t>
  </si>
  <si>
    <t>Measured, Push</t>
  </si>
  <si>
    <t>incremental.com</t>
  </si>
  <si>
    <t>2P Certified Google Partner in UAE</t>
  </si>
  <si>
    <t>https://aiims.group/services/ai-marketing-services/ai-seo-services-dubai/</t>
  </si>
  <si>
    <t>indeed.com</t>
  </si>
  <si>
    <t>AI SEO Services Dubai | AI SEO Expert UAE | AIIMS™ Group</t>
  </si>
  <si>
    <t>https://www.allblogthings.com/2026/07/top-10-aiseo-aeo-agencies-in-uae.html</t>
  </si>
  <si>
    <t>WPP, Push</t>
  </si>
  <si>
    <t>innovatedigital.ae</t>
  </si>
  <si>
    <t>ipsos.com</t>
  </si>
  <si>
    <t>itsaimarketing.com</t>
  </si>
  <si>
    <t>Top 10 AISEO (AEO) Agencies in UAE in 2026</t>
  </si>
  <si>
    <t>NorthQuery, Tenet, Digital Media Sapiens, House of Growth, SEO Sherpa, Bird Marketing, NEXA</t>
  </si>
  <si>
    <t>https://appinventiv.com/ae/ai-consulting-services-in-dubai/</t>
  </si>
  <si>
    <t>kiwop.com</t>
  </si>
  <si>
    <t>Measured, Rockerbox, Northbeam</t>
  </si>
  <si>
    <t>kochava.com</t>
  </si>
  <si>
    <t>AI Consulting Services in Dubai | Appinventiv</t>
  </si>
  <si>
    <t>Measured, Push, Kantar</t>
  </si>
  <si>
    <t>https://artrevo.net/blog/best-ai-marketing-agency-dubai-uae/</t>
  </si>
  <si>
    <t>lyxelandflamingo.com</t>
  </si>
  <si>
    <t>Push, intouch, Measured</t>
  </si>
  <si>
    <t>macreativeag.com</t>
  </si>
  <si>
    <t>The Best AI Marketing Agency In Dubai &amp;amp; UAE | Top AI Marketing Company ArtRevo</t>
  </si>
  <si>
    <t>NEXA, Digital Gravity, Prism Digital, GCC Marketing, ASTUDIO, Red Berries</t>
  </si>
  <si>
    <t>https://www.astudio.ae/digital-marketing-agency/</t>
  </si>
  <si>
    <t>manqoosh.com</t>
  </si>
  <si>
    <t>Luxury Digital Marketing Agency Saudi Arabia \| ASTUDIO</t>
  </si>
  <si>
    <t>marketbridge.com</t>
  </si>
  <si>
    <t>https://www.benchmarketing.org/performance-marketing-agency/dubai</t>
  </si>
  <si>
    <t>metrongrowth.com</t>
  </si>
  <si>
    <t>Performance Marketing Agencies in Dubai | Benchmarketing</t>
  </si>
  <si>
    <t>mordorintelligence.com</t>
  </si>
  <si>
    <t>SEO Sherpa, NEXA, Digital Gravity</t>
  </si>
  <si>
    <t>https://www.bicommunications.ae/blog/best-social-media-marketing-agencies-abu-dhabi/</t>
  </si>
  <si>
    <t>Best Social Media Marketing Agencies in Abu Dhabi (2026 Guide)</t>
  </si>
  <si>
    <t>DigitalFarm, Chain Reaction, Pixoo Media, Bird Marketing, Ninja Promo, Praxis Advertising, intouch</t>
  </si>
  <si>
    <t>https://clutch.co/ae/consulting/ai/strategy</t>
  </si>
  <si>
    <t>Top AI Strategy Companies in the United Arab Emirates - Jul 2026 Rankings \| Clutch.co</t>
  </si>
  <si>
    <t>oneday.agency</t>
  </si>
  <si>
    <t>Nielsen, Huge, intouch</t>
  </si>
  <si>
    <t>https://digitalfarm.ae/</t>
  </si>
  <si>
    <t>origami.chat</t>
  </si>
  <si>
    <t>Momentum</t>
  </si>
  <si>
    <t>outrightcrm.com</t>
  </si>
  <si>
    <t>Power Digital, Huge, Disruptive Advertising, Wpromote, Push, Directive, Merkle, INSIDEA, Jellyfish, NP Digital</t>
  </si>
  <si>
    <t>performbyai.com</t>
  </si>
  <si>
    <t>Digital Marketing Agency Dubai &amp;amp; Abu Dhabi, UAE and Riyadh, KSA</t>
  </si>
  <si>
    <t>DigitalFarm, Push</t>
  </si>
  <si>
    <t>https://digitaloasisae.com/top-10-marketing-agencies-in-dubai/</t>
  </si>
  <si>
    <t>pinemarsh.com</t>
  </si>
  <si>
    <t>primelis.com</t>
  </si>
  <si>
    <t>proplexads.com</t>
  </si>
  <si>
    <t>Top 10 Marketing Agencies in Dubai 2026 (Updated &amp;amp; Review)</t>
  </si>
  <si>
    <t>Push, intouch</t>
  </si>
  <si>
    <t>intouch, NEXA, Digital Gravity, Chain Reaction, United SEO, Red Berries, Prism Digital, WPP, Publicis Groupe, Dentsu</t>
  </si>
  <si>
    <t>revlift.co</t>
  </si>
  <si>
    <t>https://e-cens.com/blog/best-data-analytics-companies-in-the-uae-2026-a-buyers-guide/</t>
  </si>
  <si>
    <t>rifoa.com</t>
  </si>
  <si>
    <t>Best Data Analytics Companies In The UAE (2026): A Buyer&amp;#039;s Guide | E-CENS</t>
  </si>
  <si>
    <t>Chain Reaction, PwC, Publicis Groupe</t>
  </si>
  <si>
    <t>rockerbox.com</t>
  </si>
  <si>
    <t>https://edisonmoment.com/agency/best/digital-marketing-agency-uae</t>
  </si>
  <si>
    <t>Rockerbox</t>
  </si>
  <si>
    <t>rocketium.ai</t>
  </si>
  <si>
    <t>Digital Marketing Agency in the UAE | Edison Moment</t>
  </si>
  <si>
    <t>https://effective.ae/services/best-ai-agency-uae/</t>
  </si>
  <si>
    <t>Superside</t>
  </si>
  <si>
    <t>runtime-solutions.ae</t>
  </si>
  <si>
    <t>Best AI Agency in the UAE - Creative and Digital Services Powered by AI</t>
  </si>
  <si>
    <t>https://foresightfox.com/blog/top-10-ai-seo-agencies-in-uae/</t>
  </si>
  <si>
    <t>rzlt.io</t>
  </si>
  <si>
    <t>NoGood, Wpromote, Superside, Monks, Jellyfish</t>
  </si>
  <si>
    <t>scalixai.com</t>
  </si>
  <si>
    <t>Top 10 AI SEO Agencies In UAE - Foresight Fox</t>
  </si>
  <si>
    <t>Wpromote, NoGood, Directive, Common Thread Collective, Darkroom, Omniscient Digital, Single Grain</t>
  </si>
  <si>
    <t>intouch, Global Media Insight</t>
  </si>
  <si>
    <t>seosherpa.com</t>
  </si>
  <si>
    <t>https://hypebox.me/blog/articles/top-10-boutique-creative-agencies-in-uae-2026</t>
  </si>
  <si>
    <t>SEO Sherpa, intouch, Push, WebFX</t>
  </si>
  <si>
    <t>silverspoonagency.com</t>
  </si>
  <si>
    <t>Top 10 Boutique Creative Agencies in UAE 2026 | Hypebox Media</t>
  </si>
  <si>
    <t>https://www.impressionmedia.ae/digital-marketing/ai-powered-digital-marketing-agencies-in-dubai-uae</t>
  </si>
  <si>
    <t>smithfieldagency.com</t>
  </si>
  <si>
    <t>synapgrowth.agency</t>
  </si>
  <si>
    <t>teamtweaks.com</t>
  </si>
  <si>
    <t>https://lifesight.io/blog/best-incrementality-testing-tools/</t>
  </si>
  <si>
    <t>NEXA, Above Digital, Prism Digital, DigitalFarm, Measured, United SEO</t>
  </si>
  <si>
    <t>theverge.com</t>
  </si>
  <si>
    <t>6 Best Incrementality Testing Tools in 2025 [UPDATED] - Lifesight</t>
  </si>
  <si>
    <t>Huge, Publicis Groupe, Push</t>
  </si>
  <si>
    <t>Haus, Measured, Push, Northbeam</t>
  </si>
  <si>
    <t>https://www.linkedin.com/pulse/top-10-ai-consulting-services-providers-dubai-abu-dhabi-hazel-wilson-fvqvf</t>
  </si>
  <si>
    <t>thinkcypher.com</t>
  </si>
  <si>
    <t>Top 10 AI Consulting Services Providers in Dubai &amp;amp; Abu Dhabi [2026 Edition]</t>
  </si>
  <si>
    <t>https://www.measured.com/incremental-lift-tests/</t>
  </si>
  <si>
    <t>transparent.partners</t>
  </si>
  <si>
    <t>u.ae</t>
  </si>
  <si>
    <t>upgrowth.in</t>
  </si>
  <si>
    <t>https://www.moonbox.ae/</t>
  </si>
  <si>
    <t>versich.com</t>
  </si>
  <si>
    <t>Branding Agency in Dubai - Best Creative Agency UAE</t>
  </si>
  <si>
    <t>https://www.nerdsey.com/cite/aeo-agency-dubai/</t>
  </si>
  <si>
    <t>vistabylara.com</t>
  </si>
  <si>
    <t>Digital Gravity, NEXA, Global Media Insight, United SEO</t>
  </si>
  <si>
    <t>weareaudiences.com</t>
  </si>
  <si>
    <t>Best AEO Agency in Dubai (Answer Engine Optimization 2026) | NERDSEY</t>
  </si>
  <si>
    <t>https://www.performancestimuli.com/services/marketing-analytics/</t>
  </si>
  <si>
    <t>weareqry.com</t>
  </si>
  <si>
    <t>Power Digital, Tinuiti, Wpromote, Directive, WebFX, Single Grain, NoGood, Measured</t>
  </si>
  <si>
    <t>webcastle.ae</t>
  </si>
  <si>
    <t>Prism Digital, intouch</t>
  </si>
  <si>
    <t>weframetech.com</t>
  </si>
  <si>
    <t>Marketing Analytics Agency in Dubai, UAE | Data-Driven Growth Experts</t>
  </si>
  <si>
    <t>https://roifromads.com/</t>
  </si>
  <si>
    <t>Global Media Insight, Measured</t>
  </si>
  <si>
    <t>werankle.com</t>
  </si>
  <si>
    <t>wordofgpt.com</t>
  </si>
  <si>
    <t>https://www.sapience.ae/</t>
  </si>
  <si>
    <t>Push MENA, Push</t>
  </si>
  <si>
    <t>workmagic.io</t>
  </si>
  <si>
    <t>wsj.com</t>
  </si>
  <si>
    <t>Top Market Research Company in Dubai, UAE | Sapience</t>
  </si>
  <si>
    <t>https://savit.ae/best-social-media-agencies-in-dubai-for-roi-driven-campaigns/#:~:text=Multi%2Dplatform%20expertise%20across%20Meta%2C%20LinkedIn%2C%20TikTok%2C%20YouTube%2C,Best%20for%20Paid%20Social%20ROAS%20at%20Scale.</t>
  </si>
  <si>
    <t>EY</t>
  </si>
  <si>
    <t>ycp.com</t>
  </si>
  <si>
    <t>Dentsu, McKinsey &amp; Company, KPMG</t>
  </si>
  <si>
    <t>zenerom.ae</t>
  </si>
  <si>
    <t>Best Social Media Agencies in Dubai for ROI-Driven Campaigns</t>
  </si>
  <si>
    <t>https://segmentstream.com/blog/articles/top-10-incrementality-testing-tools</t>
  </si>
  <si>
    <t>zoomdigital.ae</t>
  </si>
  <si>
    <t>10 Best Incrementality Testing Tools (2026) — SegmentStream</t>
  </si>
  <si>
    <t>SegmentStream, Measured, Haus, Rockerbox</t>
  </si>
  <si>
    <t>https://sellforte.com/</t>
  </si>
  <si>
    <t>zyppy.com</t>
  </si>
  <si>
    <t>MMM, Incrementality Testing &amp;amp; Attribution | Sellforte</t>
  </si>
  <si>
    <t>Sellforte, Huge, Measured, Push</t>
  </si>
  <si>
    <t>https://slashdot.org/software/incrementality-testing/in-middle-east/</t>
  </si>
  <si>
    <t>gitnux.org</t>
  </si>
  <si>
    <t>VML</t>
  </si>
  <si>
    <t>ronstudios.com</t>
  </si>
  <si>
    <t>Top Incrementality Testing Tools in the Middle East in 2026</t>
  </si>
  <si>
    <t>Measured, Sellforte, Rockerbox, Haus, Analytic Partners</t>
  </si>
  <si>
    <t>https://sociallypowerful.com/post/top-social-media-marketing-agencies-dubai</t>
  </si>
  <si>
    <t>stackadapt.com</t>
  </si>
  <si>
    <t>Push, Boston Consulting Group</t>
  </si>
  <si>
    <t>adrsta.ai</t>
  </si>
  <si>
    <t>Top 12 Social Media Marketing Agencies Dubai (2025)</t>
  </si>
  <si>
    <t>NEXA, ASTUDIO, DigitalFarm, Digital Gravity, intouch</t>
  </si>
  <si>
    <t>https://www.sortlist.com/s/ai-marketing/united-arab-emirates-ae</t>
  </si>
  <si>
    <t>amazonaws.com</t>
  </si>
  <si>
    <t>The 10 Best AI Marketing Companies in the United Arab Emirates - 2026 Reviews</t>
  </si>
  <si>
    <t>https://support.google.com/analytics/answer/7237700?hl=en</t>
  </si>
  <si>
    <t>benly.ai</t>
  </si>
  <si>
    <t>Google Marketing Platform Partners - Analytics Help</t>
  </si>
  <si>
    <t>customerlabs.com</t>
  </si>
  <si>
    <t>https://www.teamlewis.com/ae/magazine/best-geo-agencies-uae/</t>
  </si>
  <si>
    <t>dataintelo.com</t>
  </si>
  <si>
    <t>Dentsu, Publicis Groupe, Measured, WPP, Push, Omnicom Media Group, Publicis Media, GroupM, Epsilon, Rockerbox, Mindshare, PHD, Boston Consulting Group</t>
  </si>
  <si>
    <t>daviesmeyer.com</t>
  </si>
  <si>
    <t>Top Leading GEO Agencies in UAE of 2026 \| TEAM LEWIS</t>
  </si>
  <si>
    <t>https://techbehemoths.com/companies/marketing-analytics/united-arab-emirates</t>
  </si>
  <si>
    <t>intouch, Northbeam</t>
  </si>
  <si>
    <t>gulfnews.com</t>
  </si>
  <si>
    <t>intimetec.com</t>
  </si>
  <si>
    <t>Top 20+ Marketing analytics Companies in United Arab Emirates (2026) - TechBehemoths</t>
  </si>
  <si>
    <t>https://thatware.co/top-10-ai-search-companies-in-dubai/</t>
  </si>
  <si>
    <t>royex.ae</t>
  </si>
  <si>
    <t>NEXA, Global Media Insight, SEO Sherpa, United SEO, Digital Arabia, Red Berries, Blue Beetle, Royex Technologies</t>
  </si>
  <si>
    <t>skai.io</t>
  </si>
  <si>
    <t>Top AI Search Companies in Dubai | 10 Best Dubai AI Search Firms</t>
  </si>
  <si>
    <t>ThatWare, Bruce Clay MENA, Chain Reaction, Red Berries, NEXA, Digital Gravity</t>
  </si>
  <si>
    <t>https://topgeoagencies.com/</t>
  </si>
  <si>
    <t>trkkn.com</t>
  </si>
  <si>
    <t>0ptimus.com</t>
  </si>
  <si>
    <t>The GEO 250 — Best Generative Engine Optimization (GEO) Agencies | TopGEOAgencies.com</t>
  </si>
  <si>
    <t>aargroup.co.uk</t>
  </si>
  <si>
    <t>https://zabtechdigital.ae/our-services/digital-marketing-agency-dubai/digital-paid-ads-services/display-advertising-agency-in-dubai/</t>
  </si>
  <si>
    <t>aarkmarketing.com</t>
  </si>
  <si>
    <t>Display Advertising Agency In Dubai - Google Display Ads Services</t>
  </si>
  <si>
    <t>https://ae.doorsstudio.com/performance-marketing</t>
  </si>
  <si>
    <t>abovedigital.com</t>
  </si>
  <si>
    <t>Above Digital, Push, intouch</t>
  </si>
  <si>
    <t>aceofperformance.com</t>
  </si>
  <si>
    <t>Performance &amp;amp; Digital Marketing Agency in Dubai | Doors Studio</t>
  </si>
  <si>
    <t>https://aeo-collective.com/blog/top-10-aeo-geo-aio-marketing-agencies-in-april-2026/</t>
  </si>
  <si>
    <t>activeadsmedia.com</t>
  </si>
  <si>
    <t>Top AEO Agencies for Boosting AI Search Visibility in 2026</t>
  </si>
  <si>
    <t>actuatemedia.com</t>
  </si>
  <si>
    <t>https://agencies.semrush.com/list/ppc/dubai/</t>
  </si>
  <si>
    <t>adconversion.com</t>
  </si>
  <si>
    <t>Best PPC Agencies in Dubai 2026 | Semrush</t>
  </si>
  <si>
    <t>Momentum, Superside, Push, Directive, INSIDEA</t>
  </si>
  <si>
    <t>https://ai.enhmedia.com/</t>
  </si>
  <si>
    <t>adcustoms.gov.ae</t>
  </si>
  <si>
    <t>adfixagency.com</t>
  </si>
  <si>
    <t>AI Digital Marketing Agency in Dubai | AI Based Digital Marketing UAE</t>
  </si>
  <si>
    <t>https://aifirstpartners.com/en</t>
  </si>
  <si>
    <t>adigitalboom.com</t>
  </si>
  <si>
    <t>adjust.com</t>
  </si>
  <si>
    <t>AI First Partners | AI Consulting &amp;amp; Innovation in Dubai</t>
  </si>
  <si>
    <t>admiral.media</t>
  </si>
  <si>
    <t>https://anirup.com/top-10-google-ads-companies-in-uae/</t>
  </si>
  <si>
    <t>admoon.pro</t>
  </si>
  <si>
    <t>adobe.com</t>
  </si>
  <si>
    <t>Top 10 Google Ads Agency Dubai, UAE | (Updated List 2025)</t>
  </si>
  <si>
    <t>https://www.bicommunications.ae/blog/best-digital-marketing-agencies-dubai/</t>
  </si>
  <si>
    <t>adshabibi.com</t>
  </si>
  <si>
    <t>adshackers.com</t>
  </si>
  <si>
    <t>Best Digital Marketing Agencies in Dubai 2026 – Top Companies for Business Growth</t>
  </si>
  <si>
    <t>Bird Marketing, NEXA, Prism Digital, United SEO, Chain Reaction, Digital Gravity, SEO Sherpa, Global Media Insight, Dot IT, Upscale Digital, Publicis Groupe, intouch</t>
  </si>
  <si>
    <t>https://www.bicommunications.ae/blog/best-seo-companies-uae/</t>
  </si>
  <si>
    <t>adsmurai.com</t>
  </si>
  <si>
    <t>Best SEO Companies in UAE 2026 — 18 Agencies Compared</t>
  </si>
  <si>
    <t>SEO Sherpa, NEXA, United SEO, Chain Reaction, Bird Marketing, Global Media Insight, Digital Gravity, Digital Media Sapiens, Prism Digital, Royex Technologies, Tenet, Assembly MENA, intouch</t>
  </si>
  <si>
    <t>https://boostmylocalbusiness.ai/ai-advisory-marketing</t>
  </si>
  <si>
    <t>adtrak.co.uk</t>
  </si>
  <si>
    <t>advise-mc.com</t>
  </si>
  <si>
    <t>AI Advisory Marketing Dubai | Consulting Firm Growth</t>
  </si>
  <si>
    <t>aeo.ltd</t>
  </si>
  <si>
    <t>https://clutch.co/ae/agencies/digital-marketing/dubai</t>
  </si>
  <si>
    <t>aeoera.com</t>
  </si>
  <si>
    <t>Best Dubai Digital Marketing Companies - Jul 2026 Rankings \| Clutch.co</t>
  </si>
  <si>
    <t>M3.agency, Bird Marketing, Blue Beetle, INSIDEA, Dot IT, Ninja Promo, Web Tonic, YouYaa, Digital Gravity, Leads Dubai</t>
  </si>
  <si>
    <t>aeon-movies.com</t>
  </si>
  <si>
    <t>https://forebettoday.com/best-ai-marketing-agency-dubai-2026/</t>
  </si>
  <si>
    <t>aerobusinesssolutions.com</t>
  </si>
  <si>
    <t>Top AI Marketing Agencies in Dubai — 2026 Expert P | Forebettoday</t>
  </si>
  <si>
    <t>Digital Gravity, Prism Digital, Global Media Insight, SEO Sherpa, United SEO</t>
  </si>
  <si>
    <t>https://foresightfox.com/blog/best-digital-marketing-agencies-in-dubai/</t>
  </si>
  <si>
    <t>affinco.com</t>
  </si>
  <si>
    <t>Best Digital Marketing Agencies In Dubai - Foresight Fox</t>
  </si>
  <si>
    <t>intouch, Measured, Chain Reaction, Global Media Insight, Red Berries, Prism Digital, Digital Gravity, NEXA</t>
  </si>
  <si>
    <t>agencyaeo.com</t>
  </si>
  <si>
    <t>https://www.hikmahaiagency.com/blog/how-to-choose-ai-marketing-agency-dubai-2026</t>
  </si>
  <si>
    <t>agencyhelix.com</t>
  </si>
  <si>
    <t>NEXA, Prism Digital, intouch, Chain Reaction, Momentum</t>
  </si>
  <si>
    <t>How to Choose an AI Marketing Agency in Dubai (2026 Guide)</t>
  </si>
  <si>
    <t>ai-heroes.co</t>
  </si>
  <si>
    <t>https://icp.gov.ae/en/economic-operator/</t>
  </si>
  <si>
    <t>NoGood, Measured, INSIDEA, Single Grain</t>
  </si>
  <si>
    <t>ai360review.com</t>
  </si>
  <si>
    <t>Economic Operator | Federal Authority for Identity, Citizenship, Customs &amp;amp; Port Security</t>
  </si>
  <si>
    <t>https://inbeat.agency/blog/top-digital-marketing-agencies-dubai</t>
  </si>
  <si>
    <t>aimedialab.ae</t>
  </si>
  <si>
    <t>Top 30 Content Creation Agencies Driving Brand Growth in Dubai (2026 Edition) - inBeat Agency</t>
  </si>
  <si>
    <t>aiqusolutions.com</t>
  </si>
  <si>
    <t>inBeat, Nielsen, NEXA, Chain Reaction, Digital Gravity, ASTUDIO, GLMA Agency, BIG LAB, TIDAL Digital</t>
  </si>
  <si>
    <t>https://www.incrementors.com/best-internet-marketing-agency-in-sharjah-uae/</t>
  </si>
  <si>
    <t>airconsulting.ai</t>
  </si>
  <si>
    <t>aiso.ae</t>
  </si>
  <si>
    <t>Best Internet Marketing Agency in Sharjah, UAE - Incrementors</t>
  </si>
  <si>
    <t>https://www.lapaone.com/social-media-marketing-agencies-in-dubai/</t>
  </si>
  <si>
    <t>almcorp.com</t>
  </si>
  <si>
    <t>14 Best Social Media Marketing Agencies in Dubai (2026)</t>
  </si>
  <si>
    <t>NEXA, Upscale Digital</t>
  </si>
  <si>
    <t>https://www.loudface.co/blog/best-aeo-agencies-2026</t>
  </si>
  <si>
    <t>Assembly MENA, Huge, Brandtech, Tinuiti, PwC, Push, intouch</t>
  </si>
  <si>
    <t>almostimpossible.agency</t>
  </si>
  <si>
    <t>Almost Impossible, intouch</t>
  </si>
  <si>
    <t>alphanode.ae</t>
  </si>
  <si>
    <t>Best AEO &amp;amp; AI Search Agencies in 2026 (Ranked) | LoudFace</t>
  </si>
  <si>
    <t>iPullRank, NoGood, Omniscient Digital, Siege Media, Measured, INSIDEA</t>
  </si>
  <si>
    <t>https://mediaupshift.com/ppc-service</t>
  </si>
  <si>
    <t>alserhmedia.com</t>
  </si>
  <si>
    <t>PPC Agency Dubai | Google + Meta + TikTok Ads. Mediaupshift</t>
  </si>
  <si>
    <t>Northbeam, Push</t>
  </si>
  <si>
    <t>https://www.nuundigital.com/insights/strategy/best-digital-agencies-dubai</t>
  </si>
  <si>
    <t>altinkey.com</t>
  </si>
  <si>
    <t>Best Digital Agencies in Dubai 2026 | NUUN Digital | NUUN Digital</t>
  </si>
  <si>
    <t>Prism Digital, NEXA, Measured, Publicis Media, GroupM, TBWA\RAAD, Impact BBDO, EY, PwC</t>
  </si>
  <si>
    <t>https://www.partnersdirectory.withgoogle.com/</t>
  </si>
  <si>
    <t>alwarqasurvey.com</t>
  </si>
  <si>
    <t>Google Partners Directory - Find a Partner for Business Growth</t>
  </si>
  <si>
    <t>apptrove.com</t>
  </si>
  <si>
    <t>https://www.sortlist.com/s/marketing-analytics/dubai-ae?page=2</t>
  </si>
  <si>
    <t>Measured, Chain Reaction</t>
  </si>
  <si>
    <t>The 10 Best Marketing Analytics Companies in Dubai - 2026 Reviews – Page 2</t>
  </si>
  <si>
    <t>Adapts Media, Hovi Digital Lab, ASTUDIO, Huge, Dot IT, Push, Measured, Web Tonic</t>
  </si>
  <si>
    <t>aqualisgroup.com</t>
  </si>
  <si>
    <t>https://thatware.co/top-10-geo-companies-in-uae/</t>
  </si>
  <si>
    <t>Top 10 GEO Companies in the United Arab Emirates</t>
  </si>
  <si>
    <t>ThatWare, Chain Reaction, SEO Sherpa, Zenerom, Momentum</t>
  </si>
  <si>
    <t>Assembly MENA</t>
  </si>
  <si>
    <t>https://themarketingagency.ca/blog/top-digital-marketing-agencies-in-dubai/</t>
  </si>
  <si>
    <t>askneedle.com</t>
  </si>
  <si>
    <t>Huge, intouch</t>
  </si>
  <si>
    <t>10 Top Digital Marketing Agencies Dubai in 2026</t>
  </si>
  <si>
    <t>Prism Digital, ASTUDIO, NEXA, Bird Marketing, Upscale Digital, Zenerom, Digital Gravity, Global Media Insight, United SEO, Momentum</t>
  </si>
  <si>
    <t>assemblyglobal.com</t>
  </si>
  <si>
    <t>https://www.top-media-companies-in-dubai.com/dubai/display-advertising</t>
  </si>
  <si>
    <t>atlasdigital.co</t>
  </si>
  <si>
    <t>The best Display Advertising Agencies in Dubai</t>
  </si>
  <si>
    <t>intouch, AlCaz Media, Praxis Advertising, M3.agency, Momentum, Ninja Promo</t>
  </si>
  <si>
    <t>attnagency.com</t>
  </si>
  <si>
    <t>https://www.topdevelopers.co/companies/ai-consulting/uae</t>
  </si>
  <si>
    <t>Top AI Consulting Companies in UAE - July 2026 Reviews | Topdevelopers.co</t>
  </si>
  <si>
    <t>audigent.com</t>
  </si>
  <si>
    <t>Dot IT</t>
  </si>
  <si>
    <t>https://vocal.media/journal/best-performance-marketing-agencies-in-dubai</t>
  </si>
  <si>
    <t>avanade.com</t>
  </si>
  <si>
    <t>BEST PERFORMANCE MARKETING AGENCIES IN DUBAI | Journal</t>
  </si>
  <si>
    <t>NEXA, Digital Gravity, Integrate Solutions, GCC Marketing, Prism Digital</t>
  </si>
  <si>
    <t>https://xchange.avixa.org/posts/top-10-digital-marketing-agencies-in-dubai-uae-2026</t>
  </si>
  <si>
    <t>avaus.com</t>
  </si>
  <si>
    <t>Top 10 Digital Marketing Agencies in Dubai, UAE (2026) | AVIXA Xchange</t>
  </si>
  <si>
    <t>awesomic.com</t>
  </si>
  <si>
    <t>NEXA, Prism Digital, Digital Gravity, United SEO, EDS FZCO, Blue Beetle, GCC Marketing</t>
  </si>
  <si>
    <t>https://xparro.com/services/ai-marketing-agency-in-dubai/</t>
  </si>
  <si>
    <t>Momentum, Huge, Accenture Song, Push, EY, Phable, intouch</t>
  </si>
  <si>
    <t>ayaigen.com</t>
  </si>
  <si>
    <t>AI Marketing Agency in Dubai &amp;amp; UAE - XParro</t>
  </si>
  <si>
    <t>b2agency.com</t>
  </si>
  <si>
    <t>https://adaptsmedia.com/display-campaign-management/</t>
  </si>
  <si>
    <t>bambrick.com.au</t>
  </si>
  <si>
    <t>Display Campaign Management Agency in Dubai | Adapts Media</t>
  </si>
  <si>
    <t>https://www.adcountable.com/</t>
  </si>
  <si>
    <t>banibro.com</t>
  </si>
  <si>
    <t>barchangroup.com</t>
  </si>
  <si>
    <t>https://aeoagency.org/best-aeo-agencies/</t>
  </si>
  <si>
    <t>basis.com</t>
  </si>
  <si>
    <t>Best AEO Agencies 2025-2026</t>
  </si>
  <si>
    <t>bestanswerengineoptimizationservices.com</t>
  </si>
  <si>
    <t>https://aeovision.ai/articles/best-aeo-geo-agencies-2026/</t>
  </si>
  <si>
    <t>bluead.ae</t>
  </si>
  <si>
    <t>Best 60 AEO/GEO Agencies in 2026 (US, Europe &amp;amp; Asia Directory) | AEO Vision</t>
  </si>
  <si>
    <t>iPullRank, Siege Media, Omniscient Digital, NoGood, Directive, Single Grain, Darkroom, Wpromote, House of Growth, NorthQuery</t>
  </si>
  <si>
    <t>https://agencies.semrush.com/list/ai-optimization/dubai/small-business/</t>
  </si>
  <si>
    <t>bluebeetle.ae</t>
  </si>
  <si>
    <t>Best AI Search Optimization Agencies for Small Business in Dubai 2026 | Semrush</t>
  </si>
  <si>
    <t>Kleosa, Leads Dubai, Measured</t>
  </si>
  <si>
    <t>Blue Beetle</t>
  </si>
  <si>
    <t>https://www.alwafaagroup.com/ai-consultation</t>
  </si>
  <si>
    <t>bountyhunter.agency</t>
  </si>
  <si>
    <t>brandedagency.com</t>
  </si>
  <si>
    <t>Measured, WebFX, Ninja Promo</t>
  </si>
  <si>
    <t>brandsurge.ae</t>
  </si>
  <si>
    <t>AI Consultation for Businesses UAE | Free AI Readiness Assessment | Al Wafaa Group | Al Wafaa Group Dubai</t>
  </si>
  <si>
    <t>https://www.chainreaction.ae/</t>
  </si>
  <si>
    <t>brutal-simplicity-of-thought.com</t>
  </si>
  <si>
    <t>Digital Marketing Agency in Dubai &amp;amp; UAE | Chain Reaction</t>
  </si>
  <si>
    <t>https://www.designrush.com/agency/media-buying-agencies/ae/dubai</t>
  </si>
  <si>
    <t>Top Media Buying Agencies in Dubai | 2026</t>
  </si>
  <si>
    <t>Dot IT, EDS FZCO, AlCaz Media</t>
  </si>
  <si>
    <t>https://ebiquity.com/solutions/grow/testmatch/</t>
  </si>
  <si>
    <t>buildbetter.ai</t>
  </si>
  <si>
    <t>buyradar.ai</t>
  </si>
  <si>
    <t>TestMatch - Ebiquity</t>
  </si>
  <si>
    <t>https://enhmedia.com/</t>
  </si>
  <si>
    <t>canberra.edu.au</t>
  </si>
  <si>
    <t>Digital Marketing Agency Dubai UAE | Top Company - ENH Marketing</t>
  </si>
  <si>
    <t>https://www.google.com/ads/publisher/partners/find-a-partner/</t>
  </si>
  <si>
    <t>cassandra.app</t>
  </si>
  <si>
    <t>Find a Publishing Partner \| Certified Publishing Partner – Google</t>
  </si>
  <si>
    <t>ccagency.ae</t>
  </si>
  <si>
    <t>https://www.google.com/intl/en_GB/ads/publisher/partners/find-a-partner/</t>
  </si>
  <si>
    <t>Find a Publishing Partner</t>
  </si>
  <si>
    <t>centrus.digital</t>
  </si>
  <si>
    <t>https://inbeat.agency/blog/top-marketing-measurement-and-analytics-companies</t>
  </si>
  <si>
    <t>chooseoxygen.ae</t>
  </si>
  <si>
    <t>Top 15 Marketing Measurement and Analytics Firms Unlocking ROI Clarity in 2026 - inBeat Agency</t>
  </si>
  <si>
    <t>inBeat, Nielsen, Artefact, Measured, WebFX</t>
  </si>
  <si>
    <t>cieden.com</t>
  </si>
  <si>
    <t>https://www.incrementors.com/best-ppc-agency-in-sharjah-uae/</t>
  </si>
  <si>
    <t>circana.com</t>
  </si>
  <si>
    <t>Best PPC Agency in Sharjah, UAE - Incrementors</t>
  </si>
  <si>
    <t>https://www.indexlab.ai/blog/what-are-the-10-best-ai-visibility-agencies-in-dubai#:~:text=Chain%20Reaction%20has%20strong%20technical%20SEO%20roots,begun%20building%20out%20AI%20content%20strategy%20services.</t>
  </si>
  <si>
    <t>clickworkzz.com</t>
  </si>
  <si>
    <t>What are the 10 best AI visibility agencies in Dubai? | Index Lab</t>
  </si>
  <si>
    <t>codeandco.ae</t>
  </si>
  <si>
    <t>NEXA, Chain Reaction, Bruce Clay MENA, Push</t>
  </si>
  <si>
    <t>https://lengreo.com/best-google-ads-agencies-in-uae/</t>
  </si>
  <si>
    <t>15 Best UAE Google Ads Companies (2026)</t>
  </si>
  <si>
    <t>cofes.com</t>
  </si>
  <si>
    <t>NEXA, DigitalFarm, Web Tonic, Measured, inBeat, Admoon, EDS FZCO, Blue Beetle, Digital Gravity</t>
  </si>
  <si>
    <t>https://marketingagencyabudhabi.com/paid-media-agencies/abu-dhabi</t>
  </si>
  <si>
    <t>Tinuiti, Dentsu, NoGood, Disruptive Advertising, Directive, WebFX</t>
  </si>
  <si>
    <t>commonthreadco.com</t>
  </si>
  <si>
    <t>https://www.octopusmarketing.agency/digital-marketing/analytics-and-cro/attribution-tools-intergration-service/</t>
  </si>
  <si>
    <t>Common Thread Collective</t>
  </si>
  <si>
    <t>competenza.ae</t>
  </si>
  <si>
    <t>Attribution Tools Agency in Dubai, UAE | Trusted Data &amp;amp; ROI Experts</t>
  </si>
  <si>
    <t>https://omnieclipse.ai/blog/best-aeo-agencies-dubai-2026</t>
  </si>
  <si>
    <t>Momentum, PwC, Push, LUMINA</t>
  </si>
  <si>
    <t>comtask.net</t>
  </si>
  <si>
    <t>Best AEO Agencies in Dubai &amp;amp; UAE for 2026 | Omni Eclipse</t>
  </si>
  <si>
    <t>https://www.opinosis-analytics.com/ai-consulting-in-uae/</t>
  </si>
  <si>
    <t>creativebroadcast.ae</t>
  </si>
  <si>
    <t>AI Consulting Company in UAE | Sharjah, Abu Dhabi, Dubai | Machine Learning Consulting | United Arab Emirates</t>
  </si>
  <si>
    <t>https://www.prontosys.ae/blog/10-best-google-ads-management-agencies-in-dubai-uae/</t>
  </si>
  <si>
    <t>creativezone.ae</t>
  </si>
  <si>
    <t>crunchsolutions.ae</t>
  </si>
  <si>
    <t>Top 10+ Best Google Ads Management Agencies In Dubai, UAE</t>
  </si>
  <si>
    <t>Red Berries, Leads Dubai, Admoon, LUMINA, NEXA, intouch</t>
  </si>
  <si>
    <t>https://www.ruleranalytics.com/</t>
  </si>
  <si>
    <t>ctcmedia.ae</t>
  </si>
  <si>
    <t>dacgroup.com</t>
  </si>
  <si>
    <t>Unified Marketing Measurement, Attribution &amp;amp; AI | Ruler Analytics</t>
  </si>
  <si>
    <t>https://www.scaled.ae/</t>
  </si>
  <si>
    <t>datameer.com</t>
  </si>
  <si>
    <t>dataventure.com</t>
  </si>
  <si>
    <t>Publicis Media</t>
  </si>
  <si>
    <t>https://selectedfirms.co/companies/digital-marketing-agencies/uae</t>
  </si>
  <si>
    <t>delemontechnology.com</t>
  </si>
  <si>
    <t>dgeniussolutions.com</t>
  </si>
  <si>
    <t>dhruvaconsultants.com</t>
  </si>
  <si>
    <t>Top Digital Marketing Companies in UAE (2026) — SelectedFirms</t>
  </si>
  <si>
    <t>Bird Marketing, Digital Gravity, Leads Dubai, intouch, GCC Marketing, Huge, Admoon</t>
  </si>
  <si>
    <t>https://www.signatureglobalmedia.com/performance-marketing</t>
  </si>
  <si>
    <t>diapmedia.com</t>
  </si>
  <si>
    <t>digiblazon.com</t>
  </si>
  <si>
    <t>Best Digital Performance Marketing Agency Dubai, UAE</t>
  </si>
  <si>
    <t>https://www.socially.ae/</t>
  </si>
  <si>
    <t>digital-advice.io</t>
  </si>
  <si>
    <t>digitalif.net</t>
  </si>
  <si>
    <t>Social Media Marketing Agency in Dubai, UAE | Socially.ae</t>
  </si>
  <si>
    <t>digitallinks.ae</t>
  </si>
  <si>
    <t>https://www.sortlist.com/s/paid-media/united-arab-emirates-ae?page=2</t>
  </si>
  <si>
    <t>digitalspacedive.com</t>
  </si>
  <si>
    <t>The 10 Best Paid Media Agencies in the United Arab Emirates - 2026 Reviews – Page 2</t>
  </si>
  <si>
    <t>Ninja Promo, ENH Marketing, Pixoo Media, Bird Marketing, Growth Hackers, Solved6, Push, Dot IT, ASTUDIO, Huge, Hovi Digital Lab, Web Tonic</t>
  </si>
  <si>
    <t>https://www.synscribe.com/blog/best-geos-agencies-dubai</t>
  </si>
  <si>
    <t>digitalvidya.com</t>
  </si>
  <si>
    <t>Dentsu, Merkle, Blue Beetle, Red Berries</t>
  </si>
  <si>
    <t>diib.com</t>
  </si>
  <si>
    <t>7 Best Generative Engine Optimization Agencies in Dubai (2026 Comparison) | Synscribe</t>
  </si>
  <si>
    <t>Measured, Digital Gravity, SEO Sherpa</t>
  </si>
  <si>
    <t>https://www.thegeoagency.ai/</t>
  </si>
  <si>
    <t>disruptiveadvertising.com</t>
  </si>
  <si>
    <t>Generative Engine Optimization | The GEO Agency™</t>
  </si>
  <si>
    <t>Disruptive Advertising, inBeat, intouch</t>
  </si>
  <si>
    <t>https://www.upliftgtm.com/blog/best-aeo-agencies</t>
  </si>
  <si>
    <t>disruptivedigital.agency</t>
  </si>
  <si>
    <t>dixsept-paris.com</t>
  </si>
  <si>
    <t>dmlanalytics.io</t>
  </si>
  <si>
    <t>Best AEO Agencies 2026: Top 12 Answer Engine Optimization Firms</t>
  </si>
  <si>
    <t>Omniscient Digital, Single Grain, NoGood, INSIDEA, Siege Media, Measured</t>
  </si>
  <si>
    <t>https://verifywise.ai/ai-governance-directory/ai-governance-consultants-in-uae</t>
  </si>
  <si>
    <t>dotyeti.com</t>
  </si>
  <si>
    <t>Bruce Clay MENA, GPS Marketing Agency, Digital Gravity, Chain Reaction</t>
  </si>
  <si>
    <t>dpworld.com</t>
  </si>
  <si>
    <t>https://voctos.net/top-geo-agencies-mena/</t>
  </si>
  <si>
    <t>dubaiupdater.com</t>
  </si>
  <si>
    <t>Top GEO Agencies in 2026: MENA &amp;amp; Global Rankings | VOCTOS</t>
  </si>
  <si>
    <t>dutest.com</t>
  </si>
  <si>
    <t>https://www.youtube.com/watch?v=fAu38Nl3Iqw</t>
  </si>
  <si>
    <t>dynata.com</t>
  </si>
  <si>
    <t>https://www.adsdigital.agency/</t>
  </si>
  <si>
    <t>easydigital.tech</t>
  </si>
  <si>
    <t>ecimediamanagement.com</t>
  </si>
  <si>
    <t>Google Ads Agency | Dubai, UAE, GCC | AdsDigital.agency</t>
  </si>
  <si>
    <t>https://advertising-companies-in-dubai.com/display-advertising-agencies/dubai</t>
  </si>
  <si>
    <t>economictimes.com</t>
  </si>
  <si>
    <t>Kantar, Momentum, WPP, Boston Consulting Group</t>
  </si>
  <si>
    <t>edge226.com</t>
  </si>
  <si>
    <t>edgeangel.co</t>
  </si>
  <si>
    <t>https://www.bicommunications.ae/blog/best-google-ads-agencies-abu-dhabi/</t>
  </si>
  <si>
    <t>eds.ae</t>
  </si>
  <si>
    <t>Best Google Ads Agencies in Abu Dhabi 2026 — Top PPC Companies Compared</t>
  </si>
  <si>
    <t>Admoon, NEXA, Pixoo Media, Tenet, intouch</t>
  </si>
  <si>
    <t>https://www.bimodal.io/</t>
  </si>
  <si>
    <t>eiwaagroup.com</t>
  </si>
  <si>
    <t>element.com</t>
  </si>
  <si>
    <t>Marketing Science Platform. Experiment, validate, and optimise your marketing with Bimodal</t>
  </si>
  <si>
    <t>Directive</t>
  </si>
  <si>
    <t>https://blog.google/products/marketingplatform/360/introducing-google-marketing-platform-partners/</t>
  </si>
  <si>
    <t>elementor.com</t>
  </si>
  <si>
    <t>Momentum, Tinuiti, Huge, Wpromote, Common Thread Collective, NP Digital</t>
  </si>
  <si>
    <t>From Basecamp to Summit: Achieving New Heights with Google Marketing Platform Partners</t>
  </si>
  <si>
    <t>elshorafa.co</t>
  </si>
  <si>
    <t>https://www.designrush.com/agency/digital-marketing/ae/dubai</t>
  </si>
  <si>
    <t>Top Digital Marketing Agencies in Dubai | 2026</t>
  </si>
  <si>
    <t>Bird Marketing, Adapts Media, Dot IT, Digital Gravity, Growth Hackers, Tenet, GPS Marketing Agency, Measured</t>
  </si>
  <si>
    <t>https://www.digitalnexa.com/digital-performance-marketing-agency-services</t>
  </si>
  <si>
    <t>emarketer.com</t>
  </si>
  <si>
    <t>Publicis Groupe, WPP, Push</t>
  </si>
  <si>
    <t>enzuzo.com</t>
  </si>
  <si>
    <t>Digital Performance Marketing Agency Dubai, UAE</t>
  </si>
  <si>
    <t>NEXA, intouch</t>
  </si>
  <si>
    <t>https://ensun.io/search/geospatial-gis/united-arab-emirates</t>
  </si>
  <si>
    <t>esomar.org</t>
  </si>
  <si>
    <t>Top 94 Geospatial (Gis) Companies in United Arab Emirates (2026) \| ensun</t>
  </si>
  <si>
    <t>https://www.geoagency.net/</t>
  </si>
  <si>
    <t>estran.io</t>
  </si>
  <si>
    <t>eticamediatech.com</t>
  </si>
  <si>
    <t>Generative Engine Optimization (GEO) and Answer Engine Optimization (AEO) Services - GEO Agency</t>
  </si>
  <si>
    <t>https://inbeat.agency/blog/best-digital-marketing-agencies-abu-dhabi</t>
  </si>
  <si>
    <t>15 Best Digital Marketing Agencies in Abu Dhabi to Watch in 2025 - inBeat Agency</t>
  </si>
  <si>
    <t>exalogic.co</t>
  </si>
  <si>
    <t>inBeat, Nielsen, Momentum, Push, Adapts Media, Bird Marketing, Zenerom</t>
  </si>
  <si>
    <t>https://www.incrementors.com/digital-marketing-agency-dubai-uae/</t>
  </si>
  <si>
    <t>experian.com</t>
  </si>
  <si>
    <t>Best SEO Agency in Dubai | Dubai SEO Company</t>
  </si>
  <si>
    <t>https://kvnpromos.ae/answer-engine-optimization/</t>
  </si>
  <si>
    <t>experiture.com</t>
  </si>
  <si>
    <t>Answer Engine Optimization Services in UAE | Pricing – KVN Promos</t>
  </si>
  <si>
    <t>https://lucidly.ae/blog/digital-marketing/top-digital-marketing-agencies</t>
  </si>
  <si>
    <t>expertsure.com</t>
  </si>
  <si>
    <t>Top Digital Marketing Agencies in the UAE for 2026 | Lucidly</t>
  </si>
  <si>
    <t>NEXA, Chain Reaction, Digital Gravity, United SEO, Blue Beetle, GCC Marketing, Bird Marketing</t>
  </si>
  <si>
    <t>https://www.measured.com/faq/best-incrementality-testing-companies-software-for-marketing-2025/</t>
  </si>
  <si>
    <t>eyemedia.ae</t>
  </si>
  <si>
    <t>Best Incrementality Testing Companies &amp; Software for Marketing (2026)</t>
  </si>
  <si>
    <t>Measured, intouch, Rockerbox, Haus, Analytic Partners</t>
  </si>
  <si>
    <t>https://metasocial.ae/performance-marketing-in-dubai-a-data-driven-guide-for-2026/</t>
  </si>
  <si>
    <t>f6s.com</t>
  </si>
  <si>
    <t>Dubai’s Leading Digital Agency,Specialised Performance Marketing</t>
  </si>
  <si>
    <t>https://www.mosaicdigital.ae/service/performance-marketing/</t>
  </si>
  <si>
    <t>firstpartydigital.com</t>
  </si>
  <si>
    <t>Best Performance Marketing Agency in Dubai | Mosaic Digital</t>
  </si>
  <si>
    <t>fntmanagement.com</t>
  </si>
  <si>
    <t>https://www.multimarketing.ae/analytics</t>
  </si>
  <si>
    <t>WebFX, Siege Media</t>
  </si>
  <si>
    <t>foreplay.co</t>
  </si>
  <si>
    <t>MultiMarketing: Market Research, Marketing Analysis, Business Intelligence end-to-end analytics, Dubai UAE and Riyadh Saudi Arabia</t>
  </si>
  <si>
    <t>https://nrdigitalagency.com/top-advertising-agencies-in-uae/</t>
  </si>
  <si>
    <t>forrester.com</t>
  </si>
  <si>
    <t>fortismedia.com</t>
  </si>
  <si>
    <t>Advertising Agencies in UAE for High-ROI Digital Growth</t>
  </si>
  <si>
    <t>https://partnersdirectory.withgoogle.com/intl/en-GB/</t>
  </si>
  <si>
    <t>framer.ai</t>
  </si>
  <si>
    <t>freshcoast.ai</t>
  </si>
  <si>
    <t>Google Partners directory – Find a Partner for business growth</t>
  </si>
  <si>
    <t>https://www.provokemedia.com/events-awards/agencies-of-the-year/the-best-agencies-in-emea-2026/the-15-best-agencies-in-the-middle-east/gambit</t>
  </si>
  <si>
    <t>fundsforngos.org</t>
  </si>
  <si>
    <t>gac.com</t>
  </si>
  <si>
    <t>gatewaymarketingdigital.ae</t>
  </si>
  <si>
    <t>https://redberries.ae/page/35/?action=repository_opensearch&amp;index_id=79&amp;count=50&amp;order=16&amp;pn=1</t>
  </si>
  <si>
    <t>geniecrawl.com</t>
  </si>
  <si>
    <t>Page 35 – Red Berries</t>
  </si>
  <si>
    <t>Croud, Bird Marketing, Push, intouch</t>
  </si>
  <si>
    <t>https://salesduo.com/blog/amazon-marketing-agencies-uae/</t>
  </si>
  <si>
    <t>geovate.com</t>
  </si>
  <si>
    <t>Top 10 Amazon Marketing Agencies in UAE (2026 Rankings)</t>
  </si>
  <si>
    <t>https://www.semrush.com/agencies/list/analytics-data-science/dubai/small-business/</t>
  </si>
  <si>
    <t>get-ryze.ai</t>
  </si>
  <si>
    <t>Best Data Analytics Services for Small Business in Dubai 2026 \| Semrush</t>
  </si>
  <si>
    <t>intouch, Leads Dubai, United SEO, Chain Reaction</t>
  </si>
  <si>
    <t>getkard.com</t>
  </si>
  <si>
    <t>https://snezzi.com/blog/best-ai-seo-agencies-in-dubai-pricing-pros-and-cons/</t>
  </si>
  <si>
    <t>getonwebs.com</t>
  </si>
  <si>
    <t>Best AI SEO Agencies in Dubai for 2026 (Pricing, Pros and Cons)</t>
  </si>
  <si>
    <t>gigawattgroup.com</t>
  </si>
  <si>
    <t>https://www.sortlist.com/digital-marketing/dubai-ae</t>
  </si>
  <si>
    <t>gpcsolutions.ae</t>
  </si>
  <si>
    <t>The 100+ Best Digital Marketing Agencies in Dubai - 2026 Reviews</t>
  </si>
  <si>
    <t>intouch, Praxis Advertising, AlCaz Media, LUMINA, Momentum, M3.agency</t>
  </si>
  <si>
    <t>https://superbcompanies.com/categories/creative-agencies-in-the-uae/</t>
  </si>
  <si>
    <t>grantthornton.com</t>
  </si>
  <si>
    <t>gravitatedesign.com</t>
  </si>
  <si>
    <t>grow.ae</t>
  </si>
  <si>
    <t>Top 100 Creative Agencies in the United Arab Emirates - Jul 2026 | Ranking | SuperbCompanies</t>
  </si>
  <si>
    <t>Bird Marketing, Dot IT, Digital Gravity, Prism Digital, GCC Marketing</t>
  </si>
  <si>
    <t>https://techbehemoths.com/companies/marketing-analytics/dubai</t>
  </si>
  <si>
    <t>growth-hackers.net</t>
  </si>
  <si>
    <t>Tinuiti, Bark London, Croud, Monks, M&amp;C Saatchi Performance, Growth Hackers, intouch</t>
  </si>
  <si>
    <t>growth-rocket.com</t>
  </si>
  <si>
    <t>Top 20+ Marketing analytics Companies in Dubai (2026) - TechBehemoths</t>
  </si>
  <si>
    <t>https://www.triplewhale.com/blog/incrementality-testing-methods</t>
  </si>
  <si>
    <t>growth.cx</t>
  </si>
  <si>
    <t>Tinuiti, NoGood, Wpromote, intouch</t>
  </si>
  <si>
    <t>A Guide to Incrementality Testing Methods: Different Ways to Measure True Marketing Impact | Triple Whale</t>
  </si>
  <si>
    <t>growthanchors.com</t>
  </si>
  <si>
    <t>https://trusttry.com/services/paid-advertising/uae?lang=en</t>
  </si>
  <si>
    <t>INSIDEA</t>
  </si>
  <si>
    <t>growthcurve.co</t>
  </si>
  <si>
    <t>growthensemble.com</t>
  </si>
  <si>
    <t>Paid Advertising in UAE | Meta + Google + LinkedIn | TrustTry</t>
  </si>
  <si>
    <t>https://www.upvantage.ae/</t>
  </si>
  <si>
    <t>growthmanager.ai</t>
  </si>
  <si>
    <t>Momentum, NP Digital</t>
  </si>
  <si>
    <t>growthmarketing.ae</t>
  </si>
  <si>
    <t>Dubai's Premier Performance Marketing Agency</t>
  </si>
  <si>
    <t>https://waimhub.com/</t>
  </si>
  <si>
    <t>Momentum, Push, INSIDEA</t>
  </si>
  <si>
    <t>AI Marketing Agency Dubai | WAIM - Custom AI Solutions UAE</t>
  </si>
  <si>
    <t>grudva.com</t>
  </si>
  <si>
    <t>https://www.10seos.com/ae/ecommerce-seo-companies-in-uae</t>
  </si>
  <si>
    <t>gtechme.com</t>
  </si>
  <si>
    <t>Top 10 Display Advertising Companies For Best Services-UAE | July 2026</t>
  </si>
  <si>
    <t>SEO Sherpa, intouch, DigitalFarm, Chain Reaction</t>
  </si>
  <si>
    <t>https://acquisit.io/performance-marketing-uae/</t>
  </si>
  <si>
    <t>Push, Huge, intouch</t>
  </si>
  <si>
    <t>gtm8020.com</t>
  </si>
  <si>
    <t>gulftest.org</t>
  </si>
  <si>
    <t>Performance Marketing Agency In UAE | Acquisit</t>
  </si>
  <si>
    <t>https://advertising-companies-in-dubai.com/brand-advertising-agencies/dubai</t>
  </si>
  <si>
    <t>hawksem.com</t>
  </si>
  <si>
    <t>Tinuiti, Wpromote, Merkle</t>
  </si>
  <si>
    <t>helio.ae</t>
  </si>
  <si>
    <t>https://aiwatchmena.com/analysis/top-10-geo-agencies-dubai.html</t>
  </si>
  <si>
    <t>hemodata.me</t>
  </si>
  <si>
    <t>Top 10 Generative Engine Optimization (GEO) Companies in Dubai 2026 | AI Watch MENA</t>
  </si>
  <si>
    <t>NEXA, Digital Gravity, Prism Digital, Bruce Clay MENA, Chain Reaction, EDS FZCO, Global Media Insight, Red Berries</t>
  </si>
  <si>
    <t>https://az-group.ae/service/uae-authorised-economic-operator/</t>
  </si>
  <si>
    <t>henryharvin.com</t>
  </si>
  <si>
    <t>Authorised Economic Operator - AZ Group</t>
  </si>
  <si>
    <t>https://biglab.ae/services/performance-marketing/</t>
  </si>
  <si>
    <t>NEXA, United SEO</t>
  </si>
  <si>
    <t>heydigital.co</t>
  </si>
  <si>
    <t>Performance Marketing Agency in the UAE | BIG LAB</t>
  </si>
  <si>
    <t>BIG LAB</t>
  </si>
  <si>
    <t>NoGood, Directive, Omniscient Digital, Siege Media, Single Grain</t>
  </si>
  <si>
    <t>https://campaignme.com/loeries-rankings-2025-bigtime-creative-shop-tops-mena-list/</t>
  </si>
  <si>
    <t>highbizz.co</t>
  </si>
  <si>
    <t>hnlegal.ae</t>
  </si>
  <si>
    <t>Loeries Rankings 2025: BigTime Creative Shop tops MENA list - Campaign Middle East</t>
  </si>
  <si>
    <t>Publicis Groupe, Impact BBDO, FP7 McCann, Serviceplan Middle East</t>
  </si>
  <si>
    <t>https://www.cometly.com/post/marketing-attribution-platform-for-agencies</t>
  </si>
  <si>
    <t>hockeystack.com</t>
  </si>
  <si>
    <t>Best Marketing Attribution Platform For Agencies 2026</t>
  </si>
  <si>
    <t>Rockerbox, Northbeam</t>
  </si>
  <si>
    <t>hogi.ae</t>
  </si>
  <si>
    <t>https://www.decipher.agency/ai-search-optimisation-agency-uae</t>
  </si>
  <si>
    <t>hookeddigital.net</t>
  </si>
  <si>
    <t>GEO &amp;amp; AI Search Optimisation Agency UAE | decipher.</t>
  </si>
  <si>
    <t>https://www.decipher.agency/ai-search-optimisation-agency-uae/tech</t>
  </si>
  <si>
    <t>NEXA, Digital Gravity, DigitalFarm, Global Media Insight, SEO Sherpa</t>
  </si>
  <si>
    <t>humanise.world</t>
  </si>
  <si>
    <t>hunchads.com</t>
  </si>
  <si>
    <t>decipher. | AI search optimisation for UAE tech brands</t>
  </si>
  <si>
    <t>https://www.digitalgravity.ae/services/generative-engine-optimization-geo-agency/</t>
  </si>
  <si>
    <t>iamagazine.com</t>
  </si>
  <si>
    <t>Generative Engine Optimization Agency Dubai (GEO)</t>
  </si>
  <si>
    <t>Digital Gravity, Momentum</t>
  </si>
  <si>
    <t>https://www.digitalnexa.com/social-media-agency-dubai</t>
  </si>
  <si>
    <t>icoda.io</t>
  </si>
  <si>
    <t>Single Grain, Dot IT, Haus, Red Berries, AlCaz Media, Measured, PwC, United SEO, Leads Dubai</t>
  </si>
  <si>
    <t>Social Media Marketing Agency in Dubai, UAE | Social Media Services</t>
  </si>
  <si>
    <t>NEXA, intouch, Momentum</t>
  </si>
  <si>
    <t>icukonline.org</t>
  </si>
  <si>
    <t>https://digitalorks.com/display-advertising-agency/</t>
  </si>
  <si>
    <t>idukki.io</t>
  </si>
  <si>
    <t>Display Advertising Agency Dubai | Display Ads Services UAE</t>
  </si>
  <si>
    <t>ie.edu</t>
  </si>
  <si>
    <t>https://futuredigital.ae/blog/top-performance-marketing-agencies-in-dubai#:~:text=They%20are%20convinced%20that%20a%20great%20interface,a%20focus%20on%20short%2D%20and%20long%2Dterm%20outcomes.</t>
  </si>
  <si>
    <t>VML, Dentsu, Publicis Groupe, WPP, Merkle, GroupM</t>
  </si>
  <si>
    <t>imanta.io</t>
  </si>
  <si>
    <t>imedia247.ae</t>
  </si>
  <si>
    <t>impact.com</t>
  </si>
  <si>
    <t>Top 10 Performance Marketing Agencies in Dubai (2026 Guide)</t>
  </si>
  <si>
    <t>Huge, Digital Gravity, NEXA, Prism Digital, Blue Beetle, Home of Performance, Red Berries, Leads Dubai, Measured</t>
  </si>
  <si>
    <t>https://gaper.io/best-aeo-agencies</t>
  </si>
  <si>
    <t>New Engen</t>
  </si>
  <si>
    <t>influencer-hero.com</t>
  </si>
  <si>
    <t>Best AEO Agencies in 2026: Answer Engine Optimization Shortlist · Gaper</t>
  </si>
  <si>
    <t>Directive, NoGood, INSIDEA</t>
  </si>
  <si>
    <t>https://www.goodfirms.co/directory/country/top-digital-marketing-companies/media-planning-buying/uae</t>
  </si>
  <si>
    <t>ingestlabs.com</t>
  </si>
  <si>
    <t>Top Media Buying Agencies in United Arab Emirates - 2026 Reviews | Goodfirms</t>
  </si>
  <si>
    <t>intouch, WebFX, Prism Digital, Above Digital, AlCaz Media, C2C Media, Digital Gravity</t>
  </si>
  <si>
    <t>https://www.google.com/partners/</t>
  </si>
  <si>
    <t>intellectyx.com</t>
  </si>
  <si>
    <t>https://hikemytraffic.com/best-ai-digital-marketing-agency-in-dubai/</t>
  </si>
  <si>
    <t>jafza.ae</t>
  </si>
  <si>
    <t>10 Best AI Powered Digital Marketing Agency in Dubai</t>
  </si>
  <si>
    <t>https://ichelonconsulting.com/ai-agency-uae</t>
  </si>
  <si>
    <t>jasadvertising.com</t>
  </si>
  <si>
    <t>jjagency.co</t>
  </si>
  <si>
    <t>jooble.org</t>
  </si>
  <si>
    <t>Best AI Agency in the UAE · Healthcare-Only · ICG</t>
  </si>
  <si>
    <t>https://www.idhlagency.com/digital-marketing/measurement-attribution</t>
  </si>
  <si>
    <t>kantar.com</t>
  </si>
  <si>
    <t>Kantar, intouch</t>
  </si>
  <si>
    <t>kenzadvertising.com</t>
  </si>
  <si>
    <t>Marketing Attribution Services | Marketing Attribution Agency | IDHL</t>
  </si>
  <si>
    <t>intouch, IDHL</t>
  </si>
  <si>
    <t>https://nomadx.ae/services/</t>
  </si>
  <si>
    <t>keplergrp.com</t>
  </si>
  <si>
    <t>AI Consulting Services UAE &amp; Dubai | NomadX</t>
  </si>
  <si>
    <t>https://www.reddit.com/r/uaemarketing/comments/1m9pccx/top_rated_generative_engine_optimization_geo/</t>
  </si>
  <si>
    <t>keyade.com</t>
  </si>
  <si>
    <t>Top Rated Generative Engine Optimization GEO Agency Dubai</t>
  </si>
  <si>
    <t>Royex Technologies</t>
  </si>
  <si>
    <t>https://s360digital.com/capabilities/data/incrementality-testing/</t>
  </si>
  <si>
    <t>GroupM, intouch, WPP</t>
  </si>
  <si>
    <t>kudoadvisory.com</t>
  </si>
  <si>
    <t>Prove marketing impact with Incrementality Testing | s360</t>
  </si>
  <si>
    <t>lacima.ae</t>
  </si>
  <si>
    <t>https://searchengineoptimization.ae/ai-seo</t>
  </si>
  <si>
    <t>latentview.com</t>
  </si>
  <si>
    <t>Measured, Haus, Push, intouch</t>
  </si>
  <si>
    <t>leadgem.nl</t>
  </si>
  <si>
    <t>https://www.seotechexperts.ae/</t>
  </si>
  <si>
    <t>NoGood, Disruptive Advertising, Directive, WebFX, Single Grain, Growth Hackers</t>
  </si>
  <si>
    <t>legend1st.com</t>
  </si>
  <si>
    <t>Top Rated SEO Agency - Best AEO/GEO Consultant in Dubai UAE</t>
  </si>
  <si>
    <t>limitls.ai</t>
  </si>
  <si>
    <t>https://socialchameleon.com/blog/top-25-digital-marketing-agencies-in-the-uae/</t>
  </si>
  <si>
    <t>linkedist.com</t>
  </si>
  <si>
    <t>Siege Media</t>
  </si>
  <si>
    <t>llmpulse.ai</t>
  </si>
  <si>
    <t>25 Best Digital Marketing Agencies UAE: 2025 Rankings</t>
  </si>
  <si>
    <t>ASTUDIO, Digital Gravity, Red Berries, DigitalFarm, Adapts Media, NEXA, Dot IT, United SEO</t>
  </si>
  <si>
    <t>https://www.sortlist.com/s/billboard-advertising/united-arab-emirates-ae</t>
  </si>
  <si>
    <t>loopglobal.io</t>
  </si>
  <si>
    <t>The 10 Best Billboard Advertising Companies in the United Arab Emirates - 2026 Reviews</t>
  </si>
  <si>
    <t>lotame.com</t>
  </si>
  <si>
    <t>Praxis Advertising, Adapts Media, Huge, EDS FZCO, Measured</t>
  </si>
  <si>
    <t>https://www.sortlist.com/s/display-advertising/dubai-ae?page=2</t>
  </si>
  <si>
    <t>Publicis Groupe, Epsilon</t>
  </si>
  <si>
    <t>luminacommerce.com</t>
  </si>
  <si>
    <t>The 10 Best Display Advertising Agencies in Dubai - 2026 Reviews – Page 2</t>
  </si>
  <si>
    <t>ENH Marketing, Adapts Media, Pixoo Media, Bird Marketing, ASTUDIO, Huge, Dot IT, Hovi Digital Lab, Web Tonic, BIG LAB</t>
  </si>
  <si>
    <t>https://www.spiderworks.ae/blog/google-premier-partner-agencies-in-dubai</t>
  </si>
  <si>
    <t>Huge, Measured, LUMINA</t>
  </si>
  <si>
    <t>lunarailab.com</t>
  </si>
  <si>
    <t>Google Premier Partner Agencies in Dubai - 2026 | SpiderWorks</t>
  </si>
  <si>
    <t>PHD, Omnicom Media Group</t>
  </si>
  <si>
    <t>https://www.spiderworks.ae/google-ads</t>
  </si>
  <si>
    <t>madebyevoke.com</t>
  </si>
  <si>
    <t>Google Ads Services in Dubai, UAE - Google Certified Partner Company</t>
  </si>
  <si>
    <t>https://support.google.com/tagmanager/answer/7237700?hl=en-GB</t>
  </si>
  <si>
    <t>VML, Impact BBDO, Leo Burnett MENA, FP7 McCann, Publicis Groupe, Memac Ogilvy, TBWA\RAAD</t>
  </si>
  <si>
    <t>Google Marketing Platform Partners - Tag Manager Help</t>
  </si>
  <si>
    <t>https://www.truenorthmarketing.ae/en</t>
  </si>
  <si>
    <t>madx.digital</t>
  </si>
  <si>
    <t>NoGood, iPullRank, Siege Media, Single Grain</t>
  </si>
  <si>
    <t>magureinc.com</t>
  </si>
  <si>
    <t>mahmoudmizar.com</t>
  </si>
  <si>
    <t>Digital Growth Agency | Marketing, Development , Design &amp;amp; AI | True North Marketing</t>
  </si>
  <si>
    <t>https://waimhub.com/aeo-agency-dubai-guide/</t>
  </si>
  <si>
    <t>marchiteq.com</t>
  </si>
  <si>
    <t>AEO agency Dubai: What it is and why it matters</t>
  </si>
  <si>
    <t>intouch, WAIM, INSIDEA</t>
  </si>
  <si>
    <t>https://www.wearetenet.com/blog/best-ai-seo-agencies</t>
  </si>
  <si>
    <t>marketerhire.com</t>
  </si>
  <si>
    <t>10 Best AI SEO Agencies to Win in AI Overviews and LLMs</t>
  </si>
  <si>
    <t>Tenet</t>
  </si>
  <si>
    <t>https://www.webtonic.io/blog/best-ppc-agencies-dubai</t>
  </si>
  <si>
    <t>Tinuiti, Disruptive Advertising, Directive, KPMG, intouch</t>
  </si>
  <si>
    <t>marketingintelligence.io</t>
  </si>
  <si>
    <t>The 41 Best PPC Agencies in Dubai as of 2026</t>
  </si>
  <si>
    <t>Web Tonic, DigitalFarm, NEXA, Tinuiti, Power Digital, Dentsu, GroupM, intouch</t>
  </si>
  <si>
    <t>https://aidatalizer.com/blog/best-marketing-agency-in-dubai-2026/</t>
  </si>
  <si>
    <t>marketingltb.com</t>
  </si>
  <si>
    <t>inBeat</t>
  </si>
  <si>
    <t>AiDatalizer | Blog | Best marketing agency in Dubai 2026</t>
  </si>
  <si>
    <t>https://auge10x.com/</t>
  </si>
  <si>
    <t>martal.ca</t>
  </si>
  <si>
    <t>Digital Gravity, Chain Reaction, NEXA, Prism Digital, Measured, SEO Sherpa, United SEO, GCC Marketing, Red Berries, Ninja Promo</t>
  </si>
  <si>
    <t>AUGE 10X · #1 AI Operations &amp;amp; Sovereign AI Infrastructure Company in UAE | Dubai · Abu Dhabi · Sharjah · Ras Al Khaimah · Ajman · Fujairah · Umm Al Quwain</t>
  </si>
  <si>
    <t>mass-analytics.com</t>
  </si>
  <si>
    <t>https://www.beontop.ae/google-partner/</t>
  </si>
  <si>
    <t>maxsell.ae</t>
  </si>
  <si>
    <t>BeOnTop is an Official Certificated Google Partner in Dubai, UAE</t>
  </si>
  <si>
    <t>https://www.boostmylocalbusiness.ai/</t>
  </si>
  <si>
    <t>meaccurate.com</t>
  </si>
  <si>
    <t>Digital Marketing Agency in Dubai, UAE | Boost My Business</t>
  </si>
  <si>
    <t>https://www.consultancy-me.com/rankings/top-consulting-firms-in-the-middle-east-by-area-of-expertise/ai-genai</t>
  </si>
  <si>
    <t>mediaslide.com</t>
  </si>
  <si>
    <t>metslab.com</t>
  </si>
  <si>
    <t>mettevo.com</t>
  </si>
  <si>
    <t>Top AI &amp;amp; Gen AI consulting firms in the Middle East</t>
  </si>
  <si>
    <t>McKinsey &amp; Company, Boston Consulting Group, PwC, EY, KPMG, Artefact</t>
  </si>
  <si>
    <t>https://cosmopole.com/services/generative-engine-optimisation-geo/</t>
  </si>
  <si>
    <t>mickyweis.com</t>
  </si>
  <si>
    <t>Generative Engine Optimisation (GEO) Services | Cosmopole</t>
  </si>
  <si>
    <t>https://www.datatrust.ae/</t>
  </si>
  <si>
    <t>microsoft.com</t>
  </si>
  <si>
    <t>mightywarner.ae</t>
  </si>
  <si>
    <t>DataTrust — Insights Beyond Trust | BI, Analytics &amp;amp; Digital Transformation in UAE</t>
  </si>
  <si>
    <t>https://www.decisionfoundry.com/marketing-measurement-analytics-services/</t>
  </si>
  <si>
    <t>migrateworld.com</t>
  </si>
  <si>
    <t>mintcopywritingstudios.com</t>
  </si>
  <si>
    <t>Marketing Measurement Analytics Services</t>
  </si>
  <si>
    <t>https://digitalimpressions.ae/blog/best-performance-marketing-agency-in-dubai-a-complete-guide-for-businesses/</t>
  </si>
  <si>
    <t>Huge, NoGood, Measured, Omniscient Digital, WebFX, Siege Media, Single Grain</t>
  </si>
  <si>
    <t>missionmedia.asia</t>
  </si>
  <si>
    <t>Digital Impressions ae</t>
  </si>
  <si>
    <t>Nielsen, Analytic Partners, Merkle, intouch</t>
  </si>
  <si>
    <t>Measured, Momentum, Push, intouch</t>
  </si>
  <si>
    <t>mma.com</t>
  </si>
  <si>
    <t>https://digitalmediasapiens.com/top-10-digital-agencies-in-dubai/</t>
  </si>
  <si>
    <t>mobileappdaily.com</t>
  </si>
  <si>
    <t>Top 10 AI Digital Marketing &amp;amp; SEO Agencies in Dubai (2026 Guide)</t>
  </si>
  <si>
    <t>Digital Media Sapiens, Red Berries, Bruce Clay MENA, NEXA</t>
  </si>
  <si>
    <t>Digital Gravity, Bird Marketing, PwC</t>
  </si>
  <si>
    <t>https://www.digitalnexa.com/digital-marketing-agency-dubai</t>
  </si>
  <si>
    <t>mooglelabs.com</t>
  </si>
  <si>
    <t>Digital Marketing Agency Dubai, UAE - Digital Marketing Company Dubai</t>
  </si>
  <si>
    <t>https://www.edelman.ae/expertise/measurement-analytics</t>
  </si>
  <si>
    <t>motionlabs.agency</t>
  </si>
  <si>
    <t>Upscale Digital, NEXA, Prism Digital, Bird Marketing, Zenerom, ASTUDIO</t>
  </si>
  <si>
    <t>moujsolutions.com</t>
  </si>
  <si>
    <t>munro.agency</t>
  </si>
  <si>
    <t>Measurement &amp; Analytics \| Edelman</t>
  </si>
  <si>
    <t>NEXA, ASTUDIO, Prism Digital</t>
  </si>
  <si>
    <t>musemind.agency</t>
  </si>
  <si>
    <t>https://www.edvido.ae/media-planning-agencies</t>
  </si>
  <si>
    <t>n-ix.com</t>
  </si>
  <si>
    <t>PwC, McKinsey &amp; Company, KPMG</t>
  </si>
  <si>
    <t>Top 15+ Media Buying &amp;amp; Planning Agencies in UAE (2026)</t>
  </si>
  <si>
    <t>intouch, Home of Performance, Dot IT, Praxis Advertising, AlCaz Media</t>
  </si>
  <si>
    <t>namaccountants.com</t>
  </si>
  <si>
    <t>https://effective.ae/advertising-agency/</t>
  </si>
  <si>
    <t>Effective Agency: The Best Advertising Agency in the UAE</t>
  </si>
  <si>
    <t>naukrigulf.com</t>
  </si>
  <si>
    <t>https://www.entasher.com/ae/s/geo-companies/</t>
  </si>
  <si>
    <t>neuralhorizonsai.com</t>
  </si>
  <si>
    <t>neurons-lab.com</t>
  </si>
  <si>
    <t>Generative Engine Optimisation GEO companies in United Arab…</t>
  </si>
  <si>
    <t>https://gcctechgroup.com/aeo-agency-in-dubai/</t>
  </si>
  <si>
    <t>Momentum, Boston Consulting Group, intouch</t>
  </si>
  <si>
    <t>nextsol.ae</t>
  </si>
  <si>
    <t>AEO agency in Dubai | Answer Engine Optimization Experts</t>
  </si>
  <si>
    <t>https://www.goodtal.com/companies/advertising/ae</t>
  </si>
  <si>
    <t>nutshell.com</t>
  </si>
  <si>
    <t>Top 10+ Advertising Agencies in UAE in 2026 | Goodtal</t>
  </si>
  <si>
    <t>oakpool.xyz</t>
  </si>
  <si>
    <t>Pixoo Media, Prism Digital, Leads Dubai, Digital Gravity, intouch</t>
  </si>
  <si>
    <t>https://www.hostino.ae/ai-geo-agency-uae/</t>
  </si>
  <si>
    <t>NoGood, iPullRank, INSIDEA</t>
  </si>
  <si>
    <t>GEO Agency UAE | Rank #1 in ChatGPT - AI SEO Strategy</t>
  </si>
  <si>
    <t>obilityb2b.com</t>
  </si>
  <si>
    <t>https://www.houseoffix.com/</t>
  </si>
  <si>
    <t>olilo.ae</t>
  </si>
  <si>
    <t>https://www.impressiondigital.com/media-solutions/measurement/</t>
  </si>
  <si>
    <t>omc-uae.com</t>
  </si>
  <si>
    <t>onely.com</t>
  </si>
  <si>
    <t>Marketing Mix Modelling Company | Ad Effectiveness Consultancy</t>
  </si>
  <si>
    <t>Power Digital, Disruptive Advertising, Directive, WebFX, Siege Media, Ninja Promo, NP Digital, Single Grain</t>
  </si>
  <si>
    <t>https://www.kifconsultancy.com/top-ai-consulting-firms-in-uae/</t>
  </si>
  <si>
    <t>onetrust.com</t>
  </si>
  <si>
    <t>Deloitte Digital, Artefact, PwC, KPMG</t>
  </si>
  <si>
    <t>optivaal.com</t>
  </si>
  <si>
    <t>Top AI Consulting Firms in UAE</t>
  </si>
  <si>
    <t>https://kvnpromos.ae/web-campaign-analytics/</t>
  </si>
  <si>
    <t>orangemonke.com</t>
  </si>
  <si>
    <t>Web &amp;amp; Campaign Analytics Services in UAE | Pricing – KVN Promos</t>
  </si>
  <si>
    <t>https://www.leadsdubai.com/faq-instagram-advertising-uae/</t>
  </si>
  <si>
    <t>orm-tech.com</t>
  </si>
  <si>
    <t>FAQ - Instagram Advertising UAE \| Leads Dubai</t>
  </si>
  <si>
    <t>Leads Dubai, Measured, intouch</t>
  </si>
  <si>
    <t>https://linea-analytics.com/</t>
  </si>
  <si>
    <t>outcomes.ae</t>
  </si>
  <si>
    <t>outreachz.com</t>
  </si>
  <si>
    <t>Linea Analytics — True Marketing Impact Measurement (Always-on MMM)</t>
  </si>
  <si>
    <t>https://www.linkedin.com/posts/crystal-infoway_best-5-digital-marketing-agencies-in-uae-activity-7417873568446775297-9DW8</t>
  </si>
  <si>
    <t>Huge, NoGood, Ninja Promo, NP Digital, Single Grain</t>
  </si>
  <si>
    <t>outsourcey.com</t>
  </si>
  <si>
    <t>UAE Digital Marketing Agencies: Data-Driven Strategies for Business Growth | Crystal Infoway posted on the topic | LinkedIn</t>
  </si>
  <si>
    <t>Push, Growth Hackers, Measured</t>
  </si>
  <si>
    <t>https://masterofcode.com/blog/ai-companies-in-dubai</t>
  </si>
  <si>
    <t>ovative.com</t>
  </si>
  <si>
    <t>paramark.com</t>
  </si>
  <si>
    <t>Huge, Haus</t>
  </si>
  <si>
    <t>Top 9 AI Companies in Dubai Driving 43% Faster Innovation</t>
  </si>
  <si>
    <t>intouch, Momentum, Push</t>
  </si>
  <si>
    <t>performancewebmarketing.com</t>
  </si>
  <si>
    <t>https://www.morismedia.in/united-arab-emirates-top-10-performance-marketing-agency-for-marketing-advertising-in-2026</t>
  </si>
  <si>
    <t>Top 10 Performance Marketing Agencies in United Arab Emirates 2026</t>
  </si>
  <si>
    <t>Mindshare, OMD, VML, Dentsu, Publicis Media, Measured</t>
  </si>
  <si>
    <t>https://noirandblanco.com/best-digital-marketing-agencies-in-dubai/</t>
  </si>
  <si>
    <t>phdmedia.com</t>
  </si>
  <si>
    <t>phloz.com</t>
  </si>
  <si>
    <t>14 Best Digital Marketing Agencies in Dubai</t>
  </si>
  <si>
    <t>Upscale Digital, NEXA, PwC, SEO Sherpa, Digital Gravity, ASTUDIO</t>
  </si>
  <si>
    <t>https://www.reyson.ae/market-research-companies-in-dubai</t>
  </si>
  <si>
    <t>pipame.com</t>
  </si>
  <si>
    <t>pointconsultancy.com</t>
  </si>
  <si>
    <t>Market Research Companies in Dubai | Reyson Badger</t>
  </si>
  <si>
    <t>https://www.rightsideup.com/blog/guide-to-marketing-incrementality-testing</t>
  </si>
  <si>
    <t>popcomms.ae</t>
  </si>
  <si>
    <t>position.digital</t>
  </si>
  <si>
    <t>Marketing Incrementality Testing: A Complete Guide to Measuring What Matters</t>
  </si>
  <si>
    <t>Huge, Growth Hackers, intouch</t>
  </si>
  <si>
    <t>https://www.sortlist.com/s/artificial-intelligence/united-arab-emirates-ae</t>
  </si>
  <si>
    <t>professionalslobby.com</t>
  </si>
  <si>
    <t>The 10 Best Artificial Intelligence Agencies in the United Arab Emirates - 2026 Reviews</t>
  </si>
  <si>
    <t>Growth Hackers</t>
  </si>
  <si>
    <t>https://www.superside.com/blog/design-agencies-dubai</t>
  </si>
  <si>
    <t>promodo.com</t>
  </si>
  <si>
    <t>Measured, Directive, Siege Media</t>
  </si>
  <si>
    <t>proxigy.net</t>
  </si>
  <si>
    <t>15 Graphic Design Agencies in Dubai for Top Brands (2026)</t>
  </si>
  <si>
    <t>https://thedigitalelevator.com/blog/best-generative-engine-optimization-geo-agencies/</t>
  </si>
  <si>
    <t>ranksiege.com</t>
  </si>
  <si>
    <t>reachadv.com</t>
  </si>
  <si>
    <t>The 12 Best Generative Engine Optimization (GEO) Agencies of 2026 | Digital Elevator</t>
  </si>
  <si>
    <t>https://abmediaco.com/performance-marketing-agency-in-dubai/</t>
  </si>
  <si>
    <t>realestate.com.au</t>
  </si>
  <si>
    <t>rebootonline.com</t>
  </si>
  <si>
    <t>Top Performance Marketing Agency in Dubai, UAE | AB Media</t>
  </si>
  <si>
    <t>https://aliseoservices.com/services/ai-seo-services-uae/</t>
  </si>
  <si>
    <t>Tinuiti, NoGood, intouch</t>
  </si>
  <si>
    <t>red-engage.com</t>
  </si>
  <si>
    <t>Best AI SEO Services UAE (Dubai, &amp; All Emirates) \| AEO, GEO &amp; SEO 2026</t>
  </si>
  <si>
    <t>Momentum, Dentsu, Accenture Song, Impact BBDO, Publicis Groupe, WPP, VML, GroupM, OMD, Publicis Media, Epsilon, intouch</t>
  </si>
  <si>
    <t>https://www.baselinemix.com/</t>
  </si>
  <si>
    <t>reshaped.io</t>
  </si>
  <si>
    <t>https://www.bicommunications.ae/blog/best-ppc-agencies-abu-dhabi/</t>
  </si>
  <si>
    <t>rhblake.com</t>
  </si>
  <si>
    <t>NoGood, Omniscient Digital, WebFX, iPullRank</t>
  </si>
  <si>
    <t>rhillane.com</t>
  </si>
  <si>
    <t>Best PPC Agencies in Abu Dhabi (2026): Top Paid Ads Companies</t>
  </si>
  <si>
    <t>Chain Reaction, Bird Marketing, DigitalFarm, intouch</t>
  </si>
  <si>
    <t>https://biglab.ae/services/performance-marketing/paid-social/</t>
  </si>
  <si>
    <t>rix-digital.com</t>
  </si>
  <si>
    <t>Paid Social Ads Services in the UAE | BIG LAB</t>
  </si>
  <si>
    <t>https://bird.ae/ai/agents-automation/#:~:text=End%2Dto%2DEnd%20Service%3A%20Bird%20oversees%20every%20phase%2C%20from,of%20work%20with%20advanced%2C%20efficient%20AI%20automation.</t>
  </si>
  <si>
    <t>AI Agent &amp;amp; Automation UAE - Bird Marketing</t>
  </si>
  <si>
    <t>Nielsen, Analytic Partners</t>
  </si>
  <si>
    <t>https://www.blueduckagency.com/blog/incrementality</t>
  </si>
  <si>
    <t>roashack.com</t>
  </si>
  <si>
    <t>Huge, Measured, Push, Haus</t>
  </si>
  <si>
    <t>roasifymedia.com</t>
  </si>
  <si>
    <t>How to Add Incrementality Testing to Your Marketing Campaigns | Blue Duck Agency</t>
  </si>
  <si>
    <t>https://burjsahra.com/</t>
  </si>
  <si>
    <t>roirevolution.com</t>
  </si>
  <si>
    <t>roq.ad</t>
  </si>
  <si>
    <t>https://clutch.co/ae/agencies/ppc</t>
  </si>
  <si>
    <t>Nielsen, intouch</t>
  </si>
  <si>
    <t>rsxigital.com</t>
  </si>
  <si>
    <t>Top PPC Agencies in the United Arab Emirates - Jul 2026 Rankings \| Clutch.co</t>
  </si>
  <si>
    <t>Blue Beetle, Dot IT, Web Tonic, M3.agency, INSIDEA, Disruptive Advertising, intouch, Ninja Promo, YouYaa, AlCaz Media, EDS FZCO, Leads Dubai, Hovi Digital Lab</t>
  </si>
  <si>
    <t>https://www.cometly.com/post/marketing-attribution-companies</t>
  </si>
  <si>
    <t>searchbloom.com</t>
  </si>
  <si>
    <t>Tinuiti, Omniscient Digital, iPullRank, INSIDEA, Siege Media, Single Grain</t>
  </si>
  <si>
    <t>segwise.ai</t>
  </si>
  <si>
    <t>11 Best Marketing Attribution Companies to Track ROI</t>
  </si>
  <si>
    <t>https://digidot.ae/search-engine-optimization-seo/aeo-services-in-dubai/</t>
  </si>
  <si>
    <t>semfirms.com</t>
  </si>
  <si>
    <t>AEO Service in Dubai | Rank on voice search &amp;amp; Google AI</t>
  </si>
  <si>
    <t>seodiscovery.com</t>
  </si>
  <si>
    <t>https://dubaiweb.ae/best-digital-marketing-agencies-in-dubai/</t>
  </si>
  <si>
    <t>iPullRank, Directive, WebFX, Siege Media, Single Grain</t>
  </si>
  <si>
    <t>Top 10 Best Digital Marketing Agencies in Dubai 2026</t>
  </si>
  <si>
    <t>Measured, Global Media Insight, Digital Gravity, EDS FZCO, NEXA, ASTUDIO, Prism Digital, Leads Dubai, Chain Reaction</t>
  </si>
  <si>
    <t>https://www.edvido.ae/digital-marketing-agencies</t>
  </si>
  <si>
    <t>seodxb.com</t>
  </si>
  <si>
    <t>Top 15+ Digital Marketing Agencies in UAE (2026)</t>
  </si>
  <si>
    <t>intouch, Dot IT, Home of Performance, Admoon, Adapts Media</t>
  </si>
  <si>
    <t>https://www.eliya.io/</t>
  </si>
  <si>
    <t>seoindiaonline.com</t>
  </si>
  <si>
    <t>Momentum, Brainlabs, Omniscient Digital, Siege Media, iPullRank</t>
  </si>
  <si>
    <t>ELIYA Advanced Data Science AI Solutions for Business and Marketing</t>
  </si>
  <si>
    <t>seosandwitch.com</t>
  </si>
  <si>
    <t>https://www.gartner.com/reviews/market/incrementality-measurement-platforms</t>
  </si>
  <si>
    <t>Omniscient Digital, Siege Media</t>
  </si>
  <si>
    <t>seoworks.com</t>
  </si>
  <si>
    <t>Best Incrementality Measurement Platforms Reviews 2026 \| Gartner Peer Insights</t>
  </si>
  <si>
    <t>Haus, SegmentStream, Measured</t>
  </si>
  <si>
    <t>https://www.globalsurf.ae/programmatic-advertising-agency-dubai</t>
  </si>
  <si>
    <t>Directive, WebFX, intouch</t>
  </si>
  <si>
    <t>shakostats.com</t>
  </si>
  <si>
    <t>Push, PHD</t>
  </si>
  <si>
    <t>sharjahcustoms.gov.ae</t>
  </si>
  <si>
    <t>Programmatic Advertising Agency in Dubai | Targeted Display &amp;amp; Video | GS Digital | GS Digital</t>
  </si>
  <si>
    <t>https://www.goodfirms.co/directory/country/top-digital-marketing-companies/ae?sort_by=rating</t>
  </si>
  <si>
    <t>Prism Digital, Digital Gravity, Pixoo Media, NEXA, WebFX</t>
  </si>
  <si>
    <t>https://greenbook.org/market-research-companies/united-arab-emirates</t>
  </si>
  <si>
    <t>shazzco.com</t>
  </si>
  <si>
    <t>Top Marketing Research Firms in United Arab Emirates — Greenbook</t>
  </si>
  <si>
    <t>Mindshare, Accenture Song, Kantar, intouch</t>
  </si>
  <si>
    <t>shichifukutekx.ae</t>
  </si>
  <si>
    <t>https://hikemytraffic.com/ai-digital-marketing-services-in-uae/</t>
  </si>
  <si>
    <t>15 Best AI Digital Marketing Services in UAE (2026 Updated)</t>
  </si>
  <si>
    <t>Digital Arabia, United SEO, ASTUDIO</t>
  </si>
  <si>
    <t>https://holm.com/en</t>
  </si>
  <si>
    <t>silverbackstrategies.com</t>
  </si>
  <si>
    <t>Holm Intelligence Partners | Agentic AI Readiness &amp;amp; Governance UAE</t>
  </si>
  <si>
    <t>https://holm.com/en/services</t>
  </si>
  <si>
    <t>simplicitymedia.com</t>
  </si>
  <si>
    <t>Agentic AI Readiness Services for UAE Mid-Market | HIP</t>
  </si>
  <si>
    <t>https://www.iasmedia.com/programmatic-advertising/</t>
  </si>
  <si>
    <t>skillsheaven.org</t>
  </si>
  <si>
    <t>Top Programmatic Advertising Company UAE &amp;amp; Middle East – IAS Media</t>
  </si>
  <si>
    <t>https://www.inbeat.co/articles/top-advertising-agencies-dubai/</t>
  </si>
  <si>
    <t>skyscale.com.au</t>
  </si>
  <si>
    <t>iPullRank</t>
  </si>
  <si>
    <t>slipstream.agency</t>
  </si>
  <si>
    <t>12 Best Advertising Agencies in Dubai as of 2026</t>
  </si>
  <si>
    <t>smartgeoagency.com</t>
  </si>
  <si>
    <t>inBeat, PwC</t>
  </si>
  <si>
    <t>https://www.jadasquad.com/blog/top-ai-agent-development-companies-in-dubai</t>
  </si>
  <si>
    <t>sociomark.ae</t>
  </si>
  <si>
    <t>Top AI Agent Development Companies in Dubai &amp;amp; UAE (2026) | JADA | The JADA Squad</t>
  </si>
  <si>
    <t>socotec-middleeast.com</t>
  </si>
  <si>
    <t>https://kdm.ae/</t>
  </si>
  <si>
    <t>KDM AI-Powered Digital Marketing Agency In Dubai &amp;amp; Sharjah</t>
  </si>
  <si>
    <t>https://marketingplatform.google.com/about/contact-us/</t>
  </si>
  <si>
    <t>soho-aimarketing.com</t>
  </si>
  <si>
    <t>https://marketingplatform.google.com/about/partners/?authuser=1</t>
  </si>
  <si>
    <t>solanalytics.com</t>
  </si>
  <si>
    <t>Meet Your New Marketing Partner - Google Marketing Platform Partners</t>
  </si>
  <si>
    <t>SOL Analytics</t>
  </si>
  <si>
    <t>https://marketingplatform.google.com/intl/en_uk/about/</t>
  </si>
  <si>
    <t>solulab.com</t>
  </si>
  <si>
    <t>Google Marketing Platform – Unified Advertising and Analytics</t>
  </si>
  <si>
    <t>sprintey.io</t>
  </si>
  <si>
    <t>https://www.measured.com/</t>
  </si>
  <si>
    <t>starngage.com</t>
  </si>
  <si>
    <t>Measured | Media Effectiveness Platform</t>
  </si>
  <si>
    <t>https://medium.com/@tweet2faizal/best-70-digital-marketing-agencies-in-uae-a893126b7674</t>
  </si>
  <si>
    <t>stellaheystella.com</t>
  </si>
  <si>
    <t>Best 70 Digital Marketing Agencies in UAE | by Mohamed Faizal | Medium</t>
  </si>
  <si>
    <t>Red Berries, NEXA, Digital Media Sapiens, Prism Digital, Chain Reaction, Global Media Insight, EDS FZCO, Blue Beetle, Leads Dubai, Dentsu, DigitalFarm, Integrate Solutions</t>
  </si>
  <si>
    <t>strikedigital.ie</t>
  </si>
  <si>
    <t>https://www.ogilvy.com/ae/about#:~:text=We%20do%20this%20through%20borderless%20creativity.%20We,for%20your%20business%20and%20your%20growth%20objectives.</t>
  </si>
  <si>
    <t>sumnah.ae</t>
  </si>
  <si>
    <t>About | Ogilvy UAE</t>
  </si>
  <si>
    <t>Memac Ogilvy, Momentum, FP7 McCann, VML, WPP</t>
  </si>
  <si>
    <t>https://outdooradvertisinguae.com/</t>
  </si>
  <si>
    <t>swydo.com</t>
  </si>
  <si>
    <t>Push, Huge</t>
  </si>
  <si>
    <t>sysart.consulting</t>
  </si>
  <si>
    <t>tamkinexpress.ae</t>
  </si>
  <si>
    <t>Outdoor Advertising Dubai, #1 OOH Advertising Company in Dubai</t>
  </si>
  <si>
    <t>https://www.planaletix.com/</t>
  </si>
  <si>
    <t>tarjama.com</t>
  </si>
  <si>
    <t>tatari.tv</t>
  </si>
  <si>
    <t>Planaletix | Home | AI solutions &amp;amp; consulting services</t>
  </si>
  <si>
    <t>https://www.quoleady.com/aeo-agencies/</t>
  </si>
  <si>
    <t>teamai.com</t>
  </si>
  <si>
    <t>8 Best AEO Agencies in 2026: Who's Optimizing for AI Answers</t>
  </si>
  <si>
    <t>Measured, Darkroom, Omniscient Digital, NoGood, Push</t>
  </si>
  <si>
    <t>techradiant.co</t>
  </si>
  <si>
    <t>https://www.rollingpixel.ae/top-digital-marketing-agencies-in-dubai/</t>
  </si>
  <si>
    <t>tekrevol.com</t>
  </si>
  <si>
    <t>Top 10 Digital Marketing Agencies in Dubai That Deliver Results</t>
  </si>
  <si>
    <t>intouch, NEXA, Digital Gravity, Red Berries, Prism Digital, Blue Beetle, Chain Reaction, Global Media Insight, EDS FZCO</t>
  </si>
  <si>
    <t>https://www.sortlist.com/branding/dubai-ae</t>
  </si>
  <si>
    <t>tfsfventures.com</t>
  </si>
  <si>
    <t>Top 17 Branding Agencies in Dubai – 2026 Reviews &amp;amp; Pricing</t>
  </si>
  <si>
    <t>intouch, Praxis Advertising, Momentum, M3.agency, Ninja Promo, Nielsen</t>
  </si>
  <si>
    <t>https://www.sortlist.com/s/brand-advertising/united-arab-emirates-ae</t>
  </si>
  <si>
    <t>theaeoagency.io</t>
  </si>
  <si>
    <t>The 10 Best Brand Advertising Agencies in the United Arab Emirates - 2026 Reviews</t>
  </si>
  <si>
    <t>Praxis Advertising, Ninja Promo, Pixoo Media, Push</t>
  </si>
  <si>
    <t>https://www.sortlist.com/s/display-advertising/sharjah-ae</t>
  </si>
  <si>
    <t>thebestgeo.com</t>
  </si>
  <si>
    <t>The 10 Best Display Advertising Agencies in Sharjah - 2026 Reviews</t>
  </si>
  <si>
    <t>AlCaz Media, intouch, Praxis Advertising, Ninja Promo, Momentum, M3.agency, Growth Hackers</t>
  </si>
  <si>
    <t>https://www.sortlist.com/s/media-buying/united-arab-emirates-ae</t>
  </si>
  <si>
    <t>thebrandberries.com</t>
  </si>
  <si>
    <t>The 10 Best Media Buying Agencies in the United Arab Emirates - 2026 Reviews</t>
  </si>
  <si>
    <t>intouch, AlCaz Media, Momentum, M3.agency, Praxis Advertising, Growth Hackers, Ninja Promo, Pixoo Media, Adapts Media</t>
  </si>
  <si>
    <t>https://www.sortlist.com/s/paid-media/abu-dhabi-ae</t>
  </si>
  <si>
    <t>thebrandcall.com</t>
  </si>
  <si>
    <t>The 10 Best Paid Media Agencies in Abu Dhabi - 2026 Reviews</t>
  </si>
  <si>
    <t>Bird Marketing, Push, Pixoo Media, LUMINA, Praxis Advertising, intouch, Ninja Promo, Momentum, M3.agency</t>
  </si>
  <si>
    <t>https://srccreationz.com/2024/11/12/best-digital-marketing-agency-in-uae-2/</t>
  </si>
  <si>
    <t>thebrillcollective.com</t>
  </si>
  <si>
    <t>thedigitalmerchant.com</t>
  </si>
  <si>
    <t>https://support.google.com/analytics/answer/7237700?hl=en-AU</t>
  </si>
  <si>
    <t>Tinuiti, Measured, Wpromote, Push</t>
  </si>
  <si>
    <t>thedxlab.com</t>
  </si>
  <si>
    <t>https://www.truenorthmarketing.ae/en/blog/top-martech-agency-uae</t>
  </si>
  <si>
    <t>theguardian.com</t>
  </si>
  <si>
    <t>UAE MarTech Partner: Systems, Measurement &amp;amp; How We Work</t>
  </si>
  <si>
    <t>https://uplift-lab.com/ab-testing-experimentation-agency-dubai-uae/</t>
  </si>
  <si>
    <t>themedialinks.com</t>
  </si>
  <si>
    <t>uplift lab - Best A/B Testing &amp;amp; Experimentation Agency in Dubai</t>
  </si>
  <si>
    <t>https://upscale-digital.com/blog/top-10-social-media-marketing-agencies-in-dubai/</t>
  </si>
  <si>
    <t>thethinksters.com</t>
  </si>
  <si>
    <t>PwC, McKinsey &amp; Company, EY, KPMG, Boston Consulting Group</t>
  </si>
  <si>
    <t>Top 10 social media marketing agencies in Dubai - Upscale Digital</t>
  </si>
  <si>
    <t>Upscale Digital, NEXA, DigitalFarm, Measured, intouch</t>
  </si>
  <si>
    <t>thinknectar.com</t>
  </si>
  <si>
    <t>https://vybinex.com/about/</t>
  </si>
  <si>
    <t>thinkwithalec.com</t>
  </si>
  <si>
    <t>https://waimhub.com/ai-marketing-agency-dubai-guide/</t>
  </si>
  <si>
    <t>timezmarketing.com</t>
  </si>
  <si>
    <t>AI marketing agency Dubai: What to expect</t>
  </si>
  <si>
    <t>https://www.webtonic.io/blog/top-marketing-agencies-dubai#:~:text=What%20Are%20the%20Best%20Marketing%20Agencies%20in,growth%20strategies%20for%20mid%2Dmarket%20to%20enterprise%20clients.</t>
  </si>
  <si>
    <t>titandigitaluae.com</t>
  </si>
  <si>
    <t>41 Top Marketing Agencies in Dubai for 2026</t>
  </si>
  <si>
    <t>Web Tonic, Blue Beetle, NEXA, Digital Gravity, SEO Sherpa, Chain Reaction, DigitalFarm, Prism Digital, intouch</t>
  </si>
  <si>
    <t>https://agencies.semrush.com/list/analytics-data-science/business-professional-services/dubai/</t>
  </si>
  <si>
    <t>tmh.ae</t>
  </si>
  <si>
    <t>tmmagency.com</t>
  </si>
  <si>
    <t>Best B2B Services Data Analytics Services in Dubai 2026 | Semrush</t>
  </si>
  <si>
    <t>Leads Dubai, United SEO, Chain Reaction</t>
  </si>
  <si>
    <t>https://aimarketingpro.ae/services/ai-powered-seo/</t>
  </si>
  <si>
    <t>tofuhq.com</t>
  </si>
  <si>
    <t>AI-powered SEO Services in Dubai, UAE | AI Marketing Pro</t>
  </si>
  <si>
    <t>https://alstudio.ai/ar/blog/top-agencies</t>
  </si>
  <si>
    <t>townin.com</t>
  </si>
  <si>
    <t>NEXA, Blue Beetle, Digital Gravity, Chain Reaction, EDS FZCO</t>
  </si>
  <si>
    <t>tradingview.com</t>
  </si>
  <si>
    <t>https://www.astudio.ae/creative-digital-agency/</t>
  </si>
  <si>
    <t>trinitybps.com</t>
  </si>
  <si>
    <t>Creative Agency \| Creative Services</t>
  </si>
  <si>
    <t>https://www.avinityconsulting.com/</t>
  </si>
  <si>
    <t>trivisionstudios.com</t>
  </si>
  <si>
    <t>https://bconic.com/</t>
  </si>
  <si>
    <t>truedata.co</t>
  </si>
  <si>
    <t>Bconic: Independent Marketing Measurement Platform</t>
  </si>
  <si>
    <t>https://www.beyond.agency/ai-agency/dubai</t>
  </si>
  <si>
    <t>truelift.ai</t>
  </si>
  <si>
    <t>tvtechnology.com</t>
  </si>
  <si>
    <t>AI Agency in Dubai - Beyond Agency</t>
  </si>
  <si>
    <t>https://biglab.ae/services/seo/ai-search-geo/</t>
  </si>
  <si>
    <t>Nielsen</t>
  </si>
  <si>
    <t>universalads.com</t>
  </si>
  <si>
    <t>AI Search &amp;amp; GEO Optimization Services in the UAE | BIG LAB</t>
  </si>
  <si>
    <t>Measured, Haus, Northbeam</t>
  </si>
  <si>
    <t>https://bird.ae/</t>
  </si>
  <si>
    <t>v8media.co.za</t>
  </si>
  <si>
    <t>Full Service Digital Marketing Agency UAE - Bird Marketing</t>
  </si>
  <si>
    <t>valgrowdigital.com</t>
  </si>
  <si>
    <t>https://www.bizcommunity.com/article/the-one-club-for-creativity-reveals-2025-global-rankings-627131a</t>
  </si>
  <si>
    <t>vdigitalservices.com</t>
  </si>
  <si>
    <t>The One Club for Creativity reveals 2025 Global Rankings</t>
  </si>
  <si>
    <t>Impact BBDO, FP7 McCann</t>
  </si>
  <si>
    <t>https://business.google.com/us/think/measurement/incrementality-testing/</t>
  </si>
  <si>
    <t>Use incrementality testing for effective marketing measurement</t>
  </si>
  <si>
    <t>velocitygrowth.ae</t>
  </si>
  <si>
    <t>https://clutch.co/ae/agencies/ppc/advertising-industry/dubai</t>
  </si>
  <si>
    <t>Top PPC Agencies for Ad Agencies in Dubai - Jul 2026 Rankings \| Clutch.co</t>
  </si>
  <si>
    <t>Disruptive Advertising, intouch, M3.agency, Ninja Promo, AlCaz Media, EDS FZCO, Prism Digital, M&amp;C Saatchi Performance, GPS Marketing Agency</t>
  </si>
  <si>
    <t>vibebranding.com</t>
  </si>
  <si>
    <t>https://clutch.co/ae/agencies/programmatic/dubai</t>
  </si>
  <si>
    <t>Top Programmatic Advertising Companies in Dubai - Jul 2026 Rankings | Clutch.co</t>
  </si>
  <si>
    <t>M3.agency, YouYaa, intouch, M&amp;C Saatchi Performance, TIDAL Digital</t>
  </si>
  <si>
    <t>https://clutch.co/ae/consulting/ai</t>
  </si>
  <si>
    <t>videnglobe.com</t>
  </si>
  <si>
    <t>Top AI Consultants in the United Arab Emirates - Jul 2026 Rankings \| Clutch.co</t>
  </si>
  <si>
    <t>https://clutch.co/ae/consulting/ai/maturation</t>
  </si>
  <si>
    <t>Top AI Maturation Services in the United Arab Emirates - Jul 2026 Rankings | Clutch.co</t>
  </si>
  <si>
    <t>https://clutch.co/ae/consulting/ai?page=1</t>
  </si>
  <si>
    <t>Page 2 - Top AI Consultants in the United Arab Emirates - Jul 2026 Rankings \| Clutch.co</t>
  </si>
  <si>
    <t>https://www.cometly.com/post/marketing-attribution-software-for-agencies</t>
  </si>
  <si>
    <t>9 Best Marketing Attribution Software For Agencies</t>
  </si>
  <si>
    <t>videofactory.agency</t>
  </si>
  <si>
    <t>virtualadagency.com.au</t>
  </si>
  <si>
    <t>https://creativemediahouse.ae/top-10-creative-agencies-in-dubai-2023/</t>
  </si>
  <si>
    <t>wam.global</t>
  </si>
  <si>
    <t>wamdigital.com</t>
  </si>
  <si>
    <t>Top 10 Creative Agencies in Dubai for 2026 | Award-Winning Team</t>
  </si>
  <si>
    <t>intouch, Publicis Groupe, Memac Ogilvy, FP7 McCann</t>
  </si>
  <si>
    <t>https://www.dejaoffice.com/blog/2026/06/15/9-best-aeo-agencies-helping-brands-win-in-the-age-of-ai/</t>
  </si>
  <si>
    <t>webspottechnologies.com</t>
  </si>
  <si>
    <t>weforum.org</t>
  </si>
  <si>
    <t>9 Best AEO Agencies Helping Brands Win in the Age of AI - DejaOffice Blog</t>
  </si>
  <si>
    <t>NoGood, Omniscient Digital, Huge, Single Grain, Siege Media, iPullRank</t>
  </si>
  <si>
    <t>https://www.designrush.com/agency/creative-agencies/ae</t>
  </si>
  <si>
    <t>werunads.studio</t>
  </si>
  <si>
    <t>Top Creative Agencies in United Arab Emirates | 2026</t>
  </si>
  <si>
    <t>whatjobs.com</t>
  </si>
  <si>
    <t>https://digital-agency.ae/</t>
  </si>
  <si>
    <t>Chain Reaction, Push</t>
  </si>
  <si>
    <t>wide-wings.ae</t>
  </si>
  <si>
    <t>Digital Marketing Agency Dubai - EmirAds | Google &amp;amp; Meta Premier Partner</t>
  </si>
  <si>
    <t>worldhappinesscode.com</t>
  </si>
  <si>
    <t>https://www.digital-qube.com/ai#:~:text=Why%20Choose%20Digital%20Qube%3F%20%2D%20Global%20Expertise%2C,behind%20your%20organization's%20success.%20%2D%20Tailored%20Solutions.</t>
  </si>
  <si>
    <t>Top Digital Marketing Strategy Agency | Abu Dhabi - Digital Qube</t>
  </si>
  <si>
    <t>worldmetrics.org</t>
  </si>
  <si>
    <t>Digital Qube</t>
  </si>
  <si>
    <t>https://digitalagencynetwork.com/agencies/dubai/social-media-marketing/</t>
  </si>
  <si>
    <t>Wpromote</t>
  </si>
  <si>
    <t>wynter.com</t>
  </si>
  <si>
    <t>Best Social Media Marketing Agencies in Dubai | Digital Agency Network</t>
  </si>
  <si>
    <t>NEXA, PwC, Adapts Media, Bird Marketing, Momentum, Measured, Glomm Digital, United SEO, ASTUDIO, Chain Reaction</t>
  </si>
  <si>
    <t>https://digitalagencynetwork.com/agencies/mena/</t>
  </si>
  <si>
    <t>x3cs.com</t>
  </si>
  <si>
    <t>Best Digital Marketing Agencies in MENA | Digital Agency Network</t>
  </si>
  <si>
    <t>NEXA, Digital Gravity, Bird Marketing, Global Media Insight, Red Berries, ASTUDIO, Blue Beetle, intouch</t>
  </si>
  <si>
    <t>NEXA, Bird Marketing, PwC, Adapts Media</t>
  </si>
  <si>
    <t>https://digitalmediasapiens.com/which-is-the-best-digital-marketing-agency-in-dubai/#:~:text=In%202026%2C%20visibility%20is%20no%20longer%20limited,%2D%20Strong%20internal%20linking%20and%20topical%20authority.</t>
  </si>
  <si>
    <t>xrtechgroup.com</t>
  </si>
  <si>
    <t>Which Is the Best Digital Marketing Agency in Dubai?</t>
  </si>
  <si>
    <t>xyagent.ai</t>
  </si>
  <si>
    <t>Digital Media Sapiens, NEXA, Digital Gravity, Global Media Insight, Prism Digital, Red Berries, United SEO</t>
  </si>
  <si>
    <t>https://dreamizegroup.com/how-to-choose-the-best-social-media-marketing-agency-in-uae/</t>
  </si>
  <si>
    <t>yall.co</t>
  </si>
  <si>
    <t>Power Digital, Common Thread Collective, Darkroom</t>
  </si>
  <si>
    <t>z2adigital.com</t>
  </si>
  <si>
    <t>Best Social Media Marketing Agency UAE 2026 — Free Audit</t>
  </si>
  <si>
    <t>https://www.edvido.ae/performance-marketing-agencies/dubai</t>
  </si>
  <si>
    <t>zetaglobal.com</t>
  </si>
  <si>
    <t>Top 15+ Performance Marketing Agencies in Dubai (2026)</t>
  </si>
  <si>
    <t>AlCaz Media, TIDAL Digital, Praxis Advertising, Home of Performance</t>
  </si>
  <si>
    <t>https://elioplus.com/middle-east/united-arab-emirates/channel-partners/google</t>
  </si>
  <si>
    <t>zionmarketresearch.com</t>
  </si>
  <si>
    <t>Best Google partners &amp; resellers in United Arab Emirates \| Elioplus</t>
  </si>
  <si>
    <t>Blue Beetle, Home of Performance</t>
  </si>
  <si>
    <t>https://emblixsolutions.ae/google-ads-partner-agency-in-dubai/</t>
  </si>
  <si>
    <t>KPMG, intouch, PwC, Boston Consulting Group</t>
  </si>
  <si>
    <t>ziprecruiter.com</t>
  </si>
  <si>
    <t>Google Ads Partner Agency in Dubai</t>
  </si>
  <si>
    <t>https://www.eykdata.com/eyk-data-incrementality</t>
  </si>
  <si>
    <t>Eyk Data | Incrementality testing and Unified Marketing Measurement</t>
  </si>
  <si>
    <t>https://feedbax.ai/performance-marketing/united-arab-emirates</t>
  </si>
  <si>
    <t>Top 20 Performance Marketing Agencies in the United Arab Emirates - 2026 Reviews</t>
  </si>
  <si>
    <t>https://gcctechgroup.com/google-ads-management-services/</t>
  </si>
  <si>
    <t>Google Ads Management Services in Dubai | GCC Technologies</t>
  </si>
  <si>
    <t>https://goedix.com/</t>
  </si>
  <si>
    <t>Goedix</t>
  </si>
  <si>
    <t>https://www.goodfirms.co/blog/digital-marketing-agency-pricing-uae</t>
  </si>
  <si>
    <t>How Much Do Digital Marketing Agencies Charge in the UAE?</t>
  </si>
  <si>
    <t>WebFX, intouch</t>
  </si>
  <si>
    <t>https://www.goodfirms.co/directory/city/top-digital-marketing-companies/dubai</t>
  </si>
  <si>
    <t>Top 10+ Digital Marketing Agencies in Dubai - 2026 Reviews | Goodfirms</t>
  </si>
  <si>
    <t>intouch, WebFX, Prism Digital, Digital Gravity</t>
  </si>
  <si>
    <t>https://www.google.com/intl/en_GB/ads/publisher/partners/work-with-a-partner/</t>
  </si>
  <si>
    <t>https://gulfupdates24.com/top-ppc-agencies-in-uae-the-complete-2026-guide/</t>
  </si>
  <si>
    <t>Top PPC Agencies in UAE: 2026 Expert Guide</t>
  </si>
  <si>
    <t>Prism Digital, Tenet, Digital Gravity, Global Media Insight</t>
  </si>
  <si>
    <t>https://hikemytraffic.com/ai-digital-marketing-agencies-in-uae/</t>
  </si>
  <si>
    <t>Top 11 AI Powered Digital Marketing Agencies in UAE</t>
  </si>
  <si>
    <t>https://holm.com/en/uae-ai-advisory</t>
  </si>
  <si>
    <t>Josef Holm's Blog</t>
  </si>
  <si>
    <t>https://hop.rocks/services/marketing-attribution/</t>
  </si>
  <si>
    <t>Marketing Attribution in UAE – Channels &amp;amp; Conversion Contribution</t>
  </si>
  <si>
    <t>Home of Performance</t>
  </si>
  <si>
    <t>https://hypebox.me/blog/articles/top-uae-digital-marketing-agencies-10-expert-picks</t>
  </si>
  <si>
    <t>Top UAE Digital Marketing Agencies: 10 Expert Picks | Hypebox Media</t>
  </si>
  <si>
    <t>Prism Digital, DigitalFarm, Momentum, intouch</t>
  </si>
  <si>
    <t>https://lbbonline.com/news/impact-bbdo-vml-and-cheil-top-uae-rankings-on-league-table-of-creativity-2024</t>
  </si>
  <si>
    <t>Impact BBDO, VML and Cheil Top UAE Rankings on League Table of Creativity 2024 | LBBOnline</t>
  </si>
  <si>
    <t>Impact BBDO, VML, FP7 McCann</t>
  </si>
  <si>
    <t>https://www.lenabara.com/</t>
  </si>
  <si>
    <t>Performance Marketing Expert in UAE | Meta, Google, LinkedIn, TikTok Ads | Lena Bara</t>
  </si>
  <si>
    <t>https://lifesight.io/</t>
  </si>
  <si>
    <t>Lifesight | Agentic Unified Marketing Measurement</t>
  </si>
  <si>
    <t>Measured, Push, Northbeam, Haus</t>
  </si>
  <si>
    <t>https://lps-me.com/blog/how-do-dubai-digital-marketing-agencies-help-their-clients</t>
  </si>
  <si>
    <t>How Do Dubai Digital Marketing Agencies Help Their Clients?</t>
  </si>
  <si>
    <t>https://marketingagencyabudhabi.com/growth-marketing-agencies/abu-dhabi</t>
  </si>
  <si>
    <t>The best Growth Marketing Agencies in Abu Dhabi</t>
  </si>
  <si>
    <t>Bird Marketing, Pixoo Media, M3.agency, Momentum, Praxis Advertising, Ninja Promo, intouch</t>
  </si>
  <si>
    <t>https://www.morispr.com/dubais-top-analytics-and-data-agency-in-dubai-sharjah-united-arab-emirates</t>
  </si>
  <si>
    <t>Top 10 Analytics and Data Agencies in Dubai: Best Firms 2026 | Expert Recommendations</t>
  </si>
  <si>
    <t>https://mystrika.com/directory/agencies/top/account-based-marketing-in-country-united-arab-emirates</t>
  </si>
  <si>
    <t>Top Rated Account Based Marketing Agencies in United Arab Emirates - Directory - Mystrika | Stop Cold Emailing. Start Conversations</t>
  </si>
  <si>
    <t>https://nevolearn.com/blog/social-media-marketing-agencies-in-dubai</t>
  </si>
  <si>
    <t>Top 6 Social Media Marketing Agencies in Dubai (2025) | Best SMM Companies | NevoLearn</t>
  </si>
  <si>
    <t>https://nogood.io/blog/performance-marketing-agencies/</t>
  </si>
  <si>
    <t>Top Performance Marketing Agencies in 2026 | NoGood</t>
  </si>
  <si>
    <t>NoGood, inBeat, Disruptive Advertising, Wpromote, Power Digital, Monks, Directive, Measured, Huge</t>
  </si>
  <si>
    <t>https://noirandblanco.com/best-digital-marketing-agencies-in-uae/</t>
  </si>
  <si>
    <t>11 Best Digital Marketing Agencies in UAE</t>
  </si>
  <si>
    <t>Digital Gravity, Integrate Solutions, Global Media Insight, GCC Marketing</t>
  </si>
  <si>
    <t>https://www.octopusmarketing.agency/ai-services/ai-strategy-consulting/#:~:text=An%20effective%20AI%20strategy%20starts%20with%20a,ecosystems%20to%20process%20efficiency%20and%20team%20capabilities.</t>
  </si>
  <si>
    <t>AI Strategy Consulting Agency in Dubai, UAE | Leading Business &amp;amp; Technology Experts</t>
  </si>
  <si>
    <t>https://www.octopusmarketing.agency/digital-marketing/ppc-and-paid-ads/display-advertising-services/</t>
  </si>
  <si>
    <t>Display Advertising Agency in Dubai, UAE | Trusted Creative &amp;amp; Targeting Experts</t>
  </si>
  <si>
    <t>https://ohm.agency/services</t>
  </si>
  <si>
    <t>OHM Services</t>
  </si>
  <si>
    <t>https://onlinemarketing.ae/best-performance-marketing-companies-dubai/</t>
  </si>
  <si>
    <t>Top 10 Best Performance Marketing Companies in Dubai</t>
  </si>
  <si>
    <t>NEXA, Digital Gravity, Chain Reaction, Prism Digital, DigitalFarm</t>
  </si>
  <si>
    <t>https://plana.tech/en-ae/services/ai-development/ai-strategy-consulting</t>
  </si>
  <si>
    <t>AI Consulting &amp;amp; Strategy Services in Dubai &amp;amp; UAE | Plan A</t>
  </si>
  <si>
    <t>https://www.prontosys.ae/google-partner-ajman/</t>
  </si>
  <si>
    <t>Certified Google Partner In Ajman \| Prontosys</t>
  </si>
  <si>
    <t>https://www.provokemedia.com/events-awards/agencies-of-the-year/the-best-agencies-in-emea-2025/the-10-best-agencies-in-the-middle-east/gambit</t>
  </si>
  <si>
    <t>https://purealanalytics.co.uk/</t>
  </si>
  <si>
    <t>Pureal Analytics — Marketing measurement, modelled properly</t>
  </si>
  <si>
    <t>https://www.pwc.com/m1/en/tax/documents/2022/aeo-offering-uae.pdf</t>
  </si>
  <si>
    <t>EY, VML</t>
  </si>
  <si>
    <t>https://www.rankfirms.com/agency/digital-marketing-companies/uae/</t>
  </si>
  <si>
    <t>Top 10 Digital Marketing Companies in UAE | 2026 RankFirms</t>
  </si>
  <si>
    <t>https://www.reddit.com/r/AppDevelopersDubai/comments/1qy6tf9/top_10_digital_marketing_agencies_in_the_middle/#:~:text=Chain%20Reaction%20is%20a%20well,8.</t>
  </si>
  <si>
    <t>Top 10 Digital Marketing Agencies in the Middle East (2026 Updated)</t>
  </si>
  <si>
    <t>https://www.reddit.com/r/Superframeworks/comments/1twfxf1/10_best_ai_seo_geoaeo_agencies_for_2026_no/</t>
  </si>
  <si>
    <t>10 Best AI SEO (GEO/AEO) Agencies for 2026: No Self-Ranking, Verified by Clutch Reviews and Real AI-Citation Proof</t>
  </si>
  <si>
    <t>Single Grain, NoGood, iPullRank</t>
  </si>
  <si>
    <t>https://www.reuters.com/business/publicis-raises-growth-target-ai-driven-marketing-demand-stays-strong-2026-07-16/</t>
  </si>
  <si>
    <t>Publicis raises growth target as AI-driven marketing demand stays strong \| Reuters</t>
  </si>
  <si>
    <t>https://scopicstudios.com/blog/top-ai-marketing-agencies/</t>
  </si>
  <si>
    <t>10 Best AI Marketing Agencies in 2026 (Ranked &amp;amp; Reviewed)</t>
  </si>
  <si>
    <t>GCC Marketing, NoGood, Single Grain</t>
  </si>
  <si>
    <t>https://semnexus.com/best-aeo-agencies-dubai-2</t>
  </si>
  <si>
    <t>SEO Sherpa, NEXA, United SEO, intouch</t>
  </si>
  <si>
    <t>https://senvoradigital.ae/best-seo-experts-in-dubai/</t>
  </si>
  <si>
    <t>8 Best SEO Experts in Dubai: Boost Your AI &amp;amp; Search Visibility</t>
  </si>
  <si>
    <t>United SEO, SEO Sherpa</t>
  </si>
  <si>
    <t>https://www.sortlist.com/s/creative/united-arab-emirates-ae</t>
  </si>
  <si>
    <t>The 10 Best Creative Agencies in the United Arab Emirates - 2026 Reviews</t>
  </si>
  <si>
    <t>Ninja Promo, Praxis Advertising, Adapts Media</t>
  </si>
  <si>
    <t>https://www.sortlist.com/s/data-driven-marketing/dubai-ae</t>
  </si>
  <si>
    <t>The 10 Best Data Driven Marketing Agencies in Dubai - 2026 Reviews</t>
  </si>
  <si>
    <t>Momentum, M3.agency, Ninja Promo, intouch, Bird Marketing, Adapts Media</t>
  </si>
  <si>
    <t>https://www.sortlist.com/s/marketing-analytics/sharjah-ae</t>
  </si>
  <si>
    <t>Créo Global, AlCaz Media, M3.agency, Momentum, Praxis Advertising, Growth Hackers, intouch, Ninja Promo, Bird Marketing, Pixoo Media</t>
  </si>
  <si>
    <t>https://www.sortlist.com/s/performance-marketing/abu-dhabi-ae</t>
  </si>
  <si>
    <t>The 10 Best Performance Marketing Agencies in Abu Dhabi - 2026 Reviews</t>
  </si>
  <si>
    <t>LUMINA, Praxis Advertising, Push, intouch, Momentum, M3.agency</t>
  </si>
  <si>
    <t>https://sourceforge.net/software/incrementality-testing/middle-east/</t>
  </si>
  <si>
    <t>Best Incrementality Testing Tools in the Middle East of 2026 - Reviews &amp;amp; Comparison</t>
  </si>
  <si>
    <t>Measured, Sellforte, Rockerbox, Haus, Analytic Partners, Push, Tenet</t>
  </si>
  <si>
    <t>https://superbcompanies.com/categories/instagram-advertising-agencies-in-the-uae/</t>
  </si>
  <si>
    <t>Top 10 Instagram Advertising Agencies in the United Arab Emirates - Jul 2026 | Ranking | SuperbCompanies</t>
  </si>
  <si>
    <t>https://techbehemoths.com/companies/google-marketing-platform/united-arab-emirates</t>
  </si>
  <si>
    <t>Top 20+ Google Marketing Platform Companies in United Arab Emirates (2026) - TechBehemoths</t>
  </si>
  <si>
    <t>Dot IT, Adapts Media</t>
  </si>
  <si>
    <t>https://techbehemoths.com/top-companies/marketing-analytics/dubai</t>
  </si>
  <si>
    <t>Top 10 Marketing analytics Companies in Dubai - Jul 2026</t>
  </si>
  <si>
    <t>https://www.techradar.com/pro/how-to-use-an-aeo-tool-for-your-small-business</t>
  </si>
  <si>
    <t>How to use an AEO tool for your small business | TechRadar</t>
  </si>
  <si>
    <t>https://thedesigninspiration.com/news/business/top-10-digital-marketing-agencies-in-dubai-2025-ranking/</t>
  </si>
  <si>
    <t>Top 10 Digital Marketing Agencies in Dubai (2025 Ranking) - The Design Inspiration</t>
  </si>
  <si>
    <t>Push, Digital Gravity, Blue Beetle, Chain Reaction, Red Berries</t>
  </si>
  <si>
    <t>https://themanifest.com/ae/digital-marketing/agencies</t>
  </si>
  <si>
    <t>The Best Digital Marketing Companies in United Arab Emirates - Jul 2026 \| The Manifest</t>
  </si>
  <si>
    <t>YouYaa, Blue Beetle, Digital Gravity, Leads Dubai, Hovi Digital Lab, ThatWare, INSIDEA, Tenet, Bird Marketing</t>
  </si>
  <si>
    <t>https://theuaeblog.com/category/work/</t>
  </si>
  <si>
    <t>Work Archives - The UAE Blog</t>
  </si>
  <si>
    <t>Huge, Riman Agency, 4Sight Research &amp; Analytics, SEO Sherpa, Blue Beetle</t>
  </si>
  <si>
    <t>https://velmontcrest.ae/insights/aeo-uae-authorised-economic-operator-program/</t>
  </si>
  <si>
    <t>AEO Dubai: Authorised Economic Operator Guide for UAE</t>
  </si>
  <si>
    <t>https://waimhub.com/best-ai-marketing-agency-dubai-guide/</t>
  </si>
  <si>
    <t>Best AI marketing agency in Dubai</t>
  </si>
  <si>
    <t>https://ads.google.com/intl/us-EN/home/partners/work-with-a-partner/</t>
  </si>
  <si>
    <t>https://aeoagencyservices.com/Blog-Page/aeo-services-in-dubai-vetted-answer-engine-providers</t>
  </si>
  <si>
    <t>AEO Services in Dubai: 11 Vetted Answer Engine Providers - Web Of Picasso</t>
  </si>
  <si>
    <t>Omniscient Digital, Siege Media, NoGood</t>
  </si>
  <si>
    <t>https://agencies.semrush.com/list/analytics-data-science/united-arab-emirates/</t>
  </si>
  <si>
    <t>Best Data Analytics Services in United Arab Emirates 2026 | Semrush</t>
  </si>
  <si>
    <t>https://agencies.semrush.com/list/display-advertising/business-professional-services/united-arab-emirates/</t>
  </si>
  <si>
    <t>Best B2B Services Display Ads Agencies in United Arab Emirates 2026 | Semrush</t>
  </si>
  <si>
    <t>Leads Dubai, Dot IT, United SEO, Chain Reaction, DigitalFarm</t>
  </si>
  <si>
    <t>https://agencies.semrush.com/list/display-advertising/ecommerce/united-arab-emirates/</t>
  </si>
  <si>
    <t>Best Ecommerce Display Ads Agencies in United Arab Emirates 2026 | Semrush</t>
  </si>
  <si>
    <t>Leads Dubai, Dot IT, United SEO, Chain Reaction</t>
  </si>
  <si>
    <t>https://agencies.semrush.com/list/display-advertising/united-arab-emirates/enterprise-business/</t>
  </si>
  <si>
    <t>Best Display Ads Agencies for Enterprise Business in United Arab Emirates 2026 | Semrush</t>
  </si>
  <si>
    <t>https://agencies.semrush.com/list/machine-learning-and-ai/united-arab-emirates/</t>
  </si>
  <si>
    <t>Best Machine Learning and AI Services in United Arab Emirates 2026 | Semrush</t>
  </si>
  <si>
    <t>Leads Dubai, United SEO</t>
  </si>
  <si>
    <t>https://www.arfadia.com/blog/dubai-geo-agency-market-2026/</t>
  </si>
  <si>
    <t>The Dubai GEO Agency Market in 2026: What to Ask</t>
  </si>
  <si>
    <t>Chain Reaction, Tenet, Royex Technologies, Global Media Insight, Push, Digital Gravity, NEXA, Omniscient Digital, iPullRank, Measured</t>
  </si>
  <si>
    <t>https://www.astudio.agency/digital-marketing-agency/</t>
  </si>
  <si>
    <t>Luxury Digital Marketing Agency Saudi Arabia | ASTUDIO</t>
  </si>
  <si>
    <t>intouch, ASTUDIO</t>
  </si>
  <si>
    <t>https://www.bainna.ae/</t>
  </si>
  <si>
    <t>Bainna AI Solutions | AI Automation &amp;amp; AI Readiness Assessment for UAE SMEs</t>
  </si>
  <si>
    <t>https://www.bolusdigital.com/about</t>
  </si>
  <si>
    <t>About Us — Bolus Digital | Performance Marketing Team</t>
  </si>
  <si>
    <t>GroupM, WPP, intouch</t>
  </si>
  <si>
    <t>https://www.brandstory.ae/blogs/seo-company-in-dubai-top-10-list/</t>
  </si>
  <si>
    <t>Top 10 SEO Agencies in Dubai, UAE (2026) - Verified Rankings</t>
  </si>
  <si>
    <t>SEO Sherpa, United SEO, NEXA, Chain Reaction, Red Berries, Global Media Insight, intouch</t>
  </si>
  <si>
    <t>https://business.google.com/en-all/support/work-with-a-partner/</t>
  </si>
  <si>
    <t>Work with a Google Partner for a Successful Campaign – Google Ads</t>
  </si>
  <si>
    <t>New Engen, Wpromote</t>
  </si>
  <si>
    <t>https://www.c3metrics.com/c3metrics-platform</t>
  </si>
  <si>
    <t>The Attribution Data Cloud — C3 Metrics Platform</t>
  </si>
  <si>
    <t>https://campaignme.com/the-best-middle-east-creative-agencies-of-2024/</t>
  </si>
  <si>
    <t>The best Middle East creative agencies of 2024 - Campaign Middle East</t>
  </si>
  <si>
    <t>PwC, Publicis Groupe, FP7 McCann, Impact BBDO, TBWA\RAAD, Assembly MENA</t>
  </si>
  <si>
    <t>https://clutch.co/ae/agencies/digital</t>
  </si>
  <si>
    <t>Top Full-Service Digital Agencies in the United Arab Emirates - Jul 2026 Rankings | Clutch.co</t>
  </si>
  <si>
    <t>Blue Beetle, Dot IT, intouch, M3.agency, INSIDEA, Web Tonic, Digital Gravity, Prism Digital, ENH Marketing</t>
  </si>
  <si>
    <t>https://clutch.co/ae/agencies/market-research/dubai</t>
  </si>
  <si>
    <t>Top Market Research Companies in Dubai - Jul 2026 Rankings | Clutch.co</t>
  </si>
  <si>
    <t>intouch, Sapience, Kantar, M&amp;C Saatchi Performance</t>
  </si>
  <si>
    <t>https://clutch.co/ae/agencies/ppc/media-industry</t>
  </si>
  <si>
    <t>Top PPC Companies for Public Media Companies - Jul 2026 Rankings | Clutch.co</t>
  </si>
  <si>
    <t>Disruptive Advertising, intouch, Ninja Promo, New Engen</t>
  </si>
  <si>
    <t>https://colabdxb.ae/display-advertising-dubai/</t>
  </si>
  <si>
    <t>Google Display Advertising Agency in Dubai | COLAB DXB</t>
  </si>
  <si>
    <t>https://www.designrush.com/agency/ai-companies/ae</t>
  </si>
  <si>
    <t>Top AI Companies in United Arab Emirates | 2026</t>
  </si>
  <si>
    <t>https://digeesell.ae/ppc-agency-in-dubai</t>
  </si>
  <si>
    <t>#1 PPC Agency Dubai | Advertising Agency in Dubai: Digeesell</t>
  </si>
  <si>
    <t>https://www.digitalarabia.ae/top-digital-marketing-agencies-dubai</t>
  </si>
  <si>
    <t>Top 10 Digital Marketing Companies in Dubai</t>
  </si>
  <si>
    <t>Digital Arabia, NEXA, intouch</t>
  </si>
  <si>
    <t>https://www.digitalgravity.ae/services/conversion-rate-optimization-dubai/</t>
  </si>
  <si>
    <t>Conversion Rate Optimization (CRO) Agency Dubai | Digital Gravity</t>
  </si>
  <si>
    <t>https://digixvalley.com/ai-ml/best-ai-consulting-companies-dubai-uae/</t>
  </si>
  <si>
    <t>Best AI Consulting Companies in Dubai (2026) | Compare Top Firms</t>
  </si>
  <si>
    <t>https://enterprisemarketingportal.google/work-with-partners</t>
  </si>
  <si>
    <t>Work with Partners</t>
  </si>
  <si>
    <t>https://eventseeker.com/dubai/Sep-22-2026/554949397-digimarcon-middle-east-2026-digital-marketing-media-and-advertising-conference-exhibition</t>
  </si>
  <si>
    <t>https://firstpagesage.com/seo-blog/the-top-answer-engine-optimization-aeo-companies/</t>
  </si>
  <si>
    <t>The Top Answer Engine Optimization (AEO) Companies of 2026 – First Page Sage</t>
  </si>
  <si>
    <t>intouch, Omniscient Digital, iPullRank</t>
  </si>
  <si>
    <t>https://flypix.ai/geospatial-companies-in-uae/</t>
  </si>
  <si>
    <t>8 Best Geospatial Companies in UAE (2026)</t>
  </si>
  <si>
    <t>https://gcctechgroup.com/ai-seo-service-in-dubai/</t>
  </si>
  <si>
    <t>AI SEO Service in Dubai | Boost AI Search Rankings</t>
  </si>
  <si>
    <t>https://getprolinks.com/best-ai-driven-marketing-agency-in-dubai/</t>
  </si>
  <si>
    <t>https://www.globalmediainsight.com/attribution-modeling/</t>
  </si>
  <si>
    <t>Custom Attribution Modelling and Channel grouping reports | GMI</t>
  </si>
  <si>
    <t>Global Media Insight</t>
  </si>
  <si>
    <t>https://www.goodfirms.co/directory/country/top-digital-marketing-companies/ae?sort_by=matrix</t>
  </si>
  <si>
    <t>WebFX, intouch, Leads Dubai, Prism Digital, Digital Gravity</t>
  </si>
  <si>
    <t>https://www.goodfirms.co/directory/country/top-digital-marketing-companies/ae?sort_by=reviews</t>
  </si>
  <si>
    <t>Royex Technologies, WebFX, Prism Digital, Digital Gravity</t>
  </si>
  <si>
    <t>https://www.google.com/intl/ar/ads/publisher/partners/find-a-partner/</t>
  </si>
  <si>
    <t>البحث عن شريك للناشرين</t>
  </si>
  <si>
    <t>https://hawkemedia.com/insights/top-performance-marketing-agencies/</t>
  </si>
  <si>
    <t>Top 25 Performance Marketing Agencies In The U.S. 2026 | Hawke Media</t>
  </si>
  <si>
    <t>Tinuiti, Wpromote, Power Digital, WebFX, Measured, Disruptive Advertising, NP Digital, New Engen, NoGood, VML, Monks, Merkle, Siege Media</t>
  </si>
  <si>
    <t>https://heroiks.com/mena/</t>
  </si>
  <si>
    <t>Heroiks MENA | Data-Led Growth Strategy &amp;amp; Performance Media</t>
  </si>
  <si>
    <t>https://www.hikmahaiagency.com/blog/how-to-track-marketing-roi-dubai-2026</t>
  </si>
  <si>
    <t>How to Track Marketing ROI in Dubai 2026</t>
  </si>
  <si>
    <t>https://hillsadvertising.com/</t>
  </si>
  <si>
    <t>Outdoor Advertising Dubai UAE Outdoor Advertising - Outdoor Advertising Dubai - Outdoor Media - Dubai Outdoor Advertising - Outdoor Media Dubai - Outdoor Advertising Dubai UAE | OOH Out Of Home Advertising | Hills Advertising is the leading Outdoor Advertising Company in Dubai | Out-of-Home DOOH | Outdoor Advertising | Digital Out-of-Home DOOH | Outdoor Advertising | Hoarding Advertising | Outdoor Billboard | Outdoor Advertising | Outdoor Media | leading Outdoor Advertising in MENA Dubai | Outdoor Advertising | UAE Hills Advertising Dubai Outdoor &amp;amp; billboards, lamp post and LED advertising. Out-of-home media advertising available at premium locations in Dubai, UAE. , Media Advertising is one of the country's finest outdoor advertising companies. Headquartered in Sheikh Zayed Road , Dubai ,UAE , Unipoles Mupis Lamposts Wall Units Hoardings Bridges Others , Unipoles ,Mupis ,Lamposts ,Wall ,Units ,Hoardings ,Bridges ,Others</t>
  </si>
  <si>
    <t>https://www.hostino.ae/seo-agency-uae/</t>
  </si>
  <si>
    <t>SEO Agency UAE | Arabic SEO &amp;amp; AI Visibility Experts</t>
  </si>
  <si>
    <t>intouch, Momentum</t>
  </si>
  <si>
    <t>https://www.housesofgrowth.com/post/marketing-agencies-in-dubai</t>
  </si>
  <si>
    <t>10 Best Marketing Agencies in Dubai in 2026 [Reviewed]</t>
  </si>
  <si>
    <t>House of Growth, Digital Gravity</t>
  </si>
  <si>
    <t>https://ichelonconsulting.com/aeo-agency-uae</t>
  </si>
  <si>
    <t>Best AEO Agency in the UAE · Healthcare-Only · ICG</t>
  </si>
  <si>
    <t>https://www.incremental.com/</t>
  </si>
  <si>
    <t>Incremental | Causal Intelligence for Commerce Media</t>
  </si>
  <si>
    <t>https://www.innovatedigital.ae/</t>
  </si>
  <si>
    <t>Digital Marketing Agency Dubai | 200+ UAE Clients | Free Audit</t>
  </si>
  <si>
    <t>https://klic.ae/9-digital-marketing-agencies-dubai-2026/</t>
  </si>
  <si>
    <t>Top 9 Best Digital Marketing Agencies in Dubai for 2026.</t>
  </si>
  <si>
    <t>NoGood, Prism Digital, United SEO, NEXA, Momentum, Measured</t>
  </si>
  <si>
    <t>https://lengreo.com/ar/top-answer-engine-optimization-aeo-agencies-for-uae-businesses-in-2025/</t>
  </si>
  <si>
    <t>أفضل 10 شركات متخصصة في تحسين محركات البحث (AEO) في الإمارات العربية المتحدة (2026)</t>
  </si>
  <si>
    <t>https://liftlab.com/platform/incrementality-testing-engine/</t>
  </si>
  <si>
    <t>Incrementality Testing &amp;amp; GEO Experimentation Platform | LiftLab</t>
  </si>
  <si>
    <t>https://liftlab.com/solutions/incrementality-testing/</t>
  </si>
  <si>
    <t>Incrementality Testing &amp;amp; MMM Calibration | LiftLab</t>
  </si>
  <si>
    <t>https://www.mediaroi.io/en</t>
  </si>
  <si>
    <t>mediaROI — The AI for Marketing Measurement</t>
  </si>
  <si>
    <t>https://www.monks.com/google-partnership</t>
  </si>
  <si>
    <t>Google-Certified Partner Agency | GMP, Google Cloud, and Media</t>
  </si>
  <si>
    <t>intouch, Monks</t>
  </si>
  <si>
    <t>https://www.morismedia.in/dubais-top-analytics-and-data-agency-in-dubai-ajman-united-arab-emirates</t>
  </si>
  <si>
    <t>Top 10 Analytics &amp;amp; Data Agencies in Dubai 2026 | Best Firms &amp;amp; Services</t>
  </si>
  <si>
    <t>https://music.amazon.in/podcasts/ab0c6775-0756-4b4a-9584-c0818438a009/episodes/48290346-a1af-4264-a808-6eaa2ac56efd/how-to-rank-in-ai-%E2%80%94-sqseo-podcast-what-are-the-best-generative-engine-optimization-geo-agencies-in-united-arab-emirates</t>
  </si>
  <si>
    <t>https://newengen.com/services/measurement/</t>
  </si>
  <si>
    <t>Marketing Measurement &amp;amp; Attribution Services</t>
  </si>
  <si>
    <t>https://ninjapromo.io/best-digital-marketing-agencies-in-dubai</t>
  </si>
  <si>
    <t>10 Best Digital Marketing Agencies in Dubai, UAE for 2026</t>
  </si>
  <si>
    <t>Ninja Promo, Digital Gravity, Chain Reaction, Publicis Groupe, Momentum</t>
  </si>
  <si>
    <t>https://nucleusmedia.ae/blog/the-best-digital-marketing-agencies-in-uae-2025-the-ultimate-list/#:~:text=The%20UAE%2Dbased%20brand%20looking,and%20analytics%20for%20their%20operations.</t>
  </si>
  <si>
    <t>Top Digital Marketing Agencies in UAE 2025 | Ultimate List</t>
  </si>
  <si>
    <t>NEXA, Incubeta</t>
  </si>
  <si>
    <t>https://nucleusmedia.ae/service/performance-marketing-uae/</t>
  </si>
  <si>
    <t>Performance Marketing Agency Dubai | Google Ads &amp;amp; Paid Social</t>
  </si>
  <si>
    <t>https://onelittleweb.com/top-agencies/top-performance-marketing-agencies/</t>
  </si>
  <si>
    <t>Top Performance Marketing Agencies 2026 – Ranked &amp;amp; Reviewed</t>
  </si>
  <si>
    <t>WebFX, Disruptive Advertising, Tenet</t>
  </si>
  <si>
    <t>https://www.reach360.ae/</t>
  </si>
  <si>
    <t>Reach360 - AEO &amp;amp; AI Search Optimization Specialists in Dubai</t>
  </si>
  <si>
    <t>https://www.reddit.com/r/agency/comments/1ok212i/performance_marketing_incrementality/</t>
  </si>
  <si>
    <t>Performance Marketing Incrementality</t>
  </si>
  <si>
    <t>https://revclickmarketing.com/services/incrementality-testing-mmm/</t>
  </si>
  <si>
    <t>https://rifoa.com/ai-consulting-uae</t>
  </si>
  <si>
    <t>Deploy AI Agents for UAE Enterprises | Rifoa Technologies</t>
  </si>
  <si>
    <t>https://search.agency/</t>
  </si>
  <si>
    <t>Search Agency: The AI Search, GEO, AEO &amp;amp; SEO Agency</t>
  </si>
  <si>
    <t>https://www.semabrands.com/ai-digital-marketing-services/ai-seo/#:~:text=At%20SEMA%20Brands%2C%20a%20leading%20GEO%20agency,your%20brand%20at%20the%20forefront%20of%20search.</t>
  </si>
  <si>
    <t>GEO Agency in Dubai | AI-Powered SEO</t>
  </si>
  <si>
    <t>https://seoprofy.com/blog/generative-engine-optimization-agencies/</t>
  </si>
  <si>
    <t>TOP 13 Generative Engine Optimization (GEO) Agencies in 2026</t>
  </si>
  <si>
    <t>Omniscient Digital, Siege Media, NoGood, INSIDEA, WebFX, iPullRank, Measured</t>
  </si>
  <si>
    <t>https://sixthfactor.com/#:~:text=Behavioral%20Economics%20Expertise,profitable%20component%20of%20Market%20Research.</t>
  </si>
  <si>
    <t>Market Research Company Dubai, UAE | Consumer Insights Agency | SixthFactor</t>
  </si>
  <si>
    <t>https://www.skmcglobal.com/blog/aeo-registration-in-uae</t>
  </si>
  <si>
    <t>AEO License Registration Consultant in UAE - SKMC Global</t>
  </si>
  <si>
    <t>https://www.stackwise.site/blog/best-ai-consulting-firms-business-process-automation-uae</t>
  </si>
  <si>
    <t>Best AI Consulting Firms in UAE (2026 Guide) | StackWise</t>
  </si>
  <si>
    <t>https://superbcompanies.com/categories/digital-marketing-companies-in-the-uae/</t>
  </si>
  <si>
    <t>Top 100 Digital Marketing Companies in the United Arab Emirates - Jul 2026 | Ranking | SuperbCompanies</t>
  </si>
  <si>
    <t>Bird Marketing, Dot IT, YouYaa, Digital Gravity, Prism Digital</t>
  </si>
  <si>
    <t>https://techhive.ae/digital-marketing-in-dubai/</t>
  </si>
  <si>
    <t>Digital Marketing Services in Dubai | Tech Hive AE</t>
  </si>
  <si>
    <t>https://www.techradar.com/pro/agentic-search-optimization-reshapes-brand-visibility-in-ai-search</t>
  </si>
  <si>
    <t>Agentic Search Optimization reshapes brand visibility in AI search | TechRadar</t>
  </si>
  <si>
    <t>https://thatware.co/top-10-aeo-companies-in-gulf-gcc/</t>
  </si>
  <si>
    <t>Top AEO Companies in Gulf GCC | 10 Best Gulf GCC AEO Firms</t>
  </si>
  <si>
    <t>ThatWare, SEO Sherpa, Digital Gravity, United SEO, GCC Marketing, Chain Reaction, Bird Marketing, Prism Digital</t>
  </si>
  <si>
    <t>https://thebuzihub.com/page/48/ai-marketing-solutions-uae</t>
  </si>
  <si>
    <t>AI Marketing Solutions UAE | TheBuzihub</t>
  </si>
  <si>
    <t>TheBuzihub, GCC Marketing, Momentum</t>
  </si>
  <si>
    <t>https://tidal.digital/</t>
  </si>
  <si>
    <t>TIDAL | Brand-Led Performance Marketing Agency | Dubai</t>
  </si>
  <si>
    <t>TIDAL Digital, Huge</t>
  </si>
  <si>
    <t>https://tidal.digital/what-we-do/conversion-rate-optimisation-agency/</t>
  </si>
  <si>
    <t>Conversion Rate Optimisation (CRO) Agency | TIDAL Digital</t>
  </si>
  <si>
    <t>TIDAL Digital</t>
  </si>
  <si>
    <t>https://www.trefon.com/</t>
  </si>
  <si>
    <t>AI Consulting That Actually Ships | Trefon Digital Consulting</t>
  </si>
  <si>
    <t>https://tudoopiq.com/geo-agency-dubai/</t>
  </si>
  <si>
    <t>Best GEO Agency In Dubai | AI SEO Specialist | AI Search Visibility</t>
  </si>
  <si>
    <t>https://upscale-digital.com/blog/top-digital-marketing-agencies-in-dubai/#:~:text=%E2%9C%85%20Why%20choose%20them%3A%20Best%20for%20large%2Dscale%2C,Known%20for%20technical%20depth%20and%20ROI%2Dfocused%20execution.</t>
  </si>
  <si>
    <t>Top 20 Digital Marketing Agencies in Dubai | Upscale Digital</t>
  </si>
  <si>
    <t>Upscale Digital, Growth Hackers, Digital Arabia, Blue Beetle, NEXA, ASTUDIO, Chain Reaction, United SEO, Red Berries, Momentum, Measured, intouch</t>
  </si>
  <si>
    <t>https://vimdrive.com/</t>
  </si>
  <si>
    <t>VIMDRIVE — AI Marketing Agency Dubai | The Middle East's AI Marketing Engine</t>
  </si>
  <si>
    <t>https://webperts.com/blog/top-digital-marketing-agencies-in-dubai#:~:text=Published%20benchmarks%20include%20a%204.2x%20average%20ROAS,an%20initial%2090%2Dday%20period%20no%20long%20lock%2Dins.</t>
  </si>
  <si>
    <t>Top Digital Marketing Agencies in Dubai (2026 Guide) | Webperts</t>
  </si>
  <si>
    <t>Global Media Insight, NEXA, Prism Digital, SEO Sherpa, United SEO, Bird Marketing</t>
  </si>
  <si>
    <t>https://www.webtonic.io/blog/best-advertising-companies-dubai#:~:text=The%20agency%20delivers%20campaigns%20that%20are%20not,Pepsi%2C%20UAE%20Government%20Media%20Office%2C%20UN%20Women.</t>
  </si>
  <si>
    <t>The49 Best Advertising Companies in Dubai as of 2026</t>
  </si>
  <si>
    <t>Web Tonic, FP7 McCann, Impact BBDO, TBWA\RAAD, Memac Ogilvy, VML, WPP, KPMG, Serviceplan Middle East, Dentsu, Merkle, Prism Digital, NEXA, Chain Reaction, EDS FZCO, SEO Sherpa, Red Berries, PwC, Global Media Insight, ASTUDIO, Digital Gravity, inBeat, Leads Dubai, Bird Marketing, intouch</t>
  </si>
  <si>
    <t>https://wittwise.com/</t>
  </si>
  <si>
    <t>Wittwise | AI-Powered Marketing Agency Dubai</t>
  </si>
  <si>
    <t>https://ycp.com/lp/uae-ai-consultant</t>
  </si>
  <si>
    <t>United Arab Emirates Artificial Intelligence Consultant</t>
  </si>
  <si>
    <t>https://www.youtube.com/watch?v=PYot-krI4rA</t>
  </si>
  <si>
    <t>Best 15 AI-Powered Digital Marketing Services in UAE | Grow Your Business Faster with AI</t>
  </si>
  <si>
    <t>https://www.10seos.com/ae/display-advertising-companies-in-dubai-uae?page=2</t>
  </si>
  <si>
    <t>https://www.2pointagency.com/glossary/data-activation-and-first-party-data-strategy-a-comprehensive-guide-for-businesses/</t>
  </si>
  <si>
    <t>Data Activation and First-Party Data Strategy: A Comprehensive Guide for Businesses - 2POINT Agency - Best Digital Marketing Agency</t>
  </si>
  <si>
    <t>https://www.3rdscreendigital.com/blog/best-performance-marketing-agency-dubai-uae</t>
  </si>
  <si>
    <t>3rd Screen Digital | Best Digital Marketing Agency Dubai &amp;amp; Lebanon | SEO, GEO, PPC</t>
  </si>
  <si>
    <t>https://aakashpareek.in/google-partner-dubai/</t>
  </si>
  <si>
    <t>Certified Google Partner Dubai | Google Ads Expert UAE</t>
  </si>
  <si>
    <t>https://admoon.agency/</t>
  </si>
  <si>
    <t>Top Google Ads agency Dubai | Google AdWords certified company UAE | Google Ads services in Dubai | Best Adwords partner GCC</t>
  </si>
  <si>
    <t>https://aeoengine.ai/services/generative-engine-optimization</t>
  </si>
  <si>
    <t>Generative Engine Optimization Services | GEO Agency</t>
  </si>
  <si>
    <t>iPullRank, NoGood</t>
  </si>
  <si>
    <t>https://aimenalabs.com/</t>
  </si>
  <si>
    <t>AIMenaLabs | AI SEO, GEO &amp;amp; AEO Agency Dubai</t>
  </si>
  <si>
    <t>https://aisuperior.com/geospatial-companies-in-uae/</t>
  </si>
  <si>
    <t>Top Geospatial Companies in UAE Providing Advanced Solutions</t>
  </si>
  <si>
    <t>https://al-bahr-growth-advisory.com/en/services/digital-marketing-services-uae/</t>
  </si>
  <si>
    <t>Digital Marketing Services UAE | Digital Marketing Agency in Dubai</t>
  </si>
  <si>
    <t>https://www.alcazmedia.ae/services/marketing-analytics-agency</t>
  </si>
  <si>
    <t>Data Analytics Consulting Services Dubai \| Accurate ROI Data</t>
  </si>
  <si>
    <t>AlCaz Media</t>
  </si>
  <si>
    <t>https://www.aoyawardsme.com/results-2025</t>
  </si>
  <si>
    <t>Results PAGE 2025 - Campaigns Middle East Agency Awards</t>
  </si>
  <si>
    <t>Impact BBDO, FP7 McCann, Momentum, TBWA\RAAD, Assembly MENA, Publicis Groupe, Measured, NEXA, OMD, Home of Performance, WPP, Push, Leo Burnett MENA</t>
  </si>
  <si>
    <t>https://www.apptunix.com/blog/best-digital-marketing-companies-in-dubai/</t>
  </si>
  <si>
    <t>Best Digital Marketing Companies in Dubai (2026)</t>
  </si>
  <si>
    <t>NEXA, Digital Gravity, EDS FZCO, United SEO, Prism Digital, Chain Reaction, Global Media Insight, intouch</t>
  </si>
  <si>
    <t>https://ardantisglobal.com/</t>
  </si>
  <si>
    <t>Ardantis Global Consulting LLC-FZ — UAE-Headquartered Consultancy</t>
  </si>
  <si>
    <t>https://www.artefact.com/offers/marketing-data-driven/gmp-certified-reseller/</t>
  </si>
  <si>
    <t>We are a GMP Certified Reseller - Artefact</t>
  </si>
  <si>
    <t>Artefact</t>
  </si>
  <si>
    <t>https://www.artifactinnovations.com/</t>
  </si>
  <si>
    <t>AI Adoption &amp;amp; Agentic AI Consulting | Artifact Innovations</t>
  </si>
  <si>
    <t>https://www.artifactinnovations.com/ai-consulting-dubai</t>
  </si>
  <si>
    <t>AI Consulting Company in Dubai | Artifact Innovations | Artifact Innovations - AI Consulting</t>
  </si>
  <si>
    <t>https://augencia.com/</t>
  </si>
  <si>
    <t>Top AI Automation &amp;amp; Growth Agency (2026) | Augencia</t>
  </si>
  <si>
    <t>NoGood, Single Grain, Monks</t>
  </si>
  <si>
    <t>https://www.bicommunications.ae/blog/best-instagram-marketing-agencies-dubai/#:~:text=Nexa%20(Digital%20Nexa)%20%E2%80%94%20Full%2DService%20Digital%20Marketing,social%20advertising%2C%20influencer%2Ddriven%20campaigns%2C%20and%20community%20management.</t>
  </si>
  <si>
    <t>Best Instagram Marketing Agencies in Dubai 2026 (Expert Picks)</t>
  </si>
  <si>
    <t>NEXA, Prism Digital, Bird Marketing, Ninja Promo, Adapts Media, Chain Reaction, inBeat, AlCaz Media, intouch</t>
  </si>
  <si>
    <t>https://bird.ae/b2b/</t>
  </si>
  <si>
    <t>B2B Digital Marketing Agency UAE - Bird Marketing</t>
  </si>
  <si>
    <t>https://bird.ae/ppc/display/#:~:text=At%20Bird%2C%20we%20specialise%20in%20delivering%20end%2Dto%2Dend,the%20right%20audience%20at%20the%20optimal%20time.</t>
  </si>
  <si>
    <t>Display Ads UAE - Bird Marketing</t>
  </si>
  <si>
    <t>https://boostmylocalbusiness.ai/ai-digital-marketing/digital-marketing-services</t>
  </si>
  <si>
    <t>Digital Marketing Services in Dubai | Boost My Business</t>
  </si>
  <si>
    <t>https://www.brandmeadv.com/</t>
  </si>
  <si>
    <t>Advertising Company in Dubai | Indoor and Outdoor Advertising</t>
  </si>
  <si>
    <t>https://www.brandstory.ae/industries/b2b-performance-marketing-agency-in-dubai-uae/</t>
  </si>
  <si>
    <t>B2B Performance Marketing Agency in Dubai, UAE | Drive ROI</t>
  </si>
  <si>
    <t>Leads Dubai, Momentum, Measured, intouch</t>
  </si>
  <si>
    <t>https://www.brandstory.ae/industries/education-performance-marketing-agency-in-dubai-uae/</t>
  </si>
  <si>
    <t>Education Performance Marketing Agency in Dubai, UAE | ROI-Driven Enrollment Growth</t>
  </si>
  <si>
    <t>https://www.brandstory.ae/marketing-performance-reporting-dubai/</t>
  </si>
  <si>
    <t>Marketing Performance Reporting Services in Dubai: Advanced Analytics Solutions</t>
  </si>
  <si>
    <t>https://brentonway.com/blog/top-performance-marketing-agencies</t>
  </si>
  <si>
    <t>Top 25 Performance Marketing Agencies in 2026 | Brenton Way</t>
  </si>
  <si>
    <t>Push, NoGood, inBeat, Disruptive Advertising, Directive, Power Digital</t>
  </si>
  <si>
    <t>https://business.google.com/en-all/support/become-a-partner/</t>
  </si>
  <si>
    <t>Google Partners Programme: Become a Partner – Google Ads</t>
  </si>
  <si>
    <t>New Engen, Merkle</t>
  </si>
  <si>
    <t>https://business.google.com/uk/think/measurement/incrementality-testing/</t>
  </si>
  <si>
    <t>https://business.google.com/us/support/work-with-a-partner/</t>
  </si>
  <si>
    <t>Get a Google Partner for a Successful Ad Campaign - Google Ads</t>
  </si>
  <si>
    <t>https://www.businessinsider.com/top-geo-tips-ai-search-google-microsoft-perplexity-2025-12</t>
  </si>
  <si>
    <t>Top GEO Tips for AI Search From Google, Microsoft, Perplexity - Business Insider</t>
  </si>
  <si>
    <t>intouch, WPP</t>
  </si>
  <si>
    <t>https://www.businessofapps.com/marketplace/performance-marketing/</t>
  </si>
  <si>
    <t>Top Performance Marketing Agencies (2026) - Business of Apps</t>
  </si>
  <si>
    <t>Push, intouch, Measured, Incubeta, Directive</t>
  </si>
  <si>
    <t>https://campaignme.com/call-for-listings-in-campaigns-creative-media-agency-guide-and-map-2026/</t>
  </si>
  <si>
    <t>Call for listings in Campaign’s Creative &amp;amp; Media Agency Guide and Map 2026 - Campaign Middle East</t>
  </si>
  <si>
    <t>https://www.chainreaction.ae/our-services/training-consultancy/</t>
  </si>
  <si>
    <t>Digital Marketing Training &amp;amp; Consultancy | Chain Reaction</t>
  </si>
  <si>
    <t>https://www.clickpost.ai/blog/logistics-companies-in-uae#:~:text=FedEx%20operates%20one%20of%20the,%2C%20Abu%20Dhabi%2C%20and%20Sharjah.</t>
  </si>
  <si>
    <t>14 Top Logistics Companies in UAE (2026): Dubai's Best 3PL &amp;amp; Supply Chain Providers</t>
  </si>
  <si>
    <t>https://clicksgeek.com/marketing-attribution-tracking-services/</t>
  </si>
  <si>
    <t>9 Best Marketing Attribution Tracking Services 2026</t>
  </si>
  <si>
    <t>Measured, Northbeam, Rockerbox</t>
  </si>
  <si>
    <t>https://cornerstonecontent.com/best-generative-engine-optimization-geo-agencies/</t>
  </si>
  <si>
    <t>Top GEO Agencies (2026): Generative Engine Optimization Cornerstone Content</t>
  </si>
  <si>
    <t>Omniscient Digital, Measured</t>
  </si>
  <si>
    <t>https://creativemediahouse.ae/top-ranked-digital-marketing-companies-in-abu-dhabi/</t>
  </si>
  <si>
    <t>Top Digital Marketing Agency Abu Dhabi | Creative Media House</t>
  </si>
  <si>
    <t>intouch, DigitalFarm, Push, Integrate Solutions, Measured, Huge</t>
  </si>
  <si>
    <t>https://daleel-ai.com/</t>
  </si>
  <si>
    <t>https://www.darkroomagency.com/observatory/best-performance-marketing-agencies-in-2026#:~:text=Their%20service%20positioning%20spans%20SEO%2C%20PPC%2C%20social,a%20traditional%20agency%20in%20the%20classic%20sense.</t>
  </si>
  <si>
    <t>Best Performance Marketing Agencies for Ecommerce in 2026</t>
  </si>
  <si>
    <t>Darkroom, Tinuiti, Wpromote, Power Digital, Common Thread Collective, Disruptive Advertising, WebFX, Measured</t>
  </si>
  <si>
    <t>https://www.darkroomagency.com/observatory/the-12-top-rated-paid-media-agencies-this-year</t>
  </si>
  <si>
    <t>Top-Rated Paid Media Agencies for Scalable Growth</t>
  </si>
  <si>
    <t>Darkroom, Tinuiti, NoGood, Power Digital, Disruptive Advertising, Wpromote, Directive, inBeat</t>
  </si>
  <si>
    <t>https://www.dataterminal.co/about/blogs/ai-seo-companies-dubai-2026</t>
  </si>
  <si>
    <t>DataTerminal - AI-Powered Traffic Data Analytics &amp;amp; Solutions</t>
  </si>
  <si>
    <t>https://www.deducive.com/</t>
  </si>
  <si>
    <t>Deducive - Decision-Grade Marketing Measurement</t>
  </si>
  <si>
    <t>https://www.deloitte.com/middle-east/en/services/consulting/services/ai-readiness-middle-east.html</t>
  </si>
  <si>
    <t>AI Readiness in the Middle East | Deloitte Middle East</t>
  </si>
  <si>
    <t>https://digital-agency.ae/analytics</t>
  </si>
  <si>
    <t>https://www.digitalarabia.ae/top-performance-marketing-companies-dubai#:~:text=Bird%20Marketing's%20data%2Ddriven%20approach%20to%20PPC%20and,designed%20around%20results%20rather%20than%20vanity%20metrics.</t>
  </si>
  <si>
    <t>Top 10 Performance Marketing Companies in Dubai (2026)</t>
  </si>
  <si>
    <t>Digital Arabia, NEXA, Chain Reaction, Prism Digital, Digital Gravity, United SEO, Web Tonic, Bird Marketing, Integrate Solutions, intouch</t>
  </si>
  <si>
    <t>https://digitalmediasapiens.com/top-10-digital-marketing-agencies-in-dubai/</t>
  </si>
  <si>
    <t>Top 10 Digital Marketing Agencies in Dubai - Digital Media Sapiens</t>
  </si>
  <si>
    <t>Digital Media Sapiens, NEXA, Bruce Clay MENA, Blue Beetle, Chain Reaction</t>
  </si>
  <si>
    <t>https://digitalmediasapiens.com/top-15-digital-marketing-agencies-in-dubai-your-ultimate-guide-to-finding-the-right-partner/</t>
  </si>
  <si>
    <t>Top 15 Digital Marketing Agencies in Dubai: Your Ultimate Guide to Finding the Right Partner - Digital Media Sapiens</t>
  </si>
  <si>
    <t>Digital Media Sapiens, NEXA, Chain Reaction, Momentum, Global Media Insight, Red Berries</t>
  </si>
  <si>
    <t>https://digitaloasisae.com/advertising-agencies-in-dubai-media-city/</t>
  </si>
  <si>
    <t>Top 10 Advertising Agencies in Dubai Media City 2025</t>
  </si>
  <si>
    <t>intouch, Memac Ogilvy, TBWA\RAAD, Impact BBDO, FP7 McCann, Dentsu, EDS FZCO, Red Berries, Push, PwC</t>
  </si>
  <si>
    <t>https://directiveconsulting.com/blog/top-performance-marketing-agencies/</t>
  </si>
  <si>
    <t>18 Best Performance Marketing Agencies For B2B - Directive</t>
  </si>
  <si>
    <t>Directive, NoGood, Common Thread Collective, Wpromote, Darkroom, inBeat, Single Grain, Omniscient Digital, Measured</t>
  </si>
  <si>
    <t>https://www.drivix.io/</t>
  </si>
  <si>
    <t>Digital Marketing Agency Dubai | Google &amp;amp; Meta Partner | Drivix</t>
  </si>
  <si>
    <t>https://dss-ai.com/what-uae-industries-need-from-a-digital-marketing-agency-to-stay-competitive-in-2026/</t>
  </si>
  <si>
    <t>Digital Marketing Agency in UAE: 2026 Industry Trends</t>
  </si>
  <si>
    <t>https://dynamictech.ae/digital-marketing-agency-abu-dhabi/</t>
  </si>
  <si>
    <t>Best Digital Marketing Agency in Abu Dhabi | SEO &amp;amp; Social Media Experts</t>
  </si>
  <si>
    <t>https://e-cens.com/solutions/google-marketing-platform/#:~:text=The%20Google%20Marketing%20Platform%20(GMP)%20provides%20marketers,laptop.%20google_analytics.%20Google%20Analytics%20360.%20Google%20Analytics</t>
  </si>
  <si>
    <t>Google Marketing Solution Services | Google Platform Products | E-CENS</t>
  </si>
  <si>
    <t>https://easyinsights.ai/blog/first-party-data-activation-platforms/</t>
  </si>
  <si>
    <t>First-Party Data Activation Platforms</t>
  </si>
  <si>
    <t>https://www.eightysixmedia.ae/</t>
  </si>
  <si>
    <t>Digital Marketing Agency in Abu Dhabi, UAE | Digital Marketing</t>
  </si>
  <si>
    <t>https://emblixsolutions.ae/google-ads-services-agency-in-dubai/</t>
  </si>
  <si>
    <t>Google Ads Agency in Dubai</t>
  </si>
  <si>
    <t>https://www.emotedigital.ae/digital-marketing-agency-dubai/google-partner/</t>
  </si>
  <si>
    <t>https://www.fieldtrip.agency/post/top-geo-agencies</t>
  </si>
  <si>
    <t>Top Generative Engine Optimization (GEO) Agencies for Brands in AI Search</t>
  </si>
  <si>
    <t>Siege Media, WebFX, iPullRank, NP Digital, Omniscient Digital, Measured, intouch, inBeat</t>
  </si>
  <si>
    <t>https://forbesberry.com/</t>
  </si>
  <si>
    <t>ForbesBerry AI Research &amp;amp; Consulting Excellence</t>
  </si>
  <si>
    <t>https://www.ft.com/content/ac672f97-a603-4c56-afa3-4a5273d45674</t>
  </si>
  <si>
    <t>Subscribe to read</t>
  </si>
  <si>
    <t>https://fusepointinsights.com/service/incrementality-experiments/</t>
  </si>
  <si>
    <t>Incrementality Experiments for Marketing Measurement | fusepoint</t>
  </si>
  <si>
    <t>https://geoq.ai/</t>
  </si>
  <si>
    <t>Generative Engine Optimization (GEO) and AI SEO | GEOQ</t>
  </si>
  <si>
    <t>https://getrecast.com/experimentation/</t>
  </si>
  <si>
    <t>Experimentation - Recast</t>
  </si>
  <si>
    <t>https://www.globalmediainsight.com/ai-seo-services/</t>
  </si>
  <si>
    <t>AI SEO Agency &amp;amp; LLM Optimization Services in Dubai, UAE</t>
  </si>
  <si>
    <t>https://www.globalmediainsight.com/generative-engine-optimization-services/</t>
  </si>
  <si>
    <t>Generative Engine Optimization (GEO) Services in Dubai</t>
  </si>
  <si>
    <t>https://www.globalmediainsight.com/geo-targeting-seo/#:~:text=When%20a%20person%20searches%20online%20for%20a,the%20value%20and%20benefits%20of%20geo%2Dtargeted%20SEO.</t>
  </si>
  <si>
    <t>Geo Targeting SEO Services Dubai, UAE | GMI</t>
  </si>
  <si>
    <t>https://www.goodfirms.co/advertising-companies/creative/dubai</t>
  </si>
  <si>
    <t>Top Creative Agencies in Dubai - 2026 Reviews | Goodfirms</t>
  </si>
  <si>
    <t>Prism Digital, Digital Gravity, Momentum, ASTUDIO, Almost Impossible, Monks, Push, Leads Dubai, Global Media Insight</t>
  </si>
  <si>
    <t>https://www.goodfirms.co/directory/country/top-digital-marketing-companies/social-media-marketing/uae</t>
  </si>
  <si>
    <t>Top Social Media Marketing Companies in UAE - 2026 Reviews | Goodfirms</t>
  </si>
  <si>
    <t>WebFX, intouch, Prism Digital, Digital Gravity, Pixoo Media</t>
  </si>
  <si>
    <t>https://www.google.com/ads/publisher/partners/work-with-a-partner/</t>
  </si>
  <si>
    <t>https://govanator.com/best-social-media-marketing-services-in-dubai/</t>
  </si>
  <si>
    <t>Best Social Media Marketing Services in Dubai</t>
  </si>
  <si>
    <t>Web Tonic, inBeat, ASTUDIO, Prism Digital, DigitalFarm, Chain Reaction, Digital Gravity, NEXA, intouch</t>
  </si>
  <si>
    <t>https://www.gravitybase.ai/services/ai-and-ml-consulting/</t>
  </si>
  <si>
    <t>AI &amp;amp; ML Consulting Services Dubai - Gravity Base</t>
  </si>
  <si>
    <t>intouch, Digital Gravity</t>
  </si>
  <si>
    <t>https://www.growthspreeofficial.com/blogs/top-6-ai-powered-b2b-saas-marketing-agencies-in-the-united-states-2026</t>
  </si>
  <si>
    <t>Top 6 AI-Powered B2B SaaS Marketing Agencies USA 2026</t>
  </si>
  <si>
    <t>GrowthSpree, Measured</t>
  </si>
  <si>
    <t>https://www.hemodata.me/ai-consultancy-and-readiness/</t>
  </si>
  <si>
    <t>AI Consultancy &amp;amp; Readiness for the GCC - Hemodata - Data. Problems. Solved.</t>
  </si>
  <si>
    <t>https://hikemytraffic.com/ppc-agencies-in-uae/#:~:text=and%20service%20approaches%3A-,Agency,Enh%20Media</t>
  </si>
  <si>
    <t>Top 10 PPC Agencies in UAE for Maximum ROI (2026)</t>
  </si>
  <si>
    <t>https://www.houbaracomms.agency/</t>
  </si>
  <si>
    <t>Houbara Communications</t>
  </si>
  <si>
    <t>https://www.housesofgrowth.com/post/aeo-agency</t>
  </si>
  <si>
    <t>Top 10 AEO Agencies in 2026 [In Depth Review]</t>
  </si>
  <si>
    <t>House of Growth, iPullRank, WebFX, NoGood, Siege Media</t>
  </si>
  <si>
    <t>https://impactbbdo.com/about/</t>
  </si>
  <si>
    <t>About Us – IMPACT BBDO</t>
  </si>
  <si>
    <t>https://inbeat.agency/blog/top-content-creation-agencies-dubai</t>
  </si>
  <si>
    <t>https://www.incrmntal.com/solutions/agencies</t>
  </si>
  <si>
    <t>Marketing measurement solution for Agencies</t>
  </si>
  <si>
    <t>https://incubeta.com/</t>
  </si>
  <si>
    <t>OWN</t>
  </si>
  <si>
    <t>Outperform Marketing With Incubeta Marketing Solutions</t>
  </si>
  <si>
    <t>Incubeta, intouch</t>
  </si>
  <si>
    <t>https://www.ipsos.com/en-ae/abg-appoints-ipsos-partner-uae-cross-media-measurement-project</t>
  </si>
  <si>
    <t>ABG Appoints Ipsos as Partner for the UAE Cross Media Measurement Project | Ipsos</t>
  </si>
  <si>
    <t>https://www.itpro.com/business/business-strategy/ai-projects-are-stalling-at-mid-market-firms-google-cloud-and-accenture-want-to-solve-that</t>
  </si>
  <si>
    <t>AI projects are stalling at mid-market firms – Google Cloud and Accenture want to solve that | IT Pro</t>
  </si>
  <si>
    <t>https://www.itpro.com/business/marketing-and-comms/will-a-generative-engine-optimization-manager-be-your-next-big-hire</t>
  </si>
  <si>
    <t>Will a GEO manager be your next big hire? | IT Pro</t>
  </si>
  <si>
    <t>https://www.itsaimarketing.com/</t>
  </si>
  <si>
    <t>ItsAIMarketing | AI Marketing Agency in Dubai &amp;amp; UAE</t>
  </si>
  <si>
    <t>https://www.kiwop.com/en/marketing-attribution</t>
  </si>
  <si>
    <t>Marketing Attribution &amp;amp; MMM | Measure True ROI | Kiwop</t>
  </si>
  <si>
    <t>Rockerbox, Northbeam, Measured</t>
  </si>
  <si>
    <t>https://konvergense.com/</t>
  </si>
  <si>
    <t>AI Automation And Digital Marketing Agency Dubai | Konvergense</t>
  </si>
  <si>
    <t>https://konvergense.com/services/ai-automation-services/ai-consulting-and-strategy/</t>
  </si>
  <si>
    <t>AI Consulting &amp;amp; Strategy Services In Dubai, UAE | Konvergense</t>
  </si>
  <si>
    <t>https://www.leadsdubai.com/outdoor-led-screen-outdoor-advertising/</t>
  </si>
  <si>
    <t>Outdoor LED Screen Advertising - Self Service Marketplace | Leads Dubai</t>
  </si>
  <si>
    <t>https://liftlab.com/platform/unified-marketing-measurement/</t>
  </si>
  <si>
    <t>Unified Marketing Measurement Platform (MMM + Incrementality) | LiftLab</t>
  </si>
  <si>
    <t>https://www.linkedin.com/pulse/best-10-ai-consulting-companies-dubai-uae-2025-ranjana-srivastava-2bstc</t>
  </si>
  <si>
    <t>Best 10 AI Consulting Companies in Dubai, UAE [2025 Edition]</t>
  </si>
  <si>
    <t>Boston Consulting Group, PwC</t>
  </si>
  <si>
    <t>https://www.linkedin.com/pulse/top-branding-agencies-mena-best-middle-east-north-africa-firms-jgame</t>
  </si>
  <si>
    <t>Top Branding Agencies in MENA – Best Middle East &amp;amp; North Africa Firms</t>
  </si>
  <si>
    <t>WonderEight, WPP, McKinsey &amp; Company</t>
  </si>
  <si>
    <t>https://www.loudface.co/blog/best-aeo-agencies-b2b-saas-2026</t>
  </si>
  <si>
    <t>Best AEO &amp;amp; GEO Agencies for B2B SaaS in 2026 | LoudFace</t>
  </si>
  <si>
    <t>Siege Media, NoGood, INSIDEA</t>
  </si>
  <si>
    <t>https://lucidly.ae/blog/digital-marketing/top-digital-marketing-companies-dubai</t>
  </si>
  <si>
    <t>Top 10 Digital Marketing Companies in Dubai in 2026 | Lucidly</t>
  </si>
  <si>
    <t>Blue Beetle, Bird Marketing, Red Berries, Prism Digital, Digital Gravity, Leads Dubai</t>
  </si>
  <si>
    <t>https://lyxelandflamingo.com/blogs/full-funnel-marketing/incrementality-at-scale-designing-geo-experiments-for-enterprise-marketing/</t>
  </si>
  <si>
    <t>Incrementality at Scale: Geo Experiments for Enterprise Marketing</t>
  </si>
  <si>
    <t>https://macreativeag.com/digital-marketing/top-10-digital-marketing-agencies-dubai/</t>
  </si>
  <si>
    <t>Top 10 Internet Marketing Agencies in Dubai (2026) - MA Creative Agency</t>
  </si>
  <si>
    <t>Digital Gravity, NEXA, ASTUDIO, Prism Digital, Red Berries, GCC Marketing</t>
  </si>
  <si>
    <t>https://manqoosh.com/best-ads-platforms-for-conversions/</t>
  </si>
  <si>
    <t>Best Ads Platforms for Conversions in UAE (Google, Meta, TikTok Ads) - Manqoosh Marketing</t>
  </si>
  <si>
    <t>https://www.market-research-companies.in/Dubai</t>
  </si>
  <si>
    <t>Top 10+ Market Research Companies in Dubai</t>
  </si>
  <si>
    <t>https://marketbridge.com/services/marketing-analytics-data/marketing-effectiveness/</t>
  </si>
  <si>
    <t>Marketing Effectiveness (MMM &amp;amp; MTA) - Marketbridge</t>
  </si>
  <si>
    <t>https://marketingplatform.google.com/about/</t>
  </si>
  <si>
    <t>Google Marketing Platform - Unified Advertising and Analytics</t>
  </si>
  <si>
    <t>https://metrongrowth.com/services/attribution</t>
  </si>
  <si>
    <t>Attribution and Media Mix Modelling | Metron Growth</t>
  </si>
  <si>
    <t>https://www.mobileappdaily.com/directory/digital-marketing-companies/uae</t>
  </si>
  <si>
    <t>Top Digital Marketing Companies in the UAE to Hire - 2026 Reviews | MobileAppDaily</t>
  </si>
  <si>
    <t>PwC, Bird Marketing, Digital Gravity</t>
  </si>
  <si>
    <t>https://www.mordorintelligence.com/industry-reports/uae-geospatial-analytics-market/companies</t>
  </si>
  <si>
    <t>UAE Geospatial Analytics Companies - Top Players' List</t>
  </si>
  <si>
    <t>https://www.morismedia.in/abu-dhabi-top-10-paid-media-management-agency-serving-finance-in-2026</t>
  </si>
  <si>
    <t>Abu Dhabi’s Top 10 Trusted Paid Media Management Agencies 2026</t>
  </si>
  <si>
    <t>NEXA, Blue Beetle, Chain Reaction, VML, Dentsu</t>
  </si>
  <si>
    <t>https://www.morismedia.in/best-advertising-agency-in-dubai-du-ae</t>
  </si>
  <si>
    <t>Top 10 Advertising Agencies in Dubai: Best Marketing Firms 2026 - Rankings &amp;amp; Reviews</t>
  </si>
  <si>
    <t>Memac Ogilvy, Impact BBDO, TBWA\RAAD, Disruptive Advertising</t>
  </si>
  <si>
    <t>https://music.amazon.es/podcasts/ab0c6775-0756-4b4a-9584-c0818438a009/episodes/48290346-a1af-4264-a808-6eaa2ac56efd/how-to-rank-in-ai-%E2%80%94-sqseo-podcast-what-are-the-best-generative-engine-optimization-geo-agencies-in-united-arab-emirates</t>
  </si>
  <si>
    <t>https://nomadx.ae/</t>
  </si>
  <si>
    <t>AI Agent Consulting UAE - From Demo to Production in 8 Weeks | NomadX</t>
  </si>
  <si>
    <t>https://nomadx.ae/about/</t>
  </si>
  <si>
    <t>About NomadX | NomadX</t>
  </si>
  <si>
    <t>https://www.northbeam.io/products/incrementality</t>
  </si>
  <si>
    <t>Incrementality, by Northbeam.</t>
  </si>
  <si>
    <t>Northbeam</t>
  </si>
  <si>
    <t>https://www.octopusmarketing.agency/digital-marketing/seo-services/voice-and-ai-search-optimization/</t>
  </si>
  <si>
    <t>AI Search Optimization Agency in Dubai, UAE | Innovative Voice &amp;amp; Ranking Experts</t>
  </si>
  <si>
    <t>https://www.olilo.ae/marketing-analytics.html</t>
  </si>
  <si>
    <t>Marketing Analytics \| Marketing Analytics Services, Solutions \| Olilo</t>
  </si>
  <si>
    <t>https://origami.chat/blog/find-ai-agencies-uae</t>
  </si>
  <si>
    <t>Find AI Agencies in UAE | 2026 Guide</t>
  </si>
  <si>
    <t>https://www.outrightcrm.com/blog/roi-focused-digital-marketing-agencies/</t>
  </si>
  <si>
    <t>15 Best ROI-Focused Digital Marketing Firms in 2026 | OutrightCRM</t>
  </si>
  <si>
    <t>Disruptive Advertising, Power Digital, Wpromote, Directive, Jellyfish, Merkle, NP Digital, INSIDEA, Huge, Push</t>
  </si>
  <si>
    <t>https://performbyai.com/services/ai-transformation-adoption#:~:text=Governance%2C%20risk%20management%2C%20and%20architectural%20controls%20are,42001%2C%20and%20the%20NIST%20Risk%20Management%20Framework.</t>
  </si>
  <si>
    <t>AI Transformation &amp;amp; Adoption | UAE &amp;amp; KSA | Perform by AI</t>
  </si>
  <si>
    <t>https://pinemarsh.com/</t>
  </si>
  <si>
    <t>Pinemarsh — Independent Marketing Measurement</t>
  </si>
  <si>
    <t>https://www.primelis.com/data/</t>
  </si>
  <si>
    <t>Web analytics agency – Data-driven marketing insights | Primelis</t>
  </si>
  <si>
    <t>https://www.professionalslobby.com/articles/top-10-ai-consultancies-uae</t>
  </si>
  <si>
    <t>Top 10 AI Consultancies in UAE - 2026 Industry Analysis | Professionals Lobby</t>
  </si>
  <si>
    <t>https://www.prontosys.ae/</t>
  </si>
  <si>
    <t>Award-Winning Digital Marketing Agency Dubai, | Prontosys</t>
  </si>
  <si>
    <t>https://proplexads.com/</t>
  </si>
  <si>
    <t>ProplexAds — Data-Driven Media Buying &amp;amp; Performance Marketing Agency Dubai</t>
  </si>
  <si>
    <t>https://pulseo.ae/en/performance-marketing-agency-al-ain</t>
  </si>
  <si>
    <t>Performance Marketing Agency Al Ain — UAE</t>
  </si>
  <si>
    <t>https://www.reddit.com/r/DesignDigitalProducts/comments/1tm0oqk/top_5_best_branding_agencies_in_dubai_based_on_my/</t>
  </si>
  <si>
    <t>Top 5 Best Branding Agencies In Dubai Based On My Experience</t>
  </si>
  <si>
    <t>https://www.reddit.com/r/UAE/comments/1oienom/which_is_the_best_performance_and_roifocused/</t>
  </si>
  <si>
    <t>Which is the Best Performance and ROI-Focused Digital Marketing Agency In Dubai, UAE?</t>
  </si>
  <si>
    <t>https://www.reddit.com/r/aeo/comments/1twcbr2/best_aeo_agency_guide_what_to_look_for_in_an/</t>
  </si>
  <si>
    <t>Best AEO Agency Guide What to Look for in an Answer Engine Partner?</t>
  </si>
  <si>
    <t>https://www.revlift.co/aeo-agency</t>
  </si>
  <si>
    <t>AEO Agency (Answer Engine Optimization) · Revlift</t>
  </si>
  <si>
    <t>https://rocketium.ai/academy/all/ai-tools-scaling-creative-production</t>
  </si>
  <si>
    <t>Top 6 AI tools for scaling creative production in 2026</t>
  </si>
  <si>
    <t>https://runtime-solutions.ae/ar/top-20-performance-marketing-agencies-in-dubai-2024/</t>
  </si>
  <si>
    <t>MAXSLOT88: Situs Slot Jackpot Bonus Apk SLOT777 Link Slot88 Maxwin Terbaru</t>
  </si>
  <si>
    <t>https://www.rzlt.io/blog/best-ai-marketing-agencies-in-2026-the-definitive-guide-by-specialty</t>
  </si>
  <si>
    <t>Best AI Marketing Agencies in 2026: The Definitive Guide</t>
  </si>
  <si>
    <t>Monks, NoGood, Superside, Wpromote, Jellyfish</t>
  </si>
  <si>
    <t>https://www.sapience.ae/marketing-mix-modeling-tool/</t>
  </si>
  <si>
    <t>Marketing Mix Modeling Tool - Advanced Analytics - Maximus</t>
  </si>
  <si>
    <t>https://scalixai.com/blog/best-performance-marketing-agencies</t>
  </si>
  <si>
    <t>The Best Performance Marketing Agencies for 2026 | ScalixAI</t>
  </si>
  <si>
    <t>Directive, NoGood, Single Grain, Wpromote, Omniscient Digital, Darkroom, Common Thread Collective</t>
  </si>
  <si>
    <t>https://scopicstudios.com/blog/top-performance-marketing-agencies/</t>
  </si>
  <si>
    <t>Top 10 Performance Marketing Agencies for ROI in 2025</t>
  </si>
  <si>
    <t>https://segmentstream.com/blog/articles/best-attribution-tools</t>
  </si>
  <si>
    <t>10 Best Marketing Attribution Tools &amp;amp; Platforms (2026) — SegmentStream</t>
  </si>
  <si>
    <t>SegmentStream, Northbeam, Measured, Rockerbox, Push, Leadmetrics</t>
  </si>
  <si>
    <t>https://sellforte.com/blog/7-incrementality-measurement-tools-to-try-in-2025/</t>
  </si>
  <si>
    <t>7 Incrementality Measurement Tools to Try in 2025</t>
  </si>
  <si>
    <t>https://silverspoonagency.com/best-performance-marketing-agencies/</t>
  </si>
  <si>
    <t>7 Best Performance marketing agencies to Drive ROI in 2026</t>
  </si>
  <si>
    <t>https://smithfieldagency.com/measurement/</t>
  </si>
  <si>
    <t>Measurement for Media Effectiveness - Smithfield</t>
  </si>
  <si>
    <t>https://www.sortlist.com/media-planning/dubai-ae</t>
  </si>
  <si>
    <t>The 10 Best Media Agencies in Dubai - 2026 Reviews</t>
  </si>
  <si>
    <t>intouch, AlCaz Media, Praxis Advertising, Growth Hackers, Momentum, M3.agency, Ninja Promo</t>
  </si>
  <si>
    <t>https://www.sortlist.com/s/google-ads/dubai-ae</t>
  </si>
  <si>
    <t>The 10 Best Google Ads Agencies in Dubai - 2026 Reviews</t>
  </si>
  <si>
    <t>LUMINA, Praxis Advertising, Ninja Promo, Pixoo Media, Admoon</t>
  </si>
  <si>
    <t>https://www.superside.com/blog/creative-performance-agencies</t>
  </si>
  <si>
    <t>12 Strategic Creative Performance Agencies for Brands in 2026</t>
  </si>
  <si>
    <t>Superside, Huge, Push, Croud</t>
  </si>
  <si>
    <t>https://support.google.com/tagmanager/answer/7237700?hl=en</t>
  </si>
  <si>
    <t>https://support.google.com/tagmanager/answer/7237700?hl=en-au</t>
  </si>
  <si>
    <t>https://www.sustainablemindz.net/ai-seo/#:~:text=AI%20SEO%20Dubai%20%7C%20AEO%20%26%20GEO,engines%3B%20we%20optimize%20for%20the%20Generative%20Era.</t>
  </si>
  <si>
    <t>AI SEO Dubai | AEO &amp;amp; GEO SEO Services UAE – Sustainable Mindz</t>
  </si>
  <si>
    <t>https://www.teamtweaks.com/blog/digital-marketing-agency-in-uae/</t>
  </si>
  <si>
    <t>15+ Top Digital Marketing Agency in UAE For 2026</t>
  </si>
  <si>
    <t>Prism Digital, United SEO, Above Digital, NEXA, DigitalFarm, Measured</t>
  </si>
  <si>
    <t>https://www.techradar.com/pro/companies-that-can-serve-both-human-and-agent-audiences-will-be-the-ones-that-survive-wordpress-vip-cto-spells-out-the-future-of-seo-geo-and-more</t>
  </si>
  <si>
    <t>States push back against rising AI-driven electricity infrastructure costs | TechRadar</t>
  </si>
  <si>
    <t>https://tfsfventures.com/blog/top-consulting-firms-uae-intelligent-automation</t>
  </si>
  <si>
    <t>https://thedxlab.com/</t>
  </si>
  <si>
    <t>The DX Lab - Your AI Partner | AI Consulting &amp;amp; Digital Transformation</t>
  </si>
  <si>
    <t>https://thehovi.com/</t>
  </si>
  <si>
    <t>AI Marketing Agency Dubai | Hovi Digital Lab</t>
  </si>
  <si>
    <t>https://www.thekeenfolks.com/blog-article/best-performance-marketing-agencies#:~:text=They%20have%20strong%20digital%20marketing%20services%20across,may%20outgrow%20the%20platform%20as%20they%20scale.</t>
  </si>
  <si>
    <t>The Best Performance Marketing Agencies for Enterprise Growth</t>
  </si>
  <si>
    <t>Tinuiti, Croud, Disruptive Advertising, WebFX</t>
  </si>
  <si>
    <t>https://thinkcypher.com/</t>
  </si>
  <si>
    <t>Cypher | Senior Marketing AI Consultancy</t>
  </si>
  <si>
    <t>https://toimi.pro/blog/top-branding-agencies-in-mena-guide/</t>
  </si>
  <si>
    <t>Best Branding Agencies in the Middle East (2026)</t>
  </si>
  <si>
    <t>https://transparent.partners/2023/03/15/unlock-revenue-with-incrementality-measurement-and-scale-testing/</t>
  </si>
  <si>
    <t>Unlock Revenue with Incrementality Measurement and Scale Testing - Transparent Partners</t>
  </si>
  <si>
    <t>https://u.ae/en/about-the-uae/digital-uae/data/geospatial-data-platforms</t>
  </si>
  <si>
    <t>Geospatial data platforms | The Official Platform of the UAE Government</t>
  </si>
  <si>
    <t>https://uae.synapgrowth.agency/generative-ai-dubai/</t>
  </si>
  <si>
    <t>GEO Agency Dubai | Generative Engine Optimisation UAE</t>
  </si>
  <si>
    <t>https://upgrowth.in/geo-optimization-uae/</t>
  </si>
  <si>
    <t>GEO Optimization UAE: How to Get Your Brand | upGrowth</t>
  </si>
  <si>
    <t>https://www.upvantage.ae/about</t>
  </si>
  <si>
    <t>About Us - Dubai-Based Software &amp;amp; Marketing Company | UpVantage</t>
  </si>
  <si>
    <t>https://versich.com/blog/7-leading-artificial-intelligence-firms-in-uae/</t>
  </si>
  <si>
    <t>Discover Top AI Companies in UAE for Your Business Growth | Versich</t>
  </si>
  <si>
    <t>https://www.vistabylara.com/blogs/ai-trends-for-business/are-you-actually-ready-for-ai-a-dubai-business-readiness-check</t>
  </si>
  <si>
    <t>https://weareaudiences.com/</t>
  </si>
  <si>
    <t>AUDIENCES | In-Cloud Signal Distribution for First-Party Data</t>
  </si>
  <si>
    <t>https://websenor.com/top-10-ai-agencies-in-dubai/</t>
  </si>
  <si>
    <t>Top 10 AI Agencies in Dubai - WebSenor</t>
  </si>
  <si>
    <t>https://www.webtonic.io/blog/best-media-companies-dubai</t>
  </si>
  <si>
    <t>31 Best Media Companies in Dubai for 2026</t>
  </si>
  <si>
    <t>Web Tonic, Omnicom Media Group, NEXA, Digital Gravity, Blue Beetle, DigitalFarm, SEO Sherpa, Prism Digital, Push, intouch</t>
  </si>
  <si>
    <t>https://www.webtonic.io/blog/best-performance-marketing-agencies-2026#:~:text=Great%20For%3A%20Mid%2Dmarket%20to%20enterprise%2Dlevel%20businesses%20requiring,and%20advanced%20analytics%20to%20drive%20measurable%20results.</t>
  </si>
  <si>
    <t>28 Best Performance Marketing Agencies for 2026</t>
  </si>
  <si>
    <t>Web Tonic, Tinuiti, Wpromote, Brainlabs, Jellyfish, Croud, Disruptive Advertising, NoGood, Power Digital, Directive, Single Grain, intouch</t>
  </si>
  <si>
    <t>https://www.webtonic.io/blog/top-creative-performance-agencies</t>
  </si>
  <si>
    <t>37 Top Creative Performance Agencies for 2026</t>
  </si>
  <si>
    <t>Web Tonic, Tinuiti, Wpromote, WPP, Accenture Song, Superside, intouch</t>
  </si>
  <si>
    <t>https://weframetech.com/blog/best-ai-seo-agencies-powering-uae-brands-2026</t>
  </si>
  <si>
    <t>Top 7 AI SEO Agencies in UAE 2026: Powering Growth</t>
  </si>
  <si>
    <t>Measured, Global Media Insight</t>
  </si>
  <si>
    <t>https://www.werankle.com/en</t>
  </si>
  <si>
    <t>WeRankle — GEO Agency | Generative Engine Optimization</t>
  </si>
  <si>
    <t>https://www.wordofgpt.com/geo-agency/abu-dhabi/</t>
  </si>
  <si>
    <t>GEO Agency in Abu Dhabi — Generative Engine Optimization — Word of GPT</t>
  </si>
  <si>
    <t>https://www.wsj.com/articles/ey-joins-consultants-race-for-marketing-dollars-with-new-unit-b1a79544</t>
  </si>
  <si>
    <t>Exclusive \| EY Joins Consultants’ Race for Marketing Dollars With New Unit - WSJ</t>
  </si>
  <si>
    <t>https://x.digeesell.ae/dubai-ai-agency</t>
  </si>
  <si>
    <t>https://0ptimus.com/</t>
  </si>
  <si>
    <t>Home - Øptimus Analytics</t>
  </si>
  <si>
    <t>https://www.182adflow.com/</t>
  </si>
  <si>
    <t>182adflow.com</t>
  </si>
  <si>
    <t>Google Ads Agency Dubai | 182 AdFlow — PPC &amp;amp; Meta Ads UAE</t>
  </si>
  <si>
    <t>https://1stpage.ae/services/ai-search-optimization/</t>
  </si>
  <si>
    <t>1stpage.ae</t>
  </si>
  <si>
    <t>AI Search Optimization Services for High ROI | AI SEO Experts</t>
  </si>
  <si>
    <t>https://247agency.ae/</t>
  </si>
  <si>
    <t>247 Agency | Full-Service Digital Marketing Agency in Dubai</t>
  </si>
  <si>
    <t>https://www.2pointagency.com/glossary/why-first-party-data-activation-is-the-top-use-for-agentic-ai/</t>
  </si>
  <si>
    <t>Why First-Party Data Activation Is the Top Use for Agentic AI - 2POINT Agency - Best Digital Marketing Agency</t>
  </si>
  <si>
    <t>https://aargroup.co.uk/services-for-marketers/platform-readiness/genai-readiness-assessment/</t>
  </si>
  <si>
    <t>Generative AI Readiness Assessment Consulting | AAR</t>
  </si>
  <si>
    <t>https://aarkmarketing.com/performance-marketing-agency-dubai/</t>
  </si>
  <si>
    <t>Performance Marketing in Dubai | ROI-Driven Digital Advertising</t>
  </si>
  <si>
    <t>https://www.aarmeh.ae/generative-ai-consulting-company</t>
  </si>
  <si>
    <t>Generative AI Consulting Company | Aarmeh</t>
  </si>
  <si>
    <t>https://abovedigital.com/</t>
  </si>
  <si>
    <t>Performance Marketing &amp;amp; Lead Generation Agency in Dubai&amp;nbsp;|&amp;nbsp;Above&amp;nbsp;Digital</t>
  </si>
  <si>
    <t>https://aceofperformance.com/</t>
  </si>
  <si>
    <t>ACE of Performance</t>
  </si>
  <si>
    <t>https://www.activeadsmedia.com/</t>
  </si>
  <si>
    <t>Active Ads Media — Performance Advertising &amp;amp; Media Buying Agency</t>
  </si>
  <si>
    <t>https://www.actuatemedia.com/digital-marketing-services/</t>
  </si>
  <si>
    <t>Digital Marketing Services | Google Prem Partner - Actuate Media</t>
  </si>
  <si>
    <t>https://adaptsmedia.com/blog/how-desgin-eye-catching-display-ads/</t>
  </si>
  <si>
    <t>How to Design Eye-Catching Display Ads - Adapts Media</t>
  </si>
  <si>
    <t>https://www.adconversion.com/blog/b2b-abm-agencies</t>
  </si>
  <si>
    <t>Top 11 B2B ABM Agencies for SaaS Growth [2026]</t>
  </si>
  <si>
    <t>Directive, Push, Superside, INSIDEA, Momentum</t>
  </si>
  <si>
    <t>https://www.adcustoms.gov.ae/Programs-and-Projects/UAE-Authorized-Economic-Operator/AEO-Certified-Companies</t>
  </si>
  <si>
    <t>AEO Certified Companies</t>
  </si>
  <si>
    <t>https://adfixagency.com/sharjah-seo/conversion-optimization/ab-testing-services</t>
  </si>
  <si>
    <t>Adfix Agency | #1 SEO &amp;amp; Digital Marketing Agency in Bangladesh</t>
  </si>
  <si>
    <t>https://adigitalboom.com/glossary/attribution/</t>
  </si>
  <si>
    <t>Marketing Attribution Guide for MENA Marketers - Digital Boom</t>
  </si>
  <si>
    <t>https://www.adjust.com/partners/solutions/convz</t>
  </si>
  <si>
    <t>CONVZ - Adjust Solutions Partner Directory</t>
  </si>
  <si>
    <t>https://admiral.media/performance-marketing-agency/</t>
  </si>
  <si>
    <t>Performance Marketing Agency | €500M+ Managed | Admiral Media</t>
  </si>
  <si>
    <t>https://admoon.pro/</t>
  </si>
  <si>
    <t>https://adrsta.ai/</t>
  </si>
  <si>
    <t>Adrsta — AI Marketing Science Platform</t>
  </si>
  <si>
    <t>https://www.adrsta.ai/index.html</t>
  </si>
  <si>
    <t>https://ads.google.com/intl/us/home/partners/work-with-a-partner/</t>
  </si>
  <si>
    <t>https://www.adshabibi.com/</t>
  </si>
  <si>
    <t>Ads Habibi</t>
  </si>
  <si>
    <t>https://adshackers.com/</t>
  </si>
  <si>
    <t>AdsHackers - Paid media, priced in profit.</t>
  </si>
  <si>
    <t>https://www.adsmurai.com/en/articles/what-is-geo</t>
  </si>
  <si>
    <t>What is GEO and key strategies for content relevance</t>
  </si>
  <si>
    <t>https://www.adtrak.co.uk/services/ai-digital-marketing-agency/ai-search-marketing-geo</t>
  </si>
  <si>
    <t>AI Search Marketing / GEO | Adtrak</t>
  </si>
  <si>
    <t>https://advise-mc.com/en/</t>
  </si>
  <si>
    <t>Advise Media Consulting | Home</t>
  </si>
  <si>
    <t>https://ae.indeed.com/q-ai-strategy-consultant-l-dubai-jobs.html</t>
  </si>
  <si>
    <t>Ai Strategy Consultant Jobs in Dubai (with Salaries) \| Indeed</t>
  </si>
  <si>
    <t>https://ae.indeed.com/q-media-measurement-l-dubai-jobs.html</t>
  </si>
  <si>
    <t>25+ Media Measurement Jobs, Employment in Dubai 9 July 2026\| Indeed</t>
  </si>
  <si>
    <t>https://ae.jooble.org/jdp/9164769935601073808</t>
  </si>
  <si>
    <t>https://ae.linkedin.com/in/hossameldin-kamel</t>
  </si>
  <si>
    <t>‏Hossam Kamel‏ - ‏Floward‏ | LinkedIn</t>
  </si>
  <si>
    <t>Impact BBDO, Huge, Chain Reaction, PHD, Publicis Groupe, Publicis Media, Incubeta, Home of Performance</t>
  </si>
  <si>
    <t>https://ae.linkedin.com/in/raya-succar-667b23173</t>
  </si>
  <si>
    <t>‏Raya Succar‏ - ‏Acquisit‏ | LinkedIn</t>
  </si>
  <si>
    <t>Acquisit, McKinsey &amp; Company, Publicis Groupe</t>
  </si>
  <si>
    <t>https://ae.linkedin.com/in/sumedh-gaikwad-b3799854</t>
  </si>
  <si>
    <t>Sumedh Gaikwad - RAKBANK \| LinkedIn</t>
  </si>
  <si>
    <t>Home of Performance, Push</t>
  </si>
  <si>
    <t>https://aeo.ltd/services/ai-search-optimization/</t>
  </si>
  <si>
    <t>AI Search Optimization Services | AEO, GEO &amp;amp; LLM</t>
  </si>
  <si>
    <t>https://www.aeoera.com/</t>
  </si>
  <si>
    <t>AEO / AIO Agency</t>
  </si>
  <si>
    <t>https://aeon-movies.com/</t>
  </si>
  <si>
    <t>https://www.aerobusinesssolutions.com/blog/seo-companies-in-uae/</t>
  </si>
  <si>
    <t>Top 10 SEO Companies In UAE [2026] | Aero Business Solutions</t>
  </si>
  <si>
    <t>SEO Sherpa, United SEO, Digital Gravity, Prism Digital, Global Media Insight</t>
  </si>
  <si>
    <t>https://affinco.com/</t>
  </si>
  <si>
    <t>AFFiNCO | Innovative Digital Marketing Solutions &amp;amp; Strategies - AFFiNCO</t>
  </si>
  <si>
    <t>https://agencies.semrush.com/legend1st-marketing-and-mobile-applications-fze-llc/</t>
  </si>
  <si>
    <t>Legend1st Marketing | Semrush Agency Partner</t>
  </si>
  <si>
    <t>Kleosa</t>
  </si>
  <si>
    <t>https://agencies.semrush.com/list/ai-optimization/united-arab-emirates/enterprise-business/</t>
  </si>
  <si>
    <t>Best AI Search Optimization Agencies for Enterprise Business in United Arab Emirates 2026 | Semrush</t>
  </si>
  <si>
    <t>Leads Dubai, Measured, Web Tonic</t>
  </si>
  <si>
    <t>https://agencies.semrush.com/list/analytics-data-science/dubai/</t>
  </si>
  <si>
    <t>Best Data Analytics Services in Dubai 2026 | Semrush</t>
  </si>
  <si>
    <t>https://agencies.semrush.com/list/display-advertising/ecommerce/dubai/</t>
  </si>
  <si>
    <t>Best Ecommerce Display Ads Agencies in Dubai 2026 | Semrush</t>
  </si>
  <si>
    <t>https://agencies.semrush.com/list/los-angeles/</t>
  </si>
  <si>
    <t>Best Digital Marketing Agencies in Los Angeles 2026 | Semrush</t>
  </si>
  <si>
    <t>https://agencies.semrush.com/list/ppc/ecommerce/united-arab-emirates/</t>
  </si>
  <si>
    <t>Best Ecommerce PPC Agencies in United Arab Emirates 2026 | Semrush</t>
  </si>
  <si>
    <t>Leads Dubai, Kleosa, Dot IT, Acquisit, United SEO, Chain Reaction, SEO Sherpa, Web Tonic</t>
  </si>
  <si>
    <t>https://agencies.semrush.com/list/programmatic-advertising/dubai/</t>
  </si>
  <si>
    <t>Best Programmatic Advertising Agencies in Dubai 2026 | Semrush</t>
  </si>
  <si>
    <t>Leads Dubai, Dot IT, Chain Reaction</t>
  </si>
  <si>
    <t>https://agencies.semrush.com/list/programmatic-advertising/united-arab-emirates/</t>
  </si>
  <si>
    <t>Best Programmatic Advertising Agencies in United Arab Emirates 2026 | Semrush</t>
  </si>
  <si>
    <t>https://agencyaeo.com/</t>
  </si>
  <si>
    <t>Agency AEO | AI Search Optimization that Gets Your Business Recommended</t>
  </si>
  <si>
    <t>https://agencyhelix.com/blog/best-social-media-agencies-in-dubai/</t>
  </si>
  <si>
    <t>Best Social Media Marketing Agencies in Dubai, UAE</t>
  </si>
  <si>
    <t>NEXA, Prism Digital, Chain Reaction, Momentum, intouch</t>
  </si>
  <si>
    <t>https://www.ai-heroes.co/en-us/blog/best-ai-search-agencies-2026</t>
  </si>
  <si>
    <t>Best AI Search Agencies 2026 (GEO and AEO) Compared | AI Heroes</t>
  </si>
  <si>
    <t>NoGood, Single Grain, Measured, INSIDEA</t>
  </si>
  <si>
    <t>https://ai-solutions.daviesmeyer.com/en/blog/marketing-measurement-2026-guide</t>
  </si>
  <si>
    <t>Marketing Measurement 2026: The Pillar Guide to Modern Attribution | Davies Meyer Blog</t>
  </si>
  <si>
    <t>Northbeam, intouch</t>
  </si>
  <si>
    <t>https://ai-solutions.daviesmeyer.com/en/resources/measurement-attribution-hub</t>
  </si>
  <si>
    <t>Measurement &amp;amp; Attribution Hub 2026 – MMM, Incrementality, Server-Side | Davies Meyer</t>
  </si>
  <si>
    <t>https://www.ai360review.com/</t>
  </si>
  <si>
    <t>AI360 REVIEW - Human-Centered AI Adoption Research and Consulting</t>
  </si>
  <si>
    <t>https://aidatalizer.com/blog/best-ai-marketing-agency-in-dubai-for-b2b-growth-in-2026/</t>
  </si>
  <si>
    <t>AiDatalizer | Blog | Best AI Marketing Agency in Dubai for B2B Growth in 2026</t>
  </si>
  <si>
    <t>Push, Momentum</t>
  </si>
  <si>
    <t>https://www.aimedialab.ae/</t>
  </si>
  <si>
    <t>Ai Media Lab</t>
  </si>
  <si>
    <t>https://aiqusolutions.com/</t>
  </si>
  <si>
    <t>Technology Solutions &amp;amp; AI-Powered Delivery | KSA &amp;amp; UAE | AIQU</t>
  </si>
  <si>
    <t>https://www.airconsulting.ai/</t>
  </si>
  <si>
    <t>https://aiso.ae/</t>
  </si>
  <si>
    <t>AISO | The AI-First SEO &amp;amp; Performance Agency (GEO Experts)</t>
  </si>
  <si>
    <t>https://aisuperior.com/ai-consulting-companies-in-the-uae/</t>
  </si>
  <si>
    <t>20 Best AI Consulting Companies in the UAE (2026)</t>
  </si>
  <si>
    <t>https://ajunais.com/#:~:text=AI%2Dpowered%20launch%20roadmaps%20with%20channel%20strategy%2C%20campaign,every%20scale%2C%20every%20challenge.%20%2D%20AI%2Dpowered%20intelligence.</t>
  </si>
  <si>
    <t>ajunais.com</t>
  </si>
  <si>
    <t>Brand Strategy Consultant Dubai | AI-First | AJ</t>
  </si>
  <si>
    <t>Push, Brandtech, intouch</t>
  </si>
  <si>
    <t>https://aliseoservices.com/</t>
  </si>
  <si>
    <t>SEO Agency Dubai | AI SEO, Google Maps &amp;amp; AI Overviews | Ali SEO 2026</t>
  </si>
  <si>
    <t>https://aliseoservices.com/ai-search-optimization/</t>
  </si>
  <si>
    <t>AI Search Optimization in UAE &amp;amp; Saudi | Get Chosen, Get Leads 2026</t>
  </si>
  <si>
    <t>https://almcorp.com/blog/ai-adoption-digital-agencies-best-practices/</t>
  </si>
  <si>
    <t>AI Adoption for Digital Agencies: Best Practices That Deliver Results (2026)</t>
  </si>
  <si>
    <t>intouch, Push, Brandtech, Assembly MENA, Tinuiti, Huge, PwC</t>
  </si>
  <si>
    <t>https://www.almostimpossible.agency/about</t>
  </si>
  <si>
    <t>About | Almost Impossible</t>
  </si>
  <si>
    <t>https://alphanode.ae/</t>
  </si>
  <si>
    <t>https://alserhmedia.com/</t>
  </si>
  <si>
    <t>https://altinkey.com/</t>
  </si>
  <si>
    <t>https://www.alwarqasurvey.com/gis-services</t>
  </si>
  <si>
    <t>GIS Services Dubai | Geospatial Solutions &amp;amp; Mapping UAE</t>
  </si>
  <si>
    <t>https://www.amraandelma.com/digital-marketing-agencies-in-dubai/#:~:text=While%20many%20agencies%20concentrate%20on%20a%20single,that%20continue%20to%20convert%20long%20after%20launch.</t>
  </si>
  <si>
    <t>20 BEST DIGITAL MARKETING AGENCIES IN DUBAI DOMINATING GLOBAL BRANDS IN 2026</t>
  </si>
  <si>
    <t>Momentum, Push, intouch, Adapts Media, Digital Gravity</t>
  </si>
  <si>
    <t>https://www.amraandelma.com/performance-marketing-agencies/</t>
  </si>
  <si>
    <t>10 TOP PERFORMANCE MARKETING AGENCIES SECRETLY DRIVING BILLIONS IN REVENUE IN 2026</t>
  </si>
  <si>
    <t>https://appinventiv.com/blog/ai-readiness-in-uae/</t>
  </si>
  <si>
    <t>AI Readiness in UAE: Assessing Maturity &amp;amp; Scaling AI for Enterprises</t>
  </si>
  <si>
    <t>McKinsey &amp; Company, Directive, Push, intouch</t>
  </si>
  <si>
    <t>https://appinventiv.com/blog/ai-strategy-consulting-for-enterprises-in-dubai/</t>
  </si>
  <si>
    <t>AI Strategy Consulting for Enterprises in Dubai: Why It Matters</t>
  </si>
  <si>
    <t>PwC, Push, intouch</t>
  </si>
  <si>
    <t>https://applabx.com/generative-engine-optimization-geo-agency-in-the-united-arab-emirates-uae/</t>
  </si>
  <si>
    <t>AppLabx - Top GEO Agency in the United Arab Emirates (UAE)</t>
  </si>
  <si>
    <t>https://apptrove.com/incrementality-in-mobile-marketing/</t>
  </si>
  <si>
    <t>Incrementality in Mobile Marketing: The KPI That Matters</t>
  </si>
  <si>
    <t>Chain Reaction, Measured</t>
  </si>
  <si>
    <t>https://www.apptunix.com/blog/it-software-companies-in-middle-east/</t>
  </si>
  <si>
    <t>Top 10 IT Software Companies in Middle East</t>
  </si>
  <si>
    <t>https://www.apptunix.com/blog/top-ai-development-companies-in-dubai-uae/</t>
  </si>
  <si>
    <t>Top 11 AI Development Companies in Dubai, UAE (2026)</t>
  </si>
  <si>
    <t>Digital Gravity, PwC, intouch</t>
  </si>
  <si>
    <t>https://aqualisgroup.com/Aqualis-Lifting-Inspection</t>
  </si>
  <si>
    <t>Lifting Equipment Inspection Dubai \| Certified Third-Party Services</t>
  </si>
  <si>
    <t>https://www.artefact.com/company/about-us/#:~:text=They%20saw%20the%20future%20written%20in%20data%3A,to%20create%20Artefact%3A%20data%2Ddriven%2C%20customer%2Dcentric%2C%20business%2Doriented%2C%20unique.</t>
  </si>
  <si>
    <t>About us - Company Artefact</t>
  </si>
  <si>
    <t>https://www.artefact.com/wp-content/uploads/2024/09/Artefact-Data-and-AI-Marketing-Report.pdf#:~:text=Artefact%20is%20a%20global%20leader%20in%20consulting,innovation%20(Art)%20and%20cutting%2Dedge%20AI%20technologies%20(Fact).</t>
  </si>
  <si>
    <t>https://www.askneedle.com/blog/best-ecommerce-marketing-agencies</t>
  </si>
  <si>
    <t>12 Best Ecommerce Marketing Agencies &amp;amp; Resources for 2026</t>
  </si>
  <si>
    <t>https://www.astudio.ae/digital-marketing-agency/social-media-marketing/</t>
  </si>
  <si>
    <t>Social Media Agency \| Social Media Marketing</t>
  </si>
  <si>
    <t>https://www.atlasdigital.co/startups</t>
  </si>
  <si>
    <t>Digital Marketing Agency for Tech Startups | Atlas Digital</t>
  </si>
  <si>
    <t>https://www.attnagency.com/blog/first-party-data-activation-cdp-ad-platform-strategy</t>
  </si>
  <si>
    <t>First-Party Data Activation: From CDP to Ad Platform Profitability | ATTN Agency</t>
  </si>
  <si>
    <t>https://www.attributionapp.com/multi-touch-attribution-software/</t>
  </si>
  <si>
    <t>Multi-Touch Attribution Software - Auditable, Customizable, Exportable | Attribution</t>
  </si>
  <si>
    <t>https://www.attributionapp.com/plans/agency-partners/</t>
  </si>
  <si>
    <t>Agency Partners | Attribution</t>
  </si>
  <si>
    <t>https://www.attributionapp.com/solution-b2c/</t>
  </si>
  <si>
    <t>Ecommerce Marketing Attribution Software | Attribution</t>
  </si>
  <si>
    <t>https://au.linkedin.com/in/rami-alcheikh</t>
  </si>
  <si>
    <t>Rami Alcheikh - Emerge Digital | LinkedIn</t>
  </si>
  <si>
    <t>https://audigent.com/caseStudies/</t>
  </si>
  <si>
    <t>Audigent | The Leading Data Activation, Curation and Identity Platform</t>
  </si>
  <si>
    <t>https://www.avanade.com/en-ae/insights/generative-ai-readiness-report/organizational-ai-readiness</t>
  </si>
  <si>
    <t>AI Readiness \| Avanade United Arab Emirates</t>
  </si>
  <si>
    <t>https://www.avaus.com/blog/how-media-agencies-can-utilize-first-party-data-to-drive-better-results/</t>
  </si>
  <si>
    <t>How media agencies can utilize first-party data to drive better results - Avaus</t>
  </si>
  <si>
    <t>https://www.awesomic.com/blog/full-service-creative-agencies#:~:text=Phable%20%7C%20Tech%20startup%20branding%20%7C%20Brand,%7C%20Mid%2Dmarket%2C%20enterprise%20%7C%20Custom%20%7C%20%E2%AD%90%E2%AD%90%E2%AD%90%E2%AD%90</t>
  </si>
  <si>
    <t>Best Full Service Creative Agencies in 2026: Top Picks for Fast, Affordable Work</t>
  </si>
  <si>
    <t>Phable, Push, EY, Accenture Song, Huge, Momentum, intouch</t>
  </si>
  <si>
    <t>https://www.axios.com/2026/07/15/uae-ai-government-app-tamm</t>
  </si>
  <si>
    <t>UAE's big bet on AI</t>
  </si>
  <si>
    <t>https://www.axios.com/2026/07/16/geo-communications-marketing-strategy</t>
  </si>
  <si>
    <t>GEO and AI: How brands are shifting their strategies</t>
  </si>
  <si>
    <t>https://ayaigen.com/</t>
  </si>
  <si>
    <t>AY Aigen | AI-Powered Digital Solutions</t>
  </si>
  <si>
    <t>https://www.b2agency.com/ae/geo</t>
  </si>
  <si>
    <t>Digital PR Agency | B2 Agency Dubai</t>
  </si>
  <si>
    <t>https://bambrick.com.au/ppc/google-display-ads/</t>
  </si>
  <si>
    <t>Google Display Advertising Agency | BAMBRICK Brisbane</t>
  </si>
  <si>
    <t>https://banibro.com/blog/erp-implementation-companies-in-dubai/</t>
  </si>
  <si>
    <t>Top ERP Implementation Companies in Dubai 2026 | UAE</t>
  </si>
  <si>
    <t>https://barchangroup.com/</t>
  </si>
  <si>
    <t>Barchan Group | Consulting, Digital &amp;amp; AI</t>
  </si>
  <si>
    <t>https://basis.com/insights/the-top-5-advertising-agency-platforms-for-media-buying</t>
  </si>
  <si>
    <t>The Top 5 Advertising Agency Platforms for Media Buying</t>
  </si>
  <si>
    <t>https://benly.ai/learn/ai-marketing/best-attribution-tools-2026</t>
  </si>
  <si>
    <t>11 Best Marketing Attribution Tools in 2026</t>
  </si>
  <si>
    <t>Northbeam, Rockerbox, Measured</t>
  </si>
  <si>
    <t>https://benly.ai/learn/ai-marketing/best-marketing-analytics-tools-2026</t>
  </si>
  <si>
    <t>11 Best Marketing Analytics Tools in 2026</t>
  </si>
  <si>
    <t>https://beomniscient.com/blog/best-ai-marketing-agencies/</t>
  </si>
  <si>
    <t>The 5 Best AI Marketing Agencies For B2B (2026 Update) - Omniscient Digital</t>
  </si>
  <si>
    <t>Omniscient Digital, NoGood, Daydream, Single Grain, Measured</t>
  </si>
  <si>
    <t>https://beomniscient.com/blog/geo-agencies/</t>
  </si>
  <si>
    <t>The 6 Best GEO Agencies for B2B SaaS Brands in 2026 - Omniscient Digital</t>
  </si>
  <si>
    <t>Omniscient Digital, NoGood, iPullRank</t>
  </si>
  <si>
    <t>https://beomniscient.com/blog/growth-marketing-agency/</t>
  </si>
  <si>
    <t>The 16 Best Growth Marketing Agencies in 2026 - Omniscient Digital</t>
  </si>
  <si>
    <t>Omniscient Digital, Single Grain, Disruptive Advertising, NoGood, Directive, NP Digital, Superside, Momentum</t>
  </si>
  <si>
    <t>https://bestanswerengineoptimizationservices.com/</t>
  </si>
  <si>
    <t>Best Answer Engine Optimization Services - Best Answer Engine Optimization Services</t>
  </si>
  <si>
    <t>https://www.bicommunications.ae/blog/best-facebook-marketing-agencies-dubai/</t>
  </si>
  <si>
    <t>Best Facebook Marketing Agencies in Dubai (2026) | Top Meta Ads Experts</t>
  </si>
  <si>
    <t>NEXA, Prism Digital, Bird Marketing, Adapts Media, Dot IT, Chain Reaction, Web Tonic, Ninja Promo, GCC Marketing, intouch</t>
  </si>
  <si>
    <t>https://www.bicommunications.ae/blog/best-seo-companies-in-dubai/</t>
  </si>
  <si>
    <t>25 Best SEO Companies in Dubai 2026 | Reviewed, Ranked &amp;amp; Priced</t>
  </si>
  <si>
    <t>United SEO, SEO Sherpa, Bird Marketing, Chain Reaction, Digital Gravity, Leads Dubai, YouYaa, Dot IT, Prism Digital, intouch</t>
  </si>
  <si>
    <t>https://www.bicommunications.ae/ppc-services-dubai/</t>
  </si>
  <si>
    <t>PPC Marketing Agency in Dubai | #1 PPC Advertising Services Dubai</t>
  </si>
  <si>
    <t>https://bird.ae/telecoms/</t>
  </si>
  <si>
    <t>Telecom Marketing Agency UAE - Bird Marketing</t>
  </si>
  <si>
    <t>https://blog.buildbetter.ai/best-agency-inc-alternatives-in-2026-ai-customer-success-tools/</t>
  </si>
  <si>
    <t>ALTERNATIVE</t>
  </si>
  <si>
    <t>Best Agency.inc Alternatives in 2026: 7 AI Tools Compared</t>
  </si>
  <si>
    <t>Alternative</t>
  </si>
  <si>
    <t>https://blog.intimetec.com/top-artificial-intelligence-companies#:~:text=Key%20Capabilities%3A%20%2D%20AI%20strategy%2C%20consulting%2C%20and,ecosystems.%20%2D%20Cloud%2Dbased%20AI%20development%20and%20deployment.</t>
  </si>
  <si>
    <t>Top 10 Artificial Intelligence Companies to Watch in 2026</t>
  </si>
  <si>
    <t>https://bluead.ae/</t>
  </si>
  <si>
    <t>DIGITAL, SUPERFORMAT AND STATIC ADVERTISING in Dubai by Blue Ad Advertising LLC</t>
  </si>
  <si>
    <t>https://www.bluebeetle.ae/blog/how-a-digital-marketing-agency-in-dubai-should-prepare-for-ai-search</t>
  </si>
  <si>
    <t>AI Search Guide for a Digital Marketing Agency in Dubai | Blue Beetle | Blue Beetle</t>
  </si>
  <si>
    <t>https://bountyhunter.agency/blog/best-saas-marketing-attribution-tools/</t>
  </si>
  <si>
    <t>8 Best SaaS Marketing Attribution Tools for 2024</t>
  </si>
  <si>
    <t>https://www.brandedagency.com/blog/top-digital-marketing-agencies</t>
  </si>
  <si>
    <t>Best Digital Marketing Agencies for Growth in 2026</t>
  </si>
  <si>
    <t>https://www.brandstory.ae/</t>
  </si>
  <si>
    <t>Digital Marketing Agency Dubai, UAE | Best Digital Marketing Services</t>
  </si>
  <si>
    <t>https://www.brandstory.ae/ai-seo-agency-in-dubai-uae/</t>
  </si>
  <si>
    <t>Top AI SEO Agency in Dubai, UAE | BrandStory</t>
  </si>
  <si>
    <t>intouch, Momentum, Measured</t>
  </si>
  <si>
    <t>https://www.brandstory.ae/blogs/digital-marketing-agency-in-abu-dhabi-2026/</t>
  </si>
  <si>
    <t>Best Digital Marketing Agencies in Abu Dhabi 2026</t>
  </si>
  <si>
    <t>DigitalFarm, Bird Marketing, intouch</t>
  </si>
  <si>
    <t>https://www.brandstory.ae/industries/b2b-conversion-rate-optimization-dubai-uae/</t>
  </si>
  <si>
    <t>B2B Conversion Rate Optimization Agency in Dubai, UAE | Boost ROI</t>
  </si>
  <si>
    <t>Momentum, Leads Dubai, Measured, intouch</t>
  </si>
  <si>
    <t>https://www.brandstory.ae/industries/e-commerce-performance-marketing-agency-in-dubai-uae/</t>
  </si>
  <si>
    <t>E-commerce Performance Marketing Agency in Dubai, UAE | Maximise ROI</t>
  </si>
  <si>
    <t>Measured, Momentum, intouch</t>
  </si>
  <si>
    <t>https://www.brandstory.ae/marketing-performance-reporting-abu-dhabi/</t>
  </si>
  <si>
    <t>Marketing Performance Reporting Services in Abu Dhabi: Advanced Analytics Solutions</t>
  </si>
  <si>
    <t>https://www.brandstory.ae/marketing-performance-reporting-services-in-ajman/</t>
  </si>
  <si>
    <t>Marketing Performance Reporting Services in Ajman: Measure &amp;amp; Optimize ROI</t>
  </si>
  <si>
    <t>Measured, weDiscover, intouch</t>
  </si>
  <si>
    <t>https://brandsurge.ae/services/conversion-rate-optimization</t>
  </si>
  <si>
    <t>CRO Agency Dubai | Conversion Rate Optimization | Brand Surge</t>
  </si>
  <si>
    <t>https://brutal-simplicity-of-thought.com/about.html</t>
  </si>
  <si>
    <t>M&amp;amp;C Saatchi Middle East</t>
  </si>
  <si>
    <t>https://business.adobe.com/au/blog/basics/marketing-attribution</t>
  </si>
  <si>
    <t>Marketing attribution — models and best practices</t>
  </si>
  <si>
    <t>https://business.google.com/in/think/marketing-strategies/incrementality-testing/</t>
  </si>
  <si>
    <t>https://www.businessinsider.com/ai-adoption-strategies-companies-2026-7</t>
  </si>
  <si>
    <t>Adopting AI Is Easy. Using AI Effectively Is Hard. - Business Insider</t>
  </si>
  <si>
    <t>Boston Consulting Group, McKinsey &amp; Company, PwC, KPMG, Assembly MENA</t>
  </si>
  <si>
    <t>https://www.businessinsider.com/ai-search-reshapes-seo-fueling-geo-gold-rush-2025-11</t>
  </si>
  <si>
    <t>AI Search Reshapes SEO, Fueling GEO Gold Rush - Business Insider</t>
  </si>
  <si>
    <t>Huge, Measured, intouch, WPP</t>
  </si>
  <si>
    <t>https://www.businessofapps.com/marketplace/ai-marketing/</t>
  </si>
  <si>
    <t>Top AI Marketing Companies (2026) - Business of Apps</t>
  </si>
  <si>
    <t>Push, intouch, Huge, Ninja Promo</t>
  </si>
  <si>
    <t>https://www.businessofapps.com/marketplace/growth-marketing/</t>
  </si>
  <si>
    <t>Top Growth Marketing Agencies (2026) - Business of Apps</t>
  </si>
  <si>
    <t>Push, intouch, Huge, NoGood</t>
  </si>
  <si>
    <t>https://buyradar.ai/services/agency-services/</t>
  </si>
  <si>
    <t>Scale Agency with White-Label Creative Production | BuyRadar AI</t>
  </si>
  <si>
    <t>https://www.c3metrics.com/c3metrics-solutions</t>
  </si>
  <si>
    <t>Solutions — Independent Attribution for Every Buyer — C3 Metrics</t>
  </si>
  <si>
    <t>https://campaignme.com/agency/chain-reaction/</t>
  </si>
  <si>
    <t>Chain Reaction - Campaign Middle East</t>
  </si>
  <si>
    <t>Chain Reaction, Publicis Groupe</t>
  </si>
  <si>
    <t>https://campaignme.com/from-personalisation-to-prediction/#:~:text=Fifty%2Dfour%20per%20cent%20of%20UAE%20shoppers%20are,persuade%20people.%20When%20AI%20agents%20sit%20between</t>
  </si>
  <si>
    <t>From personalisation to prediction - Campaign Middle East</t>
  </si>
  <si>
    <t>Kantar</t>
  </si>
  <si>
    <t>https://campaignme.com/publicis-groupes-performics-secures-gmp-partner-reseller-status/</t>
  </si>
  <si>
    <t>Publicis Groupe's Performics secures GMP partner, reseller status - Campaign Middle East</t>
  </si>
  <si>
    <t>Publicis Groupe, TBWA\RAAD</t>
  </si>
  <si>
    <t>https://cassandra.app/platform</t>
  </si>
  <si>
    <t>MMM &amp;amp; Geo Incrementality Testing Platform | Cassandra</t>
  </si>
  <si>
    <t>https://ccagency.ae/</t>
  </si>
  <si>
    <t>Dubai Creative Marketing Agency | CC Agency</t>
  </si>
  <si>
    <t>https://centrus.digital/blog/best-digital-marketing-agency/</t>
  </si>
  <si>
    <t>When Searching for the Best Digital Marketing Agency</t>
  </si>
  <si>
    <t>https://www.chooseoxygen.ae/services/ai-consulting?hsLang=en-gb</t>
  </si>
  <si>
    <t>AI Consulting, Training &amp; Implementation for Dubai Businesses \| Oxygen</t>
  </si>
  <si>
    <t>https://cieden.com/ai-strategy-consulting</t>
  </si>
  <si>
    <t>AI strategy consulting | Cieden</t>
  </si>
  <si>
    <t>https://www.circana.com/liquid-mix</t>
  </si>
  <si>
    <t>Liquid Mix: Self-Serve AI Marketing Mix Modeling | Circana</t>
  </si>
  <si>
    <t>https://clicksgeek.com/best-marketing-agency-for-roi/</t>
  </si>
  <si>
    <t>Best Marketing Agency For ROI: 7 Proven Strategies</t>
  </si>
  <si>
    <t>https://clicksgeek.com/best-roi-digital-marketing-agencies/</t>
  </si>
  <si>
    <t>Best ROI Digital Marketing Agencies: Expert Guide 2026</t>
  </si>
  <si>
    <t>https://clicksgeek.com/best-roi-focused-marketing-agencies/</t>
  </si>
  <si>
    <t>Best ROI Focused Marketing Agencies: 2026 Guide &amp;amp; Tips</t>
  </si>
  <si>
    <t>https://clicksgeek.com/best-roi-focused-marketing-agency/</t>
  </si>
  <si>
    <t>Best ROI Focused Marketing Agency: 7 Proven Strategies</t>
  </si>
  <si>
    <t>https://clicksgeek.com/best-roi-marketing-agencies/</t>
  </si>
  <si>
    <t>Best ROI Marketing Agencies: 7 Proven Strategies 2026</t>
  </si>
  <si>
    <t>https://clickworkzz.com/</t>
  </si>
  <si>
    <t>Clickworkzz | #1 GEO &amp;amp; Digital Marketing Agency in Dubai</t>
  </si>
  <si>
    <t>https://www.cloud6.ae/blogs/top-seo-agencies-in-dubai#:~:text=Nowadays%20businesses%20require%20Answer%20Engine%20Optimization%20AEO,generative%20intelligence%20to%20replace%20traditional%20search%20methods.</t>
  </si>
  <si>
    <t>cloud6.ae</t>
  </si>
  <si>
    <t>Top 5 SEO Agencies in Dubai for AI-Driven Growth | CLOUD6</t>
  </si>
  <si>
    <t>https://clutch.co/ae/agencies/content-marketing</t>
  </si>
  <si>
    <t>Top Content Marketing Companies in the United Arab Emirates - Jul 2026 Rankings \| Clutch.co</t>
  </si>
  <si>
    <t>Blue Beetle, Dot IT, M3.agency, YouYaa, intouch, ENH Marketing</t>
  </si>
  <si>
    <t>https://clutch.co/ae/agencies/digital-marketing?page=10</t>
  </si>
  <si>
    <t>Page 10 - Top Digital Marketing Agencies in the United Arab Emirates - Jul 2026 Rankings | Clutch.co</t>
  </si>
  <si>
    <t>Ninja Promo, TIDAL Digital, Prism Digital, YouYaa, Blue Beetle, Digital Gravity, Leads Dubai, Hovi Digital Lab</t>
  </si>
  <si>
    <t>https://clutch.co/ae/agencies/digital-marketing?page=29</t>
  </si>
  <si>
    <t>Page 29 - Top Digital Marketing Agencies in the United Arab Emirates - Jul 2026 Rankings | Clutch.co</t>
  </si>
  <si>
    <t>Ninja Promo, intouch, GLMA Agency, House of Growth, YouYaa, Blue Beetle, Digital Gravity, Leads Dubai, Hovi Digital Lab</t>
  </si>
  <si>
    <t>https://clutch.co/ae/agencies/ppc/google-adwords/dubai</t>
  </si>
  <si>
    <t>Top Adwords PPC Agencies in Dubai - Jul 2026 Rankings \| Clutch.co</t>
  </si>
  <si>
    <t>M3.agency, Blue Beetle, INSIDEA, Dot IT, Web Tonic, YouYaa, AlCaz Media, EDS FZCO</t>
  </si>
  <si>
    <t>https://clutch.co/ae/agencies/social-media-marketing/dubai?page=21</t>
  </si>
  <si>
    <t>Page 21 - Top Social Media Marketing Agencies in Dubai - Jul 2026 Rankings | Clutch.co</t>
  </si>
  <si>
    <t>intouch, M3.agency, YouYaa, INSIDEA, Blue Beetle</t>
  </si>
  <si>
    <t>https://clutch.co/ae/agencies/social-media-marketing/influencer/dubai</t>
  </si>
  <si>
    <t>Top Influencer Advertising Agencies in Dubai - Jul 2026 Rankings | Clutch.co</t>
  </si>
  <si>
    <t>Mindshare, YouYaa, intouch, EDS FZCO, ENH Marketing</t>
  </si>
  <si>
    <t>https://clutch.co/ae/consulting/ai/strategy/dubai</t>
  </si>
  <si>
    <t>Top AI Strategy Companies in Dubai - Jul 2026 Rankings | Clutch.co</t>
  </si>
  <si>
    <t>intouch, Huge</t>
  </si>
  <si>
    <t>https://clutch.co/agencies/media-buying/ooh</t>
  </si>
  <si>
    <t>Top OOH Media Buying Companies - Jul 2026 Rankings | Clutch.co</t>
  </si>
  <si>
    <t>intouch, New Engen, Brainlabs, Tinuiti</t>
  </si>
  <si>
    <t>https://clutch.co/agencies/performance-marketing</t>
  </si>
  <si>
    <t>Top Performance Marketing Agencies - Jul 2026 Rankings | Clutch.co</t>
  </si>
  <si>
    <t>Disruptive Advertising, intouch, Momentum, Web Tonic</t>
  </si>
  <si>
    <t>https://www.codeandco.ae/display-advertising-planning</t>
  </si>
  <si>
    <t>Best Display Advertising Agency in Dubai UAE</t>
  </si>
  <si>
    <t>https://cofes.com/performance-marketing-agency/</t>
  </si>
  <si>
    <t>14 Best Performance Marketing Agencies of 2024 (Most Reliable)</t>
  </si>
  <si>
    <t>NoGood, Disruptive Advertising, WebFX, Directive, Tinuiti, Dentsu</t>
  </si>
  <si>
    <t>https://www.cometly.com/post/agency-marketing-attribution-tools</t>
  </si>
  <si>
    <t>Top Agency Marketing Attribution Tools for 2026 Tips</t>
  </si>
  <si>
    <t>https://www.cometly.com/post/first-party-data-tracking-solutions</t>
  </si>
  <si>
    <t>9 Best First Party Data Tracking Solutions for 2026</t>
  </si>
  <si>
    <t>https://www.cometly.com/post/incrementality-measurement-tool</t>
  </si>
  <si>
    <t>9 Best Incrementality Measurement Tools: 2026 Guide</t>
  </si>
  <si>
    <t>https://www.cometly.com/post/incrementality-testing-for-paid-advertising</t>
  </si>
  <si>
    <t>Incrementality Testing For Paid Advertising Guide 2026</t>
  </si>
  <si>
    <t>https://commonthreadco.com/blogs/coachs-corner/how-to-measure-incrementality-in-ecommerce-the-framework-behind-3b-in-revenue</t>
  </si>
  <si>
    <t>How to Measure Incrementality in Ecommerce (The Framework Behind $3B i</t>
  </si>
  <si>
    <t>https://communicateonline.me/news/great-marketing-business-minds-uae-returns-for-fourth-edition-in-dubai/</t>
  </si>
  <si>
    <t>Great Marketing &amp;amp; Business Minds UAE returns for fourth edition in Dubai - Communicate Online</t>
  </si>
  <si>
    <t>https://communicateonline.me/news/trkkn-mena-awarded-google-marketing-platform-certification-reseller-status/</t>
  </si>
  <si>
    <t>TRKKN MENA Awarded Google Marketing Platform Certification &amp;amp; Reseller Status - Communicate Online</t>
  </si>
  <si>
    <t>Omnicom Media Group, Publicis Groupe</t>
  </si>
  <si>
    <t>https://competenza.ae/blog/top-10-best-software-development-companies-in-uae/</t>
  </si>
  <si>
    <t>Top 10 Best Software Development Companies in UAE 2026</t>
  </si>
  <si>
    <t>Momentum, Push, LUMINA, PwC</t>
  </si>
  <si>
    <t>https://comtask.net/services/ai-consulting-gcc/</t>
  </si>
  <si>
    <t>AI Consulting GCC: 6 Essential Steps for Safer AI | COMTASK</t>
  </si>
  <si>
    <t>https://cornerstonecontent.com/best-answer-engine-optimization-aeo-agencies/</t>
  </si>
  <si>
    <t>10 Best Answer Engine Optimization (AEO) Agencies (2026) - Cornerstone Content</t>
  </si>
  <si>
    <t>Omniscient Digital, Single Grain</t>
  </si>
  <si>
    <t>https://crawlbrains.ae/ai-optimization-services-dubai/</t>
  </si>
  <si>
    <t>AI Optimization Services in Dubai | AI Optimization Company - Crawl Brains</t>
  </si>
  <si>
    <t>https://crawlbrains.ae/geo-services-company-dubai/#:~:text=Generative%20Engine%20Optimization%20(GEO)%20ensures%20your%20brand,ChatGPT%2C%20Gemini%2C%20Bing%20AI%2C%20Perplexity%20and%20more.</t>
  </si>
  <si>
    <t>GEO Services Company in Dubai | Generative Engine Optimization in Dubai - Crawl Brains</t>
  </si>
  <si>
    <t>https://www.creativebroadcast.ae/</t>
  </si>
  <si>
    <t>Creative Broadcast Agency | Live Tech Production Dubai</t>
  </si>
  <si>
    <t>https://creativemediahouse.ae/</t>
  </si>
  <si>
    <t>Creative Agency Dubai | Creative Media House</t>
  </si>
  <si>
    <t>https://creativemediahouse.ae/how-to-choose-the-best-ai-seo-digital-marketing-agency-in-dubai/</t>
  </si>
  <si>
    <t>How to Choose the Best AI SEO Digital Marketing Agency in Dubai?</t>
  </si>
  <si>
    <t>https://www.creativezone.ae/events/uae-scaling-secrets-how-top-founders-succeed/</t>
  </si>
  <si>
    <t>UAE Scaling Secrets: How Top Founders Succeed - Creative Zone</t>
  </si>
  <si>
    <t>https://crunchsolutions.ae/</t>
  </si>
  <si>
    <t>Crunchsolutions — AI Consulting, Development &amp;amp; Implementation | Dubai</t>
  </si>
  <si>
    <t>https://ctcmedia.ae/</t>
  </si>
  <si>
    <t>https://www.customerlabs.com/</t>
  </si>
  <si>
    <t>CustomerLabs - First-Party Data Ops Platform | Signal Engineering</t>
  </si>
  <si>
    <t>https://www.customerlabs.com/first-party-data-ops/</t>
  </si>
  <si>
    <t>First-Party Data Ops Platform | CustomerLabs</t>
  </si>
  <si>
    <t>https://dataintelo.com/report/media-buying-services-market#:~:text=%23%20Media%20Buying%20Services%20Market%3A%20Segment%20Comparison,enterprises%2C%20data%2Ddriven%20brands%20%7C%20Automotive%2C%20BFSI%2C%20healthcare</t>
  </si>
  <si>
    <t>Media Buying Services Market Research Report 2034</t>
  </si>
  <si>
    <t>WPP, Publicis Groupe, Dentsu, PHD, Mindshare, Push, Measured, Rockerbox, GroupM, Omnicom Media Group, Publicis Media, Epsilon, Boston Consulting Group</t>
  </si>
  <si>
    <t>https://www.datameer.com/blog/attribution-analysis-the-secret-of-marketing-success/</t>
  </si>
  <si>
    <t>Attribution Analysis: The Secret of Marketing Success - Datameer</t>
  </si>
  <si>
    <t>https://www.dataventure.com/solutions/opt-in-collection</t>
  </si>
  <si>
    <t>Opt-in Collection | First-Party Data Acquisition</t>
  </si>
  <si>
    <t>https://www.decipher.agency/ai-search-optimisation-agency-uae/packages</t>
  </si>
  <si>
    <t>Offers. | decipher. Creative Agency</t>
  </si>
  <si>
    <t>https://www.delemontechnology.com/blog/best-digital-marketing-agency-in-dubai-for-business-growth/</t>
  </si>
  <si>
    <t>Best Digital Marketing Agency in Dubai | Delemon Technology</t>
  </si>
  <si>
    <t>https://www.designrush.com/agency/conversion-optimization/us</t>
  </si>
  <si>
    <t>Top Conversion Rate Optimization Agency in the US | 2026</t>
  </si>
  <si>
    <t>Push, Huge, Disruptive Advertising</t>
  </si>
  <si>
    <t>https://www.designrush.com/agency/digital-marketing/performance-marketing-agencies</t>
  </si>
  <si>
    <t>Top Performance Marketing Agencies in 2026</t>
  </si>
  <si>
    <t>Wpromote, M&amp;C Saatchi Performance, NoGood, Power Digital, Huge, Push, Disruptive Advertising, PwC, Web Tonic</t>
  </si>
  <si>
    <t>https://www.designrush.com/agency/digital-marketing/search-engine/ae/dubai</t>
  </si>
  <si>
    <t>Top Search Engine Marketing Agencies in Dubai | 2026</t>
  </si>
  <si>
    <t>Bird Marketing, Dot IT, Digital Gravity, Digital Arabia, LUMINA</t>
  </si>
  <si>
    <t>https://www.designrush.com/agency/digital-marketing/trends/demand-generation-agency</t>
  </si>
  <si>
    <t>15 Best Demand Generation Agencies in 2026</t>
  </si>
  <si>
    <t>https://www.designrush.com/agency/paid-media-pay-per-click/ae/dubai</t>
  </si>
  <si>
    <t>Top PPC Agencies in Dubai | 2026</t>
  </si>
  <si>
    <t>https://www.designrush.com/agency/paid-media-pay-per-click/ae/dubai?page=2</t>
  </si>
  <si>
    <t>Top PPC Agencies in Dubai - Page 2</t>
  </si>
  <si>
    <t>AlCaz Media, SEO Sherpa, NEXA, Leads Dubai</t>
  </si>
  <si>
    <t>https://www.dgeniussolutions.com/aeo-dubai/</t>
  </si>
  <si>
    <t>AEO Agency in Dubai | Answer Engine Optimization Services | DGS</t>
  </si>
  <si>
    <t>https://dhruvaconsultants.com/expertise/customs/#:~:text=At%20Dhruva%20Consultants%2C%20our%20team%20can%20help,periodic%20compliance%20and%20the%20maintenance%20of%20records.</t>
  </si>
  <si>
    <t>Customs – Dhruva Consultants – Leading Tax Practice</t>
  </si>
  <si>
    <t>https://diapmedia.com/</t>
  </si>
  <si>
    <t>AI SEO Agency Scottsdale &amp;amp; Phoenix | DIAP Media</t>
  </si>
  <si>
    <t>https://www.digiblazon.com/performance-marketing-services/</t>
  </si>
  <si>
    <t>Performance Marketing: ROI-Focused Paid Ads | Digiblazon</t>
  </si>
  <si>
    <t>https://digidot.ae/best-seo-agencies-in-dubai/#:~:text=Digidot%20also%20offers%20ranking%20visibility,optimizing%20for%20that%20channel%20yet.</t>
  </si>
  <si>
    <t>Best SEO Agencies in Dubai, UAE (2026 Rankings)</t>
  </si>
  <si>
    <t>SEO Sherpa, NEXA, Measured, EY</t>
  </si>
  <si>
    <t>https://digital-advice.io/</t>
  </si>
  <si>
    <t>Home - Digital Advice</t>
  </si>
  <si>
    <t>https://www.digital-qube.com/corporate-training</t>
  </si>
  <si>
    <t>Corporate &amp;amp; Leadership | Digital Qube</t>
  </si>
  <si>
    <t>https://digitalagencynetwork.com/agencies/usa/ai-marketing/</t>
  </si>
  <si>
    <t>Top AI Marketing Agencies in USA (2026)</t>
  </si>
  <si>
    <t>NoGood, Ninja Promo, Bird Marketing, Boston Consulting Group</t>
  </si>
  <si>
    <t>https://www.digitalarabia.ae/display-advertising-company</t>
  </si>
  <si>
    <t>Display Advertising Agency in Dubai | Digital Arabia</t>
  </si>
  <si>
    <t>Digital Arabia, intouch</t>
  </si>
  <si>
    <t>https://www.digitalarabia.ae/top-digital-marketing-companies-dubai</t>
  </si>
  <si>
    <t>Top 10 Digital Marketing Companies in Dubai (2026)</t>
  </si>
  <si>
    <t>Digital Arabia, Global Media Insight, NEXA, Bird Marketing, Prism Digital, Web Tonic, SEO Sherpa, Ninja Promo, Blue Beetle, M3.agency, intouch</t>
  </si>
  <si>
    <t>https://digitalfarm.ae/blogs/seo/best-digital-marketing-agencies-in-abu-dhabi-2026-guide/</t>
  </si>
  <si>
    <t>Best Digital Marketing Agencies in Abu Dhabi (2026) | Top Picks</t>
  </si>
  <si>
    <t>DigitalFarm, NEXA, Digital Gravity, ASTUDIO</t>
  </si>
  <si>
    <t>https://digitalfarm.ae/blogs/social-media/top-social-media-agencies-in-dubai/</t>
  </si>
  <si>
    <t>Top Social Media Agencies in Dubai (2026 Rankings) | digitalfarm</t>
  </si>
  <si>
    <t>DigitalFarm, NEXA, Prism Digital, Digital Media Sapiens</t>
  </si>
  <si>
    <t>https://digitalif.net/</t>
  </si>
  <si>
    <t>AlifShams - AI Consulting, Digital Marketing &amp; Technology Solutions</t>
  </si>
  <si>
    <t>https://digitallinks.ae/generative-engine-optimization/</t>
  </si>
  <si>
    <t>Generative&amp;nbsp;Engine&amp;nbsp;Optimization – digitallinks.ae</t>
  </si>
  <si>
    <t>https://digitalmediasapiens.com/best-digital-marketing-agency-in-dubai-for-roi-driven-growth/</t>
  </si>
  <si>
    <t>Best Digital Marketing Agency in Dubai for ROI-Driven Growth - Digital Media Sapiens</t>
  </si>
  <si>
    <t>https://digitalmediasapiens.com/marketing-consultant-services-dubai/</t>
  </si>
  <si>
    <t>Marketing Consultant Services Dubai - Digital Media Sapiens</t>
  </si>
  <si>
    <t>https://www.digitalnexa.com/</t>
  </si>
  <si>
    <t>NEXA - Web Design Company In Dubai. Rated #1 for Website Design &amp;amp; Development In The UAE</t>
  </si>
  <si>
    <t>NEXA, Momentum</t>
  </si>
  <si>
    <t>https://www.digitalnexa.com/google-pay-per-click-advertising-services/adwords-agency-dubai</t>
  </si>
  <si>
    <t>Google Adwords &amp;amp; PPC Advertising Agency in Dubai | NEXA</t>
  </si>
  <si>
    <t>https://digitalorks.com/#:~:text=Trusted%20by%20Leading%20Brands%20Who%20Value%20Growth%2C,that%20match%20your%20audience's%20preferences.%20%7C%20Data%2DDriven.</t>
  </si>
  <si>
    <t>Digital Orks</t>
  </si>
  <si>
    <t>https://digitalspacedive.com/</t>
  </si>
  <si>
    <t>Outdoor Advertising Company in Dubai &amp;amp; UAE | EDSD</t>
  </si>
  <si>
    <t>https://www.digitalvidya.com/blog/digital-marketing-agencies-dubai/</t>
  </si>
  <si>
    <t>Top 10 Digital Marketing Agencies In Dubai - 2026 Update</t>
  </si>
  <si>
    <t>Dentsu, Blue Beetle, Red Berries, Merkle</t>
  </si>
  <si>
    <t>https://diib.com/featuredmembers/e-cens/#:~:text=We%20deploy%20data%20science%2C%20advanced%20analytics%2C%20and,achieve%20competitive%20advantage%20and%20successful%20business%20outcomes.</t>
  </si>
  <si>
    <t>E-CENS - 5 Star Featured Members</t>
  </si>
  <si>
    <t>https://directiveconsulting.com/blog/25-best-paid-media-agencies-that-turn-ad-spend-into-revenue/</t>
  </si>
  <si>
    <t>25 Best Paid Media Agencies For B2B - Directive</t>
  </si>
  <si>
    <t>Directive, Jellyfish, Brainlabs, Wpromote, Merkle, WebFX, Disruptive Advertising, Dentsu, KPMG</t>
  </si>
  <si>
    <t>https://directory.esomar.org/results.php?conducted_id%5B%5D=190</t>
  </si>
  <si>
    <t>https://disruptiveadvertising.com/blog/business/top-us-digital-marketing-agencies/</t>
  </si>
  <si>
    <t>Top U.S. Digital Marketing Agencies In 2026 | Disruptive Advertising</t>
  </si>
  <si>
    <t>https://disruptivedigital.agency/what-is-geolift/</t>
  </si>
  <si>
    <t>Using GeoLift to Measure Incrementality - Disruptive Digital</t>
  </si>
  <si>
    <t>https://dixsept-paris.com/en/best-5-luxury-and-creative-agencies-in-dubai-in-2026/</t>
  </si>
  <si>
    <t>The 5 Best Luxury &amp;amp; Creative Agencies in Dubaï</t>
  </si>
  <si>
    <t>https://dmlanalytics.io/services/incrementality-testing.html</t>
  </si>
  <si>
    <t>Incrementality Testing | DML Analytics – DML Analytics</t>
  </si>
  <si>
    <t>https://dotyeti.com/blog/15-best-digital-marketing-agencies-in-dubai</t>
  </si>
  <si>
    <t>15 Best Digital Marketing Agencies in Dubai</t>
  </si>
  <si>
    <t>https://www.dpworld.com/en/about-us/our-locations/uae</t>
  </si>
  <si>
    <t>Our Locations | UAE | DP World</t>
  </si>
  <si>
    <t>https://www.dubaiupdater.com/land-survey-companies-in-uae/</t>
  </si>
  <si>
    <t>Top 13 Land Survey Companies In UAE In 2026</t>
  </si>
  <si>
    <t>https://www.dutest.com/services/lifting-equipment-inspection-third-party-inspection-uae/</t>
  </si>
  <si>
    <t>Lifting Equipment Inspection In UAE - Inspection Companies in Dubai, UAEDutest</t>
  </si>
  <si>
    <t>https://www.dynata.com/</t>
  </si>
  <si>
    <t>World’s Largest First Party Data Platform | Dynata - World’s Largest First Party Data Platform</t>
  </si>
  <si>
    <t>https://easydigital.tech/google-ads/</t>
  </si>
  <si>
    <t>Google Ads – easyDigital</t>
  </si>
  <si>
    <t>https://easyinsights.ai/blog/marketing-attribution-for-b2b-all-you-need-to-know/</t>
  </si>
  <si>
    <t>Marketing Attribution B2B: Your Complete Guide-EasyInsights</t>
  </si>
  <si>
    <t>https://ecimediamanagement.com/media-performance-consulting</t>
  </si>
  <si>
    <t>Media performance consulting for better ROI | ECI Media Management</t>
  </si>
  <si>
    <t>https://edge226.com/what-are-mobile-measurement-partners-why-you-need-one/</t>
  </si>
  <si>
    <t>Mobile Measurement Partners (MMPs): What Are They and Why Are They Essential for a Successful Campaign? \| Edge225</t>
  </si>
  <si>
    <t>https://edgeangel.co/en/marketing-activation/advanced-media-measurement</t>
  </si>
  <si>
    <t>Advanced Media Measurement - EdgeAngel</t>
  </si>
  <si>
    <t>https://edisonmoment.com/agency/best/performance-marketing-agency-abu-dhabi</t>
  </si>
  <si>
    <t>Performance Marketing Agency in Abu Dhabi | Edison Moment</t>
  </si>
  <si>
    <t>https://eds.ae/</t>
  </si>
  <si>
    <t>EDS Dubai – Digital Marketing &amp;amp; Advertising Agency UAE</t>
  </si>
  <si>
    <t>EDS FZCO, Push, intouch</t>
  </si>
  <si>
    <t>https://eds.ae/list-of-best-taxi-advertising-companies-in-dubai/</t>
  </si>
  <si>
    <t>List of Best Taxi Advertising Companies in Dubai</t>
  </si>
  <si>
    <t>https://eiwaagroup.com/service/lifting-equipment-inspection-crane-load-test-uae/</t>
  </si>
  <si>
    <t>ADNOC Approved Lifting Equipment Inspection in UAE I ENAS, IACS</t>
  </si>
  <si>
    <t>https://www.element.com/locations/middle-east/dubai-investments-park-1</t>
  </si>
  <si>
    <t>Materials and Chemical Testing Laboratory in Dubai, UAE</t>
  </si>
  <si>
    <t>https://elementor.com/blog/best-seo-geo-agencies/</t>
  </si>
  <si>
    <t>15 Best SEO &amp;amp; GEO Agencies In 2026</t>
  </si>
  <si>
    <t>NP Digital, Wpromote, Tinuiti, Huge, Common Thread Collective, Momentum</t>
  </si>
  <si>
    <t>https://elioplus.com/middle-east/united-arab-emirates/channel-partners/gis</t>
  </si>
  <si>
    <t>Best GIS IT companies in United Arab Emirates \| Elioplus</t>
  </si>
  <si>
    <t>https://elshorafa.co/services/seo-geo</t>
  </si>
  <si>
    <t>SEO &amp;amp; GEO Optimization Services | Elshorafa Co.</t>
  </si>
  <si>
    <t>https://www.emarketer.com/content/faq-on-ai-media-buying--platform-tools--agency-strategy--how-win-2026</t>
  </si>
  <si>
    <t>FAQ on AI media buying: Platform tools, agency strategy, and how to win in 2026</t>
  </si>
  <si>
    <t>Push, Publicis Groupe, WPP</t>
  </si>
  <si>
    <t>https://emblixsolutions.ae/ai-powered-digital-marketing-services-in-dubai/#:~:text=GPT%2D5%20for%20campaign%20planning%2C%20competitive%20synthesis%2C%20and,analysis.%20Best%20depth%2Dof%2Dreasoning%20in%20the%20stack.%20Gemini.</t>
  </si>
  <si>
    <t>https://emergedigital.com/digital-analytics-measurement-services/</t>
  </si>
  <si>
    <t>emergedigital.com</t>
  </si>
  <si>
    <t>Services — Emerge Digital Capability Stack</t>
  </si>
  <si>
    <t>https://en-ae.whatjobs.com/jobs/programmatic-director-head-of/dubai-fujairah?id=92781445</t>
  </si>
  <si>
    <t>What Programmatic Director Head Of Jobs are in Dubai? | WhatJobs UnitedArabEmirates</t>
  </si>
  <si>
    <t>https://ensun.io/search/geospatial-data/united-arab-emirates</t>
  </si>
  <si>
    <t>Top 100 Geospatial Data Companies in United Arab Emirates (2026) \| ensun</t>
  </si>
  <si>
    <t>https://www.enzuzo.com/blog/best-performance-marketing-agencies</t>
  </si>
  <si>
    <t>9 Top Performance Marketing Agencies [2024 Review]</t>
  </si>
  <si>
    <t>https://estran.io/agence-geo</t>
  </si>
  <si>
    <t>GEO Agency: Definition, Method and Deliverables in 2026 | Estran</t>
  </si>
  <si>
    <t>https://eticamediatech.com/</t>
  </si>
  <si>
    <t>Etica Media Tech | Media. Creators. Production. Communications. AI.</t>
  </si>
  <si>
    <t>https://www.exalogic.co/geospatial-services</t>
  </si>
  <si>
    <t>Top Geospatial Services &amp;amp; GIS Solutions in UAE</t>
  </si>
  <si>
    <t>https://www.experian.com/blogs/marketing-forward/first-party-data-activation-2026/</t>
  </si>
  <si>
    <t>How activation drives first-party value | Experian Marketing</t>
  </si>
  <si>
    <t>https://www.experiture.com/channel/paid-media/</t>
  </si>
  <si>
    <t>Paid-Media - Experiture | Omnichannel Marketing Automation Platform</t>
  </si>
  <si>
    <t>https://www.expertsure.com/uk/digital-marketing/best-b2b-lead-generation-agencies/</t>
  </si>
  <si>
    <t>Best B2B Lead Generation Agencies UK 2026 | Compared</t>
  </si>
  <si>
    <t>https://eyemedia.ae/</t>
  </si>
  <si>
    <t>Eye Media – Advertising</t>
  </si>
  <si>
    <t>https://www.f6s.com/software/category/first-party-data-activation</t>
  </si>
  <si>
    <t>Best First-Party Data Activation Software • March 2026 \| F6S</t>
  </si>
  <si>
    <t>https://feedbax.ai/creative-agencies/united-arab-emirates</t>
  </si>
  <si>
    <t>Top 20 Creative Agencies in the United Arab Emirates - 2026 Reviews</t>
  </si>
  <si>
    <t>https://www.fieldtrip.agency/post/best-ai-marketing-agencies</t>
  </si>
  <si>
    <t>Best AI Marketing Agencies Building the Next Era of Advertising</t>
  </si>
  <si>
    <t>Jellyfish, Monks, Superside, Single Grain, Wpromote, Brainlabs, Measured, Power Digital, inBeat</t>
  </si>
  <si>
    <t>https://www.fieldtrip.agency/post/best-creative-agencies-for-global-brands</t>
  </si>
  <si>
    <t>Top 14 Creative Agencies Powering Global Branding This Year</t>
  </si>
  <si>
    <t>inBeat, Dentsu, Nielsen</t>
  </si>
  <si>
    <t>https://www.fieldtrip.agency/post/overcoming-creative-production-challenges-for-large-brand</t>
  </si>
  <si>
    <t>Overcoming Challenges in Creative Production for Large-Scale Brands</t>
  </si>
  <si>
    <t>inBeat, Momentum</t>
  </si>
  <si>
    <t>https://firstpartydigital.com/</t>
  </si>
  <si>
    <t>First Party Digital - Data-Driven Consumer Acquisition Solutions</t>
  </si>
  <si>
    <t>https://flypix.ai/geospatial-companies-in-dubai/</t>
  </si>
  <si>
    <t>Best Geospatial Companies in Dubai: Leaders in Mapping</t>
  </si>
  <si>
    <t>https://fntmanagement.com/top-marketing-agencies/</t>
  </si>
  <si>
    <t>Best Marketing Agencies 2026: Rating | Expert ROI Guide</t>
  </si>
  <si>
    <t>Siege Media, WebFX</t>
  </si>
  <si>
    <t>https://www.foreplay.co/post/madgicx-alternatives</t>
  </si>
  <si>
    <t>9 Best Madgicx Alternatives</t>
  </si>
  <si>
    <t>https://www.forrester.com/blogs/picking-an-agency-to-maximize-the-value-of-your-first-party-data/</t>
  </si>
  <si>
    <t>Picking An Agency To Maximize The Value Of Your First-Party Data</t>
  </si>
  <si>
    <t>https://www.fortismedia.com/en/articles/roi-marketing-agency/</t>
  </si>
  <si>
    <t>Articles - Fortis Media</t>
  </si>
  <si>
    <t>https://www.freshcoast.ai/services.html</t>
  </si>
  <si>
    <t>AI Readiness &amp;amp; Adoption Services | Fresh Coast AI</t>
  </si>
  <si>
    <t>https://www.ft.com/content/ccf5ea33-1398-4b9d-8bf6-a403f2f5493e</t>
  </si>
  <si>
    <t>https://www.gartner.com/reviews/market/customer-data-platforms#:~:text=Salesforce%20Data%20Cloud%20is%20a%20software%20that,delivery%20of%20relevant%20information%20across%20business%20processes.</t>
  </si>
  <si>
    <t>Best Customer Data Platforms Reviews 2026 \| Gartner Peer Insights</t>
  </si>
  <si>
    <t>https://www.gartner.com/reviews/market/developer-skills-assessment-and-interview-platforms</t>
  </si>
  <si>
    <t>Best Developer Skills Assessment and Interview Platforms Reviews 2026 \| Gartner Peer Insights</t>
  </si>
  <si>
    <t>https://gatewaymarketingdigital.ae/</t>
  </si>
  <si>
    <t>Performance Marketing Agency Dubai | Lead Generation</t>
  </si>
  <si>
    <t>https://www.gcc-marketing.com/en/ai-automation-agency-dubai/</t>
  </si>
  <si>
    <t>AI Automation Agency Dubai | AI Automation Services | GCC Marketing</t>
  </si>
  <si>
    <t>https://www.gcc-marketing.com/en/case-studies/</t>
  </si>
  <si>
    <t>Case studies - Dubai’s Premier Mobile App &amp;amp; Website Development Agency | GCC Marketing</t>
  </si>
  <si>
    <t>https://gcctechgroup.com/generative-engine-optimization-agency-dubai/</t>
  </si>
  <si>
    <t>Generative Engine Optimization service in Dubai</t>
  </si>
  <si>
    <t>https://www.geniecrawl.com/top-50-geo-and-ai-marketing-agencies-in-the-uk-2026-rankings/</t>
  </si>
  <si>
    <t>UK’s Leading GEO &amp; AI Marketing Agencies for 2026</t>
  </si>
  <si>
    <t>Bird Marketing, Push, Croud, intouch</t>
  </si>
  <si>
    <t>https://www.geovate.com/</t>
  </si>
  <si>
    <t>Generative Engine Optimization Company | GEO &amp;amp; AEO Services</t>
  </si>
  <si>
    <t>https://www.get-ryze.ai/blog/how-agencies-scale-ad-creative-production</t>
  </si>
  <si>
    <t>How Advertising Agencies Scale Ad Creative Production</t>
  </si>
  <si>
    <t>https://www.getkard.com/blog/geo-lift-test-measuring-marketing-incrementality-through-geographic-experiments</t>
  </si>
  <si>
    <t>Geo Lift Test: Measuring Marketing Incrementality Through Geographic Experiments | Kard</t>
  </si>
  <si>
    <t>https://www.getonwebs.com/data-analytics-insights/</t>
  </si>
  <si>
    <t>https://gigawattgroup.com/insights/best-geo-agencies-in-2026-who-actually-drives-ai-visibility-and-citations/</t>
  </si>
  <si>
    <t>Best GEO Agencies in 2026: Who Actually Drives AI Visibility and Citations - Gigawatt Group</t>
  </si>
  <si>
    <t>https://gitnux.org/service/uae-digital-marketing/#:~:text=Editor's%20top%203%20picks%20%2D%20ADYOUNEED.%20Event,%2D%20Digital%20Marketing%20Agency%20Dubai.%20Editor%20pick.</t>
  </si>
  <si>
    <t>Best Uae Digital Marketing Services: 2026 Comparison</t>
  </si>
  <si>
    <t>https://www.globalmediainsight.com/</t>
  </si>
  <si>
    <t>Digital Marketing Agency in Dubai | UAE's 1st Digital Services</t>
  </si>
  <si>
    <t>https://www.globalmediainsight.com/digital-analytics-dashboard/</t>
  </si>
  <si>
    <t>Customizable Digital Analytics dashboard reporting services | GMI</t>
  </si>
  <si>
    <t>https://www.globalmediainsight.com/seo-company-dubai/</t>
  </si>
  <si>
    <t>SEO Company in Dubai | #1 SEO Agency &amp;amp; Services UAE</t>
  </si>
  <si>
    <t>Global Media Insight, Huge</t>
  </si>
  <si>
    <t>https://www.globalsurf.ae/generative-engine-optimization#:~:text=Making%20your%20content%20clearer%20for%20AI%20to,%2D%20AI%20browser%20%26%20LLM%20appearance%20monitoring.</t>
  </si>
  <si>
    <t>Generative Engine Optimization (GEO) Services Dubai | GS Digital | GS Digital</t>
  </si>
  <si>
    <t>https://glomm.co/top-answer-engine-optimization-aeo-agencies-in-dubai/#:~:text=Digital%20Nexa%20combines%20AI%20tools,AEO%20services%20under%20one%20roof.</t>
  </si>
  <si>
    <t>Top Answer Engine Optimization (AEO) Agencies in Dubai - glomm</t>
  </si>
  <si>
    <t>NEXA, Zenerom</t>
  </si>
  <si>
    <t>https://glomm.co/top-social-media-marketing-agencies-in-dubai-compared/</t>
  </si>
  <si>
    <t>Top 10 Social Media Marketing Agencies in Dubai Compared (Pricing, Services &amp;amp; Results) – 2026 Edition - glomm</t>
  </si>
  <si>
    <t>Glomm Digital, Prism Digital</t>
  </si>
  <si>
    <t>https://gmp.incubeta.com/dv360-licensing</t>
  </si>
  <si>
    <t>DV360 Licensing | Incubeta</t>
  </si>
  <si>
    <t>https://www.goodfirms.co/advertising-companies/dubai</t>
  </si>
  <si>
    <t>Top Advertising Agencies in Dubai - 2026 Reviews | Goodfirms</t>
  </si>
  <si>
    <t>Prism Digital, intouch, Digital Gravity, Leads Dubai, Omnicom Media Group, Global Media Insight</t>
  </si>
  <si>
    <t>https://www.goodfirms.co/artificial-intelligence/abu-dhabi</t>
  </si>
  <si>
    <t>Top AI Companies in Abu Dhabi - 2026 Reviews | Goodfirms</t>
  </si>
  <si>
    <t>https://www.goodfirms.co/artificial-intelligence/uae</t>
  </si>
  <si>
    <t>Top Artificial Intelligence Companies in UAE - 2026 Reviews | Goodfirms</t>
  </si>
  <si>
    <t>intouch, WebFX</t>
  </si>
  <si>
    <t>https://www.goodfirms.co/seo-agencies/uae</t>
  </si>
  <si>
    <t>Best SEO Companies in UAE - 2026 Rankings \| Goodfirms</t>
  </si>
  <si>
    <t>https://google.assemblyglobal.com/</t>
  </si>
  <si>
    <t>A Google Marketing Platform (GMP) Certified Reseller | Assembly</t>
  </si>
  <si>
    <t>https://www.google.com/searchviewer/10?svid=CAwSGxIZCgNwdnESEkNnc3ZaeTh4ZEdSM2REUmpkdxgK</t>
  </si>
  <si>
    <t>https://www.google.com/searchviewer/10?svid=CAwSHBIaCgNwdnESE0Nnd3ZaeTh4Y1RZMFpGOW1ZamcYCg</t>
  </si>
  <si>
    <t>https://www.google.com/searchviewer/10?svid=CAwSHBIaCgNwdnESE0Nnd3ZaeTh4YUdjMGVHYzBkakkYCg</t>
  </si>
  <si>
    <t>https://www.google.com/searchviewer/10?svid=CAwSHRIbCgNwdnESFENnMHZaeTh4TVc1NGNXMWpaM04zGAo</t>
  </si>
  <si>
    <t>https://www.google.com/searchviewer/10?svid=CAwSHRIbCgNwdnESFENnMHZaeTh4TVc1dGVsOHhkSGxzGAo</t>
  </si>
  <si>
    <t>https://www.google.com/searchviewer/10?svid=CAwSHRIbCgNwdnESFENnMHZaeTh4TVd4MGNUZzVYM055GAo</t>
  </si>
  <si>
    <t>https://www.google.com/searchviewer/10?svid=CAwSHRIbCgNwdnESFENnMHZaeTh4TVdJMlpEQXdiRE54GAo</t>
  </si>
  <si>
    <t>https://www.google.com/searchviewer/10?svid=CAwSHRIbCgNwdnESFENnMHZaeTh4TVdKaWQzaHNjM2N5GAo</t>
  </si>
  <si>
    <t>https://www.google.com/searchviewer/10?svid=CAwSHRIbCgNwdnESFENnMHZaeTh4TVdOcWFHcG1abTE0GAo</t>
  </si>
  <si>
    <t>https://www.google.com/searchviewer/10?svid=CAwSHRIbCgNwdnESFENnMHZaeTh4TVdOdGRuTmtOWEk1GAo</t>
  </si>
  <si>
    <t>https://www.google.com/searchviewer/10?svid=CAwSHRIbCgNwdnESFENnMHZaeTh4TVdwdVgxOTJjVGx4GAo</t>
  </si>
  <si>
    <t>https://www.google.com/searchviewer/10?svid=CAwSHRIbCgNwdnESFENnMHZaeTh4TVhKbVl6ZDVZbTF6GAo</t>
  </si>
  <si>
    <t>https://www.google.com/searchviewer/10?svid=CAwSHRIbCgNwdnESFENnMHZaeTh4TVhRMFlqRnNjSEJuGAo</t>
  </si>
  <si>
    <t>https://www.google.com/searchviewer/10?svid=CAwSHRIbCgNwdnESFENnMHZaeTh4TVhSdVgyTTBabnB3GAo</t>
  </si>
  <si>
    <t>https://www.google.com/searchviewer/10?svid=CAwSHRIbCgNwdnESFENnMHZaeTh4TVhaNU5tMTVObTUyGAo</t>
  </si>
  <si>
    <t>https://www.google.com/searchviewer/10?svid=CAwSHRIbCgNwdnESFENnMHZaeTh4TVhkak9YQm9PWGM0GAo</t>
  </si>
  <si>
    <t>https://govanator.com/best-google-ads-services-in-australia/</t>
  </si>
  <si>
    <t>Best Google Ads Services in Australia</t>
  </si>
  <si>
    <t>https://gpcsolutions.ae/digital-marketing-agency-uae/</t>
  </si>
  <si>
    <t>Digital Marketing – GPC SOLUTIONS</t>
  </si>
  <si>
    <t>https://gr.agency/blog/ppc-companies-in-dubai</t>
  </si>
  <si>
    <t>7 Top PPC Companies in Dubai to Watch in 2026</t>
  </si>
  <si>
    <t>https://gr.agency/blog/top-creative-agencies-in-dubai</t>
  </si>
  <si>
    <t>7 Top Creative Agencies in Dubai: The 2026 Guide</t>
  </si>
  <si>
    <t>https://gr.agency/blog/top-digital-marketing-agency</t>
  </si>
  <si>
    <t>7 Top Digital Marketing Agency Choices in Dubai for 2026</t>
  </si>
  <si>
    <t>https://www.grantthornton.com/insights/articles/advisory/2026/ai-adoption-strategies-that-stick</t>
  </si>
  <si>
    <t>6 AI adoption strategies that stick | Grant Thornton</t>
  </si>
  <si>
    <t>https://www.gravitatedesign.com/service/ai-seo/</t>
  </si>
  <si>
    <t>AI SEO Services for AI Search Visibility | Gravitate</t>
  </si>
  <si>
    <t>https://www.grow.ae/</t>
  </si>
  <si>
    <t>Grow - Leading Strategic Growth Agency in Dubai</t>
  </si>
  <si>
    <t>https://www.growth-hackers.net/best-performance-marketing-agencies/</t>
  </si>
  <si>
    <t>Top 24 Performance Marketing Agencies in 2026 | Select the Best Performance Marketing Agency | Growth Hackers</t>
  </si>
  <si>
    <t>Growth Hackers, Monks, Tinuiti, M&amp;C Saatchi Performance, Croud, Bark London, intouch</t>
  </si>
  <si>
    <t>https://www.growth-rocket.com/blog/what-high-performing-agencies-do-differently-with-first-party-data-strategy/</t>
  </si>
  <si>
    <t>What High-Performing Agencies Do Differently With First-Party Data Strategy - Growth Rocket</t>
  </si>
  <si>
    <t>https://growth.cx/blog/best-performance-marketing-agencies/</t>
  </si>
  <si>
    <t>13 Best Performance Marketing Agencies to Boost ROI in 2026</t>
  </si>
  <si>
    <t>https://growthanchors.com/geo-aeo</t>
  </si>
  <si>
    <t>Generative Engine Optimization (GEO) Agency \| Growth Anchors</t>
  </si>
  <si>
    <t>https://growthcurve.co/agency/digital-marketing-agency/best-growth-marketing-agencies</t>
  </si>
  <si>
    <t>Best Growth Marketing Agencies | Growthcurve</t>
  </si>
  <si>
    <t>https://www.growthensemble.com/ai-marketing</t>
  </si>
  <si>
    <t>AI-Enabled Marketing Advisory &amp;amp; Execution | Growth Ensemble</t>
  </si>
  <si>
    <t>https://growthmanager.ai/best-aeo-agency/in/dubai</t>
  </si>
  <si>
    <t>Best AEO agencies in Dubai (2026, reviewed)</t>
  </si>
  <si>
    <t>NP Digital, Momentum</t>
  </si>
  <si>
    <t>https://growthmarketing.ae/</t>
  </si>
  <si>
    <t>Growth Marketing Dubai | Digital Marketing Growth Expert</t>
  </si>
  <si>
    <t>INSIDEA, Push, Momentum</t>
  </si>
  <si>
    <t>https://www.growthspreeofficial.com/blogs/top-5-roi-focused-agencies-for-b2b-saas-growth-marketing-in-2026</t>
  </si>
  <si>
    <t>Top 5 ROI-Focused Agencies for B2B SaaS Growth Marketing (2026)</t>
  </si>
  <si>
    <t>GrowthSpree, NoGood, Single Grain</t>
  </si>
  <si>
    <t>https://grudva.com/services/ai-readiness-maturity/</t>
  </si>
  <si>
    <t>AI Readiness &amp;amp; Maturity - Grudva Business Consulting</t>
  </si>
  <si>
    <t>https://www.gtechme.com/seo-company-in-dubai/</t>
  </si>
  <si>
    <t>Top SEO Company in Dubai | ROI-Driven SEO Agency Services</t>
  </si>
  <si>
    <t>intouch, Push, Huge</t>
  </si>
  <si>
    <t>https://www.gtm8020.com/services/marketing-analytics</t>
  </si>
  <si>
    <t>Marketing Analytics Consultants — GTM 8020</t>
  </si>
  <si>
    <t>https://gulfnews.com/business/corporate-news/agn-it-services-launches-ai-framework-to-support-sme-digital-transformation-in-uae-1.500430076</t>
  </si>
  <si>
    <t>AGN IT Services launches AI framework to support SME digital transformation in UAE</t>
  </si>
  <si>
    <t>https://gulfnews.com/uae/uae-is-worlds-most-prepared-nation-for-ai-adoption-al-gergawi-1.500579983</t>
  </si>
  <si>
    <t>UAE world’s most prepared nation for AI adoption as government accelerates Agentic AI transformation</t>
  </si>
  <si>
    <t>https://www.gulftest.org/lift-inspection.html</t>
  </si>
  <si>
    <t>Lift Inspection Dubai | Lift Inspection UAE - Gulftest</t>
  </si>
  <si>
    <t>https://harisand.co/ae/digital-marketing-agency-in-abudhabi</t>
  </si>
  <si>
    <t>https://www.haus.io/</t>
  </si>
  <si>
    <t>Haus | AI-Powered Causal Marketing</t>
  </si>
  <si>
    <t>Haus, Momentum</t>
  </si>
  <si>
    <t>https://www.haus.io/article/meta-incrementality-testing</t>
  </si>
  <si>
    <t>Understanding Meta incrementality testing | Haus</t>
  </si>
  <si>
    <t>https://hawksem.com/blog/performance-marketing-agency-list/</t>
  </si>
  <si>
    <t>Top 10 Performance Marketing Agencies in 2026</t>
  </si>
  <si>
    <t>Tinuiti, Merkle, Wpromote</t>
  </si>
  <si>
    <t>https://helio.ae/</t>
  </si>
  <si>
    <t>Home - Helio Group</t>
  </si>
  <si>
    <t>https://www.hellopixels.com/analytics/</t>
  </si>
  <si>
    <t>Data Analysis Company in Dubai, UAE | Outsource Data Analytics Abu Dhabi</t>
  </si>
  <si>
    <t>https://www.henryharvin.com/blog/digital-marketing-agencies-dubai/</t>
  </si>
  <si>
    <t>Top 10 Digital Marketing Agencies in Dubai, UAE</t>
  </si>
  <si>
    <t>https://www.heydigital.co/blog/saas-marketing-agencies</t>
  </si>
  <si>
    <t>The 16 Best SaaS Marketing Agencies in 2026 | Hey Digital</t>
  </si>
  <si>
    <t>Directive, NoGood, Single Grain, Omniscient Digital, Siege Media</t>
  </si>
  <si>
    <t>https://highbizz.co/</t>
  </si>
  <si>
    <t>https://www.hikmahaiagency.com/blog/aeo-services-dubai-2026</t>
  </si>
  <si>
    <t>AEO Services in Dubai 2026: What You Get &amp;amp; What It Costs</t>
  </si>
  <si>
    <t>https://www.hnlegal.ae/ai-legal-compliance-uae/</t>
  </si>
  <si>
    <t>AI Legal Compliance UAE | Tech lawyer for AI regulations in Dubai</t>
  </si>
  <si>
    <t>https://www.hockeystack.com/blog-posts/best-marketing-attribution-software</t>
  </si>
  <si>
    <t>19 Best Marketing Attribution Software Solutions Reviewed for 2026</t>
  </si>
  <si>
    <t>https://hogi.ae/blog/top-10-branding-agencies-in-dubai/</t>
  </si>
  <si>
    <t>Top 10 Branding Agencies in Dubai: HOGI| HOGI</t>
  </si>
  <si>
    <t>https://hookeddigital.net/best-digital-marketing-agencies-dubai/</t>
  </si>
  <si>
    <t>Best Digital Marketing Agencies in Dubai (2026) | Hooked Digital</t>
  </si>
  <si>
    <t>Global Media Insight, NEXA, Digital Gravity, SEO Sherpa, DigitalFarm</t>
  </si>
  <si>
    <t>https://hop.rocks/services/growth-strategy-and-intelligence/</t>
  </si>
  <si>
    <t>Growth Strategy &amp;amp; Analytics in UAE – Data, CRM &amp;amp; Automation</t>
  </si>
  <si>
    <t>https://www.hostino.ae/ai-geo-agency-ajman/</t>
  </si>
  <si>
    <t>GEO Agency Ajman | AI SEO &amp;amp; ChatGPT Optimization</t>
  </si>
  <si>
    <t>https://www.housesofgrowth.com/post/aeo-agencies</t>
  </si>
  <si>
    <t>10 Best Answer Engine Optimization (AEO) Agencies in 2026</t>
  </si>
  <si>
    <t>https://humanise.world/blog/first-party-data-activation</t>
  </si>
  <si>
    <t>Three Truths About First-Party Data Activation | Humanise</t>
  </si>
  <si>
    <t>https://www.hunchads.com/blog/incrementality-testing-on-meta</t>
  </si>
  <si>
    <t>Incrementality testing: how to measure it on Meta</t>
  </si>
  <si>
    <t>https://hypebox.me/blog/articles/top-content-creation-agency-in-lebanon</t>
  </si>
  <si>
    <t>Top Content Creation Agency in Lebanon | Hypebox Media</t>
  </si>
  <si>
    <t>https://hypebox.me/en-lb/blog/articles/top-10-boutique-creative-agencies-in-uae-2026</t>
  </si>
  <si>
    <t>https://hypebox.me/services/performance-marketing-2</t>
  </si>
  <si>
    <t>Performance Marketing &amp;amp; Paid Ads Agency | Hypebox UAE</t>
  </si>
  <si>
    <t>https://www.iamagazine.com/2026/05/04/what-agencies-got-right-with-ai-adoption-and-the-first-steps-they-took/</t>
  </si>
  <si>
    <t>What Agencies Got Right With AI Adoption—And The First Steps They Took - IA Magazine</t>
  </si>
  <si>
    <t>https://www.iasmedia.com/global-media-representation-uae/</t>
  </si>
  <si>
    <t>Digital Media Representation Agency in UAE for Global Brands</t>
  </si>
  <si>
    <t>https://www.iasmedia.com/top-digital-media-representation-agencies-uae/</t>
  </si>
  <si>
    <t>Top Digital Media Representation Agencies in UAE</t>
  </si>
  <si>
    <t>https://icoda.io/blog/best-pr-agencies-in-dubai/</t>
  </si>
  <si>
    <t>Best PR Agencies in Dubai — 2026 Expert Ranking</t>
  </si>
  <si>
    <t>United SEO, AlCaz Media, Haus, Dot IT, Red Berries, Leads Dubai, Measured, PwC, Single Grain</t>
  </si>
  <si>
    <t>https://icukonline.org/emerging-geo-experts-redefining-the-standards</t>
  </si>
  <si>
    <t>Emerging GEO Experts Redefining the Standards</t>
  </si>
  <si>
    <t>https://idukki.io/blog/ugc-incrementality-testing-holdout</t>
  </si>
  <si>
    <t>UGC incrementality testing: the lift number a CFO will believe — Idukki</t>
  </si>
  <si>
    <t>Measured, Nielsen</t>
  </si>
  <si>
    <t>https://www.ie.edu/uncover-ie/the-big-six-agencies-marcom-ie-business-school/</t>
  </si>
  <si>
    <t>Big Six Agency Networks: Owners, Brands &amp;amp; Services (2026)</t>
  </si>
  <si>
    <t>WPP, Dentsu, VML, GroupM, Publicis Groupe, Merkle</t>
  </si>
  <si>
    <t>https://ie.linkedin.com/company/acquisit-advertising?trk=ppro_cprof</t>
  </si>
  <si>
    <t>Acquisit | LinkedIn</t>
  </si>
  <si>
    <t>Acquisit, GCC Marketing, Huge</t>
  </si>
  <si>
    <t>https://www.imanta.io/blog/imanta-e-cens-join-forces/</t>
  </si>
  <si>
    <t>Imanta + e-CENS join forces - Imanta</t>
  </si>
  <si>
    <t>https://imedia247.ae/</t>
  </si>
  <si>
    <t>https://impact.com/partnerships/incrementality-101-optimize-affiliate-partnerships/</t>
  </si>
  <si>
    <t>Incrementality 101: Understanding What it is and How it Works</t>
  </si>
  <si>
    <t>https://www.impressiondigital.com/generative-engine-optimisation-agency/</t>
  </si>
  <si>
    <t>Generative Engine Optimisation (GEO) Agency | Impression</t>
  </si>
  <si>
    <t>https://improvado.io/blog/advanced-marketing-analytics-an-overview-of-the-top-techniques</t>
  </si>
  <si>
    <t>Advanced Marketing Analytics Techniques Guide 2026</t>
  </si>
  <si>
    <t>https://improvado.io/blog/incrementality-guide</t>
  </si>
  <si>
    <t>Marketing Incrementality: The Ultimate Guide to Measurement &amp;amp; Testing</t>
  </si>
  <si>
    <t>https://in.linkedin.com/company/nexaai-co-in</t>
  </si>
  <si>
    <t>Nexa AI | LinkedIn</t>
  </si>
  <si>
    <t>NEXA</t>
  </si>
  <si>
    <t>https://inbeat.agency/blog/incrementality-testing</t>
  </si>
  <si>
    <t>Incrementality Testing: Calculations, Examples, and More for 2025 - inBeat Agency</t>
  </si>
  <si>
    <t>inBeat, Nielsen, Measured, Push</t>
  </si>
  <si>
    <t>https://inbeat.agency/blog/top-creative-agencies</t>
  </si>
  <si>
    <t>Top 16 Creative Agencies Setting the Standard in 2026 - inBeat Agency</t>
  </si>
  <si>
    <t>inBeat, Nielsen, WPP, Momentum</t>
  </si>
  <si>
    <t>https://inbeat.agency/blog/top-media-buying-agencies</t>
  </si>
  <si>
    <t>14 Media Buying Agencies That Actually Stretch a Budget - inBeat Agency</t>
  </si>
  <si>
    <t>inBeat, Nielsen, Push, Measured</t>
  </si>
  <si>
    <t>https://inbeat.agency/blog/top-performance-creative-agencies</t>
  </si>
  <si>
    <t>Performance Creative Agencies: 15 Worth a First Call (2026) - inBeat Agency</t>
  </si>
  <si>
    <t>inBeat, Nielsen, Tinuiti, Darkroom, Bark London</t>
  </si>
  <si>
    <t>https://inbeat.agency/blog/top-user-acquisition-agencies</t>
  </si>
  <si>
    <t>Top 30 User Acquisition Agencies in 2025 Driving Scalable Growth - inBeat Agency</t>
  </si>
  <si>
    <t>inBeat, Nielsen, Huge, M&amp;C Saatchi Performance, Growth Hackers</t>
  </si>
  <si>
    <t>https://www.inbeat.co/articles/top-digital-marketing-agencies-dubai/</t>
  </si>
  <si>
    <t>Top 31 Digital Marketing Agencies in Dubai (Reviewed in January 2025)</t>
  </si>
  <si>
    <t>inBeat, NEXA, ASTUDIO, Prism Digital, Digital Gravity, Red Berries, GCC Marketing, Chain Reaction, GPS Marketing Agency, DigitalFarm, Digital Media Sapiens, United SEO, Incubeta</t>
  </si>
  <si>
    <t>https://www.incrmntal.com/</t>
  </si>
  <si>
    <t>AI-Powered Incremental Marketing &amp;amp; Measurement | INCRMNTAL</t>
  </si>
  <si>
    <t>https://www.incrmntal.com/faq/what-is-incrementality-testing</t>
  </si>
  <si>
    <t>Understanding Incrementality Testing for Smarter Marketing</t>
  </si>
  <si>
    <t>https://www.incrmntal.com/geolift</t>
  </si>
  <si>
    <t>GeoLift Experiments Reinvented</t>
  </si>
  <si>
    <t>https://incubeta.com/capabilities/marketing-intelligence/</t>
  </si>
  <si>
    <t>Marketing Intelligence | Incubeta</t>
  </si>
  <si>
    <t>https://incubeta.com/solutions/</t>
  </si>
  <si>
    <t>Outperform Solutions | Incubeta</t>
  </si>
  <si>
    <t>Incubeta, Push, intouch</t>
  </si>
  <si>
    <t>https://www.influencer-hero.com/blogs/top-social-media-agencies-in-munich</t>
  </si>
  <si>
    <t>Top 10 Social Media Agencies in Munich</t>
  </si>
  <si>
    <t>https://influencermarketinghub.com/ai-marketing-agencies/</t>
  </si>
  <si>
    <t>Best AI Marketing Agencies For 2026</t>
  </si>
  <si>
    <t>McKinsey &amp; Company, Momentum, Mindshare, Wpromote, Dentsu</t>
  </si>
  <si>
    <t>https://influencermarketinghub.com/best-ai-agents-for-influencer-marketing/</t>
  </si>
  <si>
    <t>Best AI Agents for Influencer Marketing in 2026</t>
  </si>
  <si>
    <t>Monks</t>
  </si>
  <si>
    <t>https://influencermarketinghub.com/performance-marketing-agencies/</t>
  </si>
  <si>
    <t>Top 54 Performance Marketing Agencies to Boost Your ROI in 2026</t>
  </si>
  <si>
    <t>McKinsey &amp; Company, Momentum, Measured, WebFX, Tinuiti, GroupM, Wpromote, Dentsu, Merkle, Power Digital, Croud, Incubeta, NoGood, Disruptive Advertising, Directive</t>
  </si>
  <si>
    <t>https://info.measured.com/media-mix-modeling-demo</t>
  </si>
  <si>
    <t>Incrementality-Powered Media Mix Modeling | Measured</t>
  </si>
  <si>
    <t>https://ingestlabs.com/mastering-first-party-data-activation/</t>
  </si>
  <si>
    <t>Mastering the use and activation of First-Party Data | Ingest Labs</t>
  </si>
  <si>
    <t>https://www.innofied.com/ai-integration-consulting-custom-vs-pre-built-tools-explained/</t>
  </si>
  <si>
    <t>innofied.com</t>
  </si>
  <si>
    <t>AI Integration Consulting: Custom vs Pre-Built Tools Explained</t>
  </si>
  <si>
    <t>https://www.instagram.com/reel/DEINQLyT2n8/</t>
  </si>
  <si>
    <t>🌟 Looking to Expand Your Business in the GCC? 🌟
🚀 Finding the right investors in the GCC region is key to scaling your business! Here's how you can make it happen:
1️⃣ Highlight your business’s unique potential.
2️⃣ Research investors who align with your vision.
3️⃣ Create a powerful pitch that stands out.
4️⃣ Network with the right people to build connections.
5️⃣ Secure partnerships that drive success!
💡 Need help with the process? Let us guide you step-by-step!
📩 DM us today for personalized advice.
#GCCInvestors #BusinessGrowth #InvestmentOpportunities #Entrepreneurship #BusinessSetup #InvestorConnections #FundingYourBusiness #StartupSuccess #GCCBusiness</t>
  </si>
  <si>
    <t>https://www.instagram.com/reel/DHfu8Ezv3tV/</t>
  </si>
  <si>
    <t>🎬 Cutting-Edge CGI &amp; VFX Meet High-Impact Content Marketing! 🎬
We integrate AI-powered analytics, CGI-enhanced visuals, conversion-optimized funnels, and multi-channel performance marketing to drive measurable growth and brand impact. From cinematic CGI ads to precision-targeted campaigns, we engineer success at every touchpoint.
🔥 Dubai’s Most Powerful Brand Growth Engine! 🔥
P.S: Brands using predictive analytics, A/B testing, CGI-driven storytelling, and hyper-personalization see 5x higher ROI, are you leveraging these strategies to scale?
Get your marketing done right, partner with Enum Digital today!
#EnumDigital #Branding #MarketingDubai #DigitalInnovation #ExperienceAgency #UAE #Advertising #AIinMarketing #PerformanceMarketing #GrowthEngine #Ecommerce #SaaS #LeadGen #ContentStrategy #CGI #VFX #Media #Animation</t>
  </si>
  <si>
    <t>https://www.instagram.com/vibemarketingtechfest/</t>
  </si>
  <si>
    <t>https://www.intellectyx.com/ai-agent-development-companies-in-usa/</t>
  </si>
  <si>
    <t>Top AI Agent Development Companies in USA (2026)</t>
  </si>
  <si>
    <t>https://www.jafza.ae/</t>
  </si>
  <si>
    <t>Jebel Ali Free Zone (Jafza) | FZE, FZCO business setup in Dubai</t>
  </si>
  <si>
    <t>https://jasadvertising.com/</t>
  </si>
  <si>
    <t>Best digital signage company in Dubai, UAE |Sign board makers</t>
  </si>
  <si>
    <t>https://jjagency.co/</t>
  </si>
  <si>
    <t>Commercial Film &amp;amp; VFX Studio — CGI, Animation, AI | JJ Agency Films</t>
  </si>
  <si>
    <t>https://www.kantar.com/Locations/United-Arab-Emirates</t>
  </si>
  <si>
    <t>United Arab Emirates</t>
  </si>
  <si>
    <t>intouch, Kantar</t>
  </si>
  <si>
    <t>https://kb.triplewhale.com/en/articles/12441418-incrementality</t>
  </si>
  <si>
    <t>Incrementality | Triple Whale Help Center</t>
  </si>
  <si>
    <t>https://kenzadvertising.com/</t>
  </si>
  <si>
    <t>https://www.keplergrp.com/expertise/generative-engine-optimization-the-future-of-digital-visibility</t>
  </si>
  <si>
    <t>Generative Engine Optimization: The Future of Digital Visibility - Kepler - The Future in Focus™</t>
  </si>
  <si>
    <t>https://www.keyade.com/en/#:~:text=Dubai%2C%20UAE.%20Business%20Central%20Towers%20Tower%20B,43rd%20Floor%20Media%20City%20Dubai%2C%20UAE%20%2B971</t>
  </si>
  <si>
    <t>Keyade - Digital Performance Consulting Agency in Paris &amp;amp; Dubai</t>
  </si>
  <si>
    <t>https://www.kifconsultancy.com/ai-adoption/</t>
  </si>
  <si>
    <t>Transform Your Business with AI Solutions &amp;amp; Automation</t>
  </si>
  <si>
    <t>https://kineticcs.com/#:~:text=Grow%20Your%20Company%20With%20an,Dubai%20by%20UAE%20Business%20Elite.</t>
  </si>
  <si>
    <t>Kinetic Consulting \| Strategy, CX, &amp; AI Consultancy</t>
  </si>
  <si>
    <t>https://www.kochava.com/</t>
  </si>
  <si>
    <t>Kochava | Omnichannel measurement for advertisers and publishers</t>
  </si>
  <si>
    <t>Kantar, Measured, Push</t>
  </si>
  <si>
    <t>https://www.kochava.com/product/marketing-mix-modeling/</t>
  </si>
  <si>
    <t>MMM | Marketing Mix Modeling | AIM by Kochava</t>
  </si>
  <si>
    <t>https://konvergense.com/best-selling-ai-automation-agents/</t>
  </si>
  <si>
    <t>Best-selling AI Automation Agents | AI &amp;amp; Digital Agency</t>
  </si>
  <si>
    <t>https://konvergense.com/digital-marketing-strategy-uae-gcc/</t>
  </si>
  <si>
    <t>AI Digital Marketing Strategy UAE And GCC: The Ultimate Guide For 2026 | AI &amp;amp; Digital Agency</t>
  </si>
  <si>
    <t>https://konvergense.com/influencer-marketing/</t>
  </si>
  <si>
    <t>Influencer Marketing | AI &amp;amp; Digital Agency</t>
  </si>
  <si>
    <t>https://www.kudoadvisory.com/ai-advisory-uae</t>
  </si>
  <si>
    <t>AI Advisory UAE | AI Consultancy United Arab Emirates | Kudo Advisory</t>
  </si>
  <si>
    <t>https://www.lacima.ae/</t>
  </si>
  <si>
    <t>https://www.latentview.com/glossary/incrementality-testing/</t>
  </si>
  <si>
    <t>What Is Incrementality Testing? Purpose, Best Practices &amp;amp; Frameworks</t>
  </si>
  <si>
    <t>Measured, Haus, intouch, Push</t>
  </si>
  <si>
    <t>https://www.leadgem.nl/resources/best-growth-marketing-agencies</t>
  </si>
  <si>
    <t>LeadGem - Outbound Systems</t>
  </si>
  <si>
    <t>Single Grain, Growth Hackers, NoGood, WebFX, Disruptive Advertising, Directive</t>
  </si>
  <si>
    <t>https://www.leadsdubai.com/</t>
  </si>
  <si>
    <t>Leads Dubai, A Lead Generation Company in UAE</t>
  </si>
  <si>
    <t>https://www.leadsdubai.com/mall-advertising-in-dubai/</t>
  </si>
  <si>
    <t>Mall Advertising in Dubai | Indoor &amp;amp; Outdoor Mall Ads | Leads Dubai</t>
  </si>
  <si>
    <t>https://legend1st.com/ai-companies-in-dubai/</t>
  </si>
  <si>
    <t>Top AI companies in Dubai, UAE - Artificial Intelligence</t>
  </si>
  <si>
    <t>https://lengreo.com/aiseo-answer-engine-optimization-companies-dubai/</t>
  </si>
  <si>
    <t>Top 8 Answer Engine Optimization Companies in Dubai (2026)</t>
  </si>
  <si>
    <t>https://lifesight.io/blog/incrementality-testing/</t>
  </si>
  <si>
    <t>What Is Incrementality Testing? A Marketer's Guide</t>
  </si>
  <si>
    <t>https://lifesight.io/blog/incrementality-vs-ab-testing/</t>
  </si>
  <si>
    <t>Incrementality Testing vs A/B Testing: The Difference</t>
  </si>
  <si>
    <t>https://lifesight.io/blog/marketing-mix-modeling-software/</t>
  </si>
  <si>
    <t>Best Marketing Mix Modeling Software Tools in 2026 [UPDATED]</t>
  </si>
  <si>
    <t>Measured, Sellforte, Rockerbox, Push, Northbeam, Haus</t>
  </si>
  <si>
    <t>https://lifesight.io/?trk=public_post_main-feed-card-text</t>
  </si>
  <si>
    <t>https://liftlab.com/blog/best-mmm-platforms-2026/</t>
  </si>
  <si>
    <t>Best MMM Platforms 2026: LiftLab vs Measured vs Recast vs Haus</t>
  </si>
  <si>
    <t>https://www.limitls.ai/</t>
  </si>
  <si>
    <t>AI Transformation &amp;amp; Product Delivery Consulting | Limitls AI</t>
  </si>
  <si>
    <t>https://www.linkedin.com/company/chain-reaction-digital-services</t>
  </si>
  <si>
    <t>Chain Reaction | LinkedIn</t>
  </si>
  <si>
    <t>Chain Reaction, Publicis Groupe, Leo Burnett MENA, Epsilon, Memac Ogilvy, VML, NEXA</t>
  </si>
  <si>
    <t>https://www.linkedin.com/company/hopmarketing/?originalSubdomain=ae</t>
  </si>
  <si>
    <t>Home of Performance | LinkedIn</t>
  </si>
  <si>
    <t>Home of Performance, Créo Global, TIDAL Digital, NEXA, Prism Digital, Chain Reaction</t>
  </si>
  <si>
    <t>https://www.linkedin.com/in/khalidelsadig/</t>
  </si>
  <si>
    <t>Khalid Mohamed - Acquisit \| LinkedIn</t>
  </si>
  <si>
    <t>Acquisit, Push, intouch</t>
  </si>
  <si>
    <t>https://www.linkedin.com/jobs/view/4394391942/</t>
  </si>
  <si>
    <t>Chain Reaction hiring Programmatic Director / Head of Programmatic in Dubai, Dubai, United Arab Emirates | LinkedIn</t>
  </si>
  <si>
    <t>Chain Reaction, Push, Mindshare, WPP, Monks, Publicis Groupe</t>
  </si>
  <si>
    <t>https://www.linkedin.com/posts/lapaone_best-ppc-management-agencies-in-dubai-lapaone-activity-7412535693329223680-fnGx</t>
  </si>
  <si>
    <t>Dubai PPC Agencies: Scaling Business with Paid Ads | LapaOne posted on the topic | LinkedIn</t>
  </si>
  <si>
    <t>Push, INSIDEA, Nielsen</t>
  </si>
  <si>
    <t>https://www.linkedin.com/pulse/10-best-ai-development-companies-uae-leading-innovation-sophie-henry-srcec</t>
  </si>
  <si>
    <t>10 Best AI Development Companies in the UAE Leading the Innovation Race In 2026</t>
  </si>
  <si>
    <t>Momentum, Push, PwC, PHD, Artefact</t>
  </si>
  <si>
    <t>https://www.linkedin.com/pulse/10-best-ai-development-companies-uae-leading-race-mohammad-rahman-kqchc</t>
  </si>
  <si>
    <t>10 Best AI Development Companies in UAE Leading the Innovation Race</t>
  </si>
  <si>
    <t>PwC, EY, KPMG</t>
  </si>
  <si>
    <t>https://www.linkedin.com/pulse/deconstructing-common-solutions-first-party-data-pierre-cholet-booce</t>
  </si>
  <si>
    <t>Deconstructing common solutions for first-party data activation</t>
  </si>
  <si>
    <t>Epsilon, intouch</t>
  </si>
  <si>
    <t>https://www.linkedin.com/pulse/top-10-ai-prompt-engineering-service-companies-2025-jagadish-thaker-xw6lc</t>
  </si>
  <si>
    <t>Top 10 AI Prompt Engineering Service Companies in 2026</t>
  </si>
  <si>
    <t>https://www.linkedin.com/pulse/top-25-performance-marketing-agencies-us-hawkemedia-iqbnc</t>
  </si>
  <si>
    <t>Top 25 Performance Marketing Agencies In The U.S.</t>
  </si>
  <si>
    <t>https://www.linkedin.com/pulse/top-ai-consulting-companies-dubai-2025-global-leaders-smith-johnes-dirbc</t>
  </si>
  <si>
    <t>Top AI Consulting Companies in Dubai (2025): Global Leaders Driving Enterprise AI Transformation</t>
  </si>
  <si>
    <t>PwC, McKinsey &amp; Company</t>
  </si>
  <si>
    <t>https://www.linkedin.com/showcase/ai-transformation-adoption/</t>
  </si>
  <si>
    <t>Perform by AI | AI Transformation and Adoption | LinkedIn</t>
  </si>
  <si>
    <t>intouch, PHD, Measured</t>
  </si>
  <si>
    <t>https://www.linkedist.com/blog/top-5-geo-aeo-ai-search-agencies-in-2026</t>
  </si>
  <si>
    <t>TOP 5 GEO / AEO / AI Search Agencies in 2026</t>
  </si>
  <si>
    <t>https://list-of-digital-marketing-companies-in-dubai.com/dubai/data-driven-marketing</t>
  </si>
  <si>
    <t>https://llmpulse.ai/blog/best-google-ai-overviews-trackers/</t>
  </si>
  <si>
    <t>18 Best Google AI Overviews Tracking Tools in 2026 - LLM Pulse</t>
  </si>
  <si>
    <t>https://loopglobal.io/</t>
  </si>
  <si>
    <t>https://www.lotame.com/</t>
  </si>
  <si>
    <t>Home - Experiences - Lotame Solutions Site</t>
  </si>
  <si>
    <t>https://lps-me.com/blog/digital-marketing-agency-that-gets-results</t>
  </si>
  <si>
    <t>How to Choose a Digital Marketing Agency That Gets Results</t>
  </si>
  <si>
    <t>https://www.luminacommerce.com/pages/performance-marketing-agency-dubai?srsltid=AfmBOoqqrlU--1dhFIz0SPq6_UQwWvDxdDX5_Hz3LsL-4_KrrWCCQ3MK</t>
  </si>
  <si>
    <t>Performance Marketing Agency &amp;amp; Marketing Services Dubai – LUMINA</t>
  </si>
  <si>
    <t>LUMINA, Huge, Measured</t>
  </si>
  <si>
    <t>https://lunarailab.com/blog/2026/03/04/top-5-ai-agent-adoption-agencies-in-2026/</t>
  </si>
  <si>
    <t>Top 5 AI Agent Adoption Agencies in 2026 - Lunar AI Lab</t>
  </si>
  <si>
    <t>https://m.economictimes.com/industry/services/advertising/bcg-sees-wider-ai-execution-gap-in-india-as-marketers-prepare-for-agentic-ai/articleshow/132398248.cms</t>
  </si>
  <si>
    <t>BCG sees wider AI execution gap in India as marketers prepare for agentic AI - The Economic Times</t>
  </si>
  <si>
    <t>Assembly MENA, Boston Consulting Group, Kantar, WPP, Momentum</t>
  </si>
  <si>
    <t>https://madebyevoke.com/blog/top-branding-agencies-dubai</t>
  </si>
  <si>
    <t>Top 10 Branding Agencies in Dubai, UAE (2026) — Ranked | Evoke Studio</t>
  </si>
  <si>
    <t>Memac Ogilvy, Leo Burnett MENA, TBWA\RAAD, Impact BBDO, FP7 McCann, VML, Publicis Groupe</t>
  </si>
  <si>
    <t>https://www.madx.digital/learn/geo-aeo-agencies</t>
  </si>
  <si>
    <t>14 Great GEO &amp;amp; AEO Agencies in 2026 | MADX Digital</t>
  </si>
  <si>
    <t>https://www.magureinc.com/</t>
  </si>
  <si>
    <t>Magure | Enterprise AI Platform &amp;amp; AI Consulting | UAE</t>
  </si>
  <si>
    <t>https://mahmoudmizar.com/events/ai-marketing-business-workshop-dubai-2026-07-11/</t>
  </si>
  <si>
    <t>AI Marketing Workshop Dubai | Free | July 11, 2026</t>
  </si>
  <si>
    <t>https://www.marchiteq.com/</t>
  </si>
  <si>
    <t>MarchiteQ - AI Marketing Agency for Paid, GEO &amp;amp; Data</t>
  </si>
  <si>
    <t>https://www.market-research-companies.in/United-Arab-Emirates</t>
  </si>
  <si>
    <t>Top 10+ Market Research Companies in United Arab Emirates</t>
  </si>
  <si>
    <t>https://marketerhire.com/blog/performance-marketing-agency</t>
  </si>
  <si>
    <t>10 Best Performance Marketing Agencies to Drive ROI in 2025</t>
  </si>
  <si>
    <t>Tinuiti, intouch, Directive, Disruptive Advertising, KPMG</t>
  </si>
  <si>
    <t>https://marketingintelligence.io/</t>
  </si>
  <si>
    <t>Marketingintelligence.io – MMM and marketing measurement</t>
  </si>
  <si>
    <t>https://marketingltb.com/blog/agency/best-instagram-influencer-marketing-agencies/</t>
  </si>
  <si>
    <t>10 Best Instagram Influencer Marketing Agencies in 2026 - Marketing LTB</t>
  </si>
  <si>
    <t>https://www.marketnavigator.ae/top-10-seo-agencies-uae-2026</t>
  </si>
  <si>
    <t>Top 10 SEO Agencies in UAE (2026) | Market Navigator</t>
  </si>
  <si>
    <t>SEO Sherpa, Chain Reaction, Publicis Groupe, Assembly MENA, Incubeta, Bruce Clay MENA, NEXA, United SEO, Home of Performance</t>
  </si>
  <si>
    <t>https://martal.ca/marketing-agencies-dubai/</t>
  </si>
  <si>
    <t>Best Digital Marketing Agencies in Dubai (2026)</t>
  </si>
  <si>
    <t>NEXA, Digital Gravity, Red Berries, SEO Sherpa, Measured, Chain Reaction, United SEO, Prism Digital, GCC Marketing, Ninja Promo</t>
  </si>
  <si>
    <t>https://mass-analytics.com/</t>
  </si>
  <si>
    <t>MASS Analytics - Always-On Marketing Analytics Platform</t>
  </si>
  <si>
    <t>https://maxsell.ae/services/geo-services-in-dubai/</t>
  </si>
  <si>
    <t>Expert GEO Services in Dubai - MaxSell | Dubai Business , Marketing &amp;amp; Sales Growth Agency</t>
  </si>
  <si>
    <t>https://meaccurate.com/top-10-market-research-companies-in-dubai-uae/</t>
  </si>
  <si>
    <t>Market Research Companies in Dubai | 2026 Comparison Guide</t>
  </si>
  <si>
    <t>https://www.measured.com/blog/%F0%9F%9A%80-unleashing-the-power-of-incrementality-the-all-new-measured-platform/</t>
  </si>
  <si>
    <t>🚀 Unleashing the Power of Incrementality: The All-New Measured Platform</t>
  </si>
  <si>
    <t>https://www.measured.com/enterprise/</t>
  </si>
  <si>
    <t>Measured | Platform: Enterprise-Grade</t>
  </si>
  <si>
    <t>https://www.measured.com/faq/what-are-the-pros-and-cons-of-incrementality-testing-versus-mmm-or-mta/</t>
  </si>
  <si>
    <t>What is Incrementality testing vs MMM vs MTA?</t>
  </si>
  <si>
    <t>https://www.measured.com/faq/what-is-incrementality-in-marketing/</t>
  </si>
  <si>
    <t>Understanding incrementality for marketing success</t>
  </si>
  <si>
    <t>https://www.measured.com/press/measured-establishes-measured-certified-partners-program-names-first-agency-partners/</t>
  </si>
  <si>
    <t>Measured Establishes “Measured Certified Partners” Program, Names First Agency Partners | Measured®</t>
  </si>
  <si>
    <t>Measured, New Engen, Wpromote</t>
  </si>
  <si>
    <t>https://www.measured.com/triangulated-measurement/</t>
  </si>
  <si>
    <t>Measured Platform: Triangulated Measurement</t>
  </si>
  <si>
    <t>https://media.realestate.com.au/ad-specs/ad-unit/lead-tracking/</t>
  </si>
  <si>
    <t>Conversion Tracking - REA Media Centre</t>
  </si>
  <si>
    <t>https://www.mediaslide.com/niche-mode/</t>
  </si>
  <si>
    <t>Niche Modelling Agency - Mediaslide</t>
  </si>
  <si>
    <t>https://metasocial.ae/the-90-day-ai-marketing-audit-what-every-uae-brand-should-check-before-spending-another-dirham/</t>
  </si>
  <si>
    <t>Performance Marketing Agency In Dubai | 100+ Brand Success Stories</t>
  </si>
  <si>
    <t>https://metslab.com</t>
  </si>
  <si>
    <t>METS Lab – Best Testing Lab in UAE</t>
  </si>
  <si>
    <t>https://mettevo.com/ppc/e-commerce-ppc</t>
  </si>
  <si>
    <t>Ecommerce PPC Services | Boost Sales &amp;amp; ROI Effectively</t>
  </si>
  <si>
    <t>https://www.mickyweis.com/en/digital-marketing-in-dubai/</t>
  </si>
  <si>
    <t>Digital Marketing in Dubai » Growth in UAE starts here. Learn more.</t>
  </si>
  <si>
    <t>https://www.microsoft.com/en-us/worklab/work-trend-index/agents-human-agency-and-the-opportunity-for-every-organization</t>
  </si>
  <si>
    <t>2026 Work Trend Index report: Agents, human agency, and opportunity</t>
  </si>
  <si>
    <t>https://www.mightywarner.ae/social-media-marketing-dubai</t>
  </si>
  <si>
    <t>Social media marketing agency in Dubai | smm agency dubai</t>
  </si>
  <si>
    <t>https://www.migrateworld.com/en/blog/post/uae-golden-visa-for-content-creators-influencers-writers-podcasters-video-producers-how-to-apply-eligibility-fees-dates-documents/</t>
  </si>
  <si>
    <t>UAE Golden Visa for Content Creators, Influencers, Writers, Podcasters &amp;amp; Video Producers [2025]</t>
  </si>
  <si>
    <t>https://www.mintcopywritingstudios.com/blog/ai-search-optimization-geo-agencies</t>
  </si>
  <si>
    <t>Top Generative Engine Optimization (GEO) Agencies in 2026: 10+ AI Search Specialists Compared | Mint Studios</t>
  </si>
  <si>
    <t>NoGood, WebFX, Siege Media, Omniscient Digital, Single Grain, Huge, Measured</t>
  </si>
  <si>
    <t>https://missionmedia.asia/forrester-wave-2026-mmm-vendor-benchmarks-analytic-partners/</t>
  </si>
  <si>
    <t>Forrester Wave 2026: MMM Vendor Benchmarks for APAC</t>
  </si>
  <si>
    <t>Analytic Partners, Nielsen, intouch, Merkle</t>
  </si>
  <si>
    <t>https://mma.com/solutions/lp-transform-your-marketing-measurement/</t>
  </si>
  <si>
    <t>Enterprise Level Marketing Analytics Solutions | Ipsos MMA</t>
  </si>
  <si>
    <t>https://www.mooglelabs.com/ai-consulting-services-company</t>
  </si>
  <si>
    <t>AI Consulting Company | AI Consulting Services – MoogleLabs</t>
  </si>
  <si>
    <t>https://www.morismedia.in/abu-dhabis-top-analytics-and-data-agency-in-abu-dhabi-sharjah-united-arab-emirates</t>
  </si>
  <si>
    <t>Best Analytics and Data Agencies in Abu Dhabi 2026</t>
  </si>
  <si>
    <t>https://www.morismedia.in/united-arab-emirates-top-10-ai-based-advertising-agency-for-marketing-advertising-in-2026#:~:text=Strengths%20%2D%20Algorithm%20driven%20media%20execution.%20%2D%20Structured%20performance%20analytics.%20%2D%20Established%20regional%20operations.</t>
  </si>
  <si>
    <t>Top 10 AI-Based Advertising Agencies for Marketing in United Arab Emirates 2026</t>
  </si>
  <si>
    <t>Publicis Groupe, Dentsu, Mindshare, VML, OMD</t>
  </si>
  <si>
    <t>https://www.morispr.com/dubai-top-10-programmatic-advertising-agency-serving-education-in-2026</t>
  </si>
  <si>
    <t>Top 10 Programmatic Advertising Agencies for Education in Dubai 2026</t>
  </si>
  <si>
    <t>Mindshare, OMD, PHD, Dentsu, Measured</t>
  </si>
  <si>
    <t>https://www.mosaicdigital.ae/social-media-marketing-for-real-estate-companies-in-uae/</t>
  </si>
  <si>
    <t>Social Media Marketing for Real Estate Companies | A Guide</t>
  </si>
  <si>
    <t>https://www.motionlabs.agency/blog/top-digital-marketing-agencies-in-dubai</t>
  </si>
  <si>
    <t>Top 10 Digital Marketing Agencies in Dubai | Motion Labs</t>
  </si>
  <si>
    <t>Prism Digital, ASTUDIO, NEXA, Bird Marketing, Upscale Digital, Zenerom</t>
  </si>
  <si>
    <t>https://moujsolutions.com/services/geo</t>
  </si>
  <si>
    <t>Generative Engine Optimization (GEO) Services in UAE \| Mouj Solutions \| Mouj Solutions</t>
  </si>
  <si>
    <t>https://moving.gac.com/certifications/aeo#:~:text=GAC%20is%20the%20only%20international,do%20not%20hold%20the%20certification.</t>
  </si>
  <si>
    <t>AEO Certification | GAC International Moving</t>
  </si>
  <si>
    <t>https://www.munro.agency/best-digital-marketing-agencies-in-dubai/</t>
  </si>
  <si>
    <t>The Best Digital Marketing Agencies in Dubai for 2026</t>
  </si>
  <si>
    <t>https://musemind.agency/blog/top-design-agencies-in-dubai</t>
  </si>
  <si>
    <t>Top 7 Design Agencies In Dubai In 2026</t>
  </si>
  <si>
    <t>https://www.n-ix.com/tech-consulting-firms/</t>
  </si>
  <si>
    <t>Best technology consulting firms worldwide in 2026 - N-iX</t>
  </si>
  <si>
    <t>PwC, KPMG, McKinsey &amp; Company</t>
  </si>
  <si>
    <t>https://namaccountants.com/the-uae-advertiser-permit-a-comprehensive-compliance-guide-for-social-media-promotion/?srsltid=AfmBOopC65D-zgwZM2sfv3bb1Tb27_skL-u9utcRWkauK0hCzLBs_K1N</t>
  </si>
  <si>
    <t>The UAE Advertiser Permit: A Comprehensive Compliance Guide for Social Media Promotion in UAE • NAM Accountants</t>
  </si>
  <si>
    <t>https://www.naukrigulf.com/chain-reaction-overview-cid-157093</t>
  </si>
  <si>
    <t>Naukrigulf</t>
  </si>
  <si>
    <t>https://neuralhorizonsai.com/</t>
  </si>
  <si>
    <t>Agentic AI Consulting UAE &amp;amp; MENA | Neural Horizons AI</t>
  </si>
  <si>
    <t>https://neurons-lab.com/articles/top-ai-consulting-firms/#:~:text=Enterprise%20AI%20strategy%20and%20roadmap%20design.%20Generative,AI%20solutions%20for%20productivity%20and%20business%20growth.</t>
  </si>
  <si>
    <t>Top AI Consulting Firms in 2026 for FSIs</t>
  </si>
  <si>
    <t>Boston Consulting Group, Momentum, intouch</t>
  </si>
  <si>
    <t>https://nevolearn.com/blog/%20top-performance-marketing-agencies-dubai</t>
  </si>
  <si>
    <t>Top 5 Performance Marketing Agencies in Dubai | ROI-Driven Digital Experts</t>
  </si>
  <si>
    <t>TIDAL Digital, Home of Performance, NEXA, Chain Reaction</t>
  </si>
  <si>
    <t>https://www.nexa.com/services/voice-ai/</t>
  </si>
  <si>
    <t>nexa.com</t>
  </si>
  <si>
    <t>Nexa Voice &amp;amp; AI</t>
  </si>
  <si>
    <t>https://www.nextsol.ae/</t>
  </si>
  <si>
    <t>Home - Digital Marketing Agency in Dubai</t>
  </si>
  <si>
    <t>https://www.nicodigital.com/seo-agency-dubai/</t>
  </si>
  <si>
    <t>nicodigital.com</t>
  </si>
  <si>
    <t>SEO Agency in Dubai - AI Search + Performance SEO for UAE Brands</t>
  </si>
  <si>
    <t>https://ninjapromo.io/best-marketing-consulting-firms</t>
  </si>
  <si>
    <t>15 Best Marketing Consulting Firms for Strategic Growth in 2026</t>
  </si>
  <si>
    <t>Ninja Promo, McKinsey &amp; Company, intouch, Nielsen, Boston Consulting Group, KPMG, PwC</t>
  </si>
  <si>
    <t>https://ninjapromo.io/best-performance-marketing-agencies</t>
  </si>
  <si>
    <t>Top 15 Performance Marketing Agencies for Measurable Growth in 2026</t>
  </si>
  <si>
    <t>Ninja Promo, Tinuiti, M&amp;C Saatchi Performance</t>
  </si>
  <si>
    <t>https://nogood.io/blog/ai-marketing-agency/</t>
  </si>
  <si>
    <t>Top 5 AI Marketing Agencies for Growth in 2026 | NoGood</t>
  </si>
  <si>
    <t>NoGood, Single Grain, inBeat</t>
  </si>
  <si>
    <t>https://nogood.io/blog/best-answer-engine-optimization-agencies/</t>
  </si>
  <si>
    <t>Best Answer Engine Optimization (AEO) Agencies 2026 | NoGood</t>
  </si>
  <si>
    <t>NoGood, Push, iPullRank, Omniscient Digital</t>
  </si>
  <si>
    <t>https://nogood.io/blog/marketing-attribution-tools/</t>
  </si>
  <si>
    <t>Top 10 Marketing Attribution Tools for 2025 [Updated] | NoGood</t>
  </si>
  <si>
    <t>NoGood, Measured, Rockerbox, Northbeam</t>
  </si>
  <si>
    <t>https://nogood.io/blog/marketing-automation-agencies/</t>
  </si>
  <si>
    <t>Top 10 Marketing Automation Agencies in 2025 | NoGood</t>
  </si>
  <si>
    <t>NoGood, Push, WebFX, Directive, Disruptive Advertising, Ninja Promo</t>
  </si>
  <si>
    <t>https://noirandblanco.com/ae/peformance-marketing-agency-in-dubai/</t>
  </si>
  <si>
    <t>Performance Marketing Agency in Dubai | Drive ROI</t>
  </si>
  <si>
    <t>https://nomadx.ae/blog/ai-agent-development-companies-dubai-uae-2026/</t>
  </si>
  <si>
    <t>AI Agent Development Companies in Dubai (2026) | NomadX</t>
  </si>
  <si>
    <t>Push, INSIDEA</t>
  </si>
  <si>
    <t>https://www.northbeam.io/</t>
  </si>
  <si>
    <t>Northbeam - The marketing intelligence platform for profitable growth.</t>
  </si>
  <si>
    <t>https://nucleusmedia.ae/blog/top-10-best-digital-marketing-agencies-in-dubai-uae-2026/</t>
  </si>
  <si>
    <t>Top 10 Digital Marketing Agencies in Dubai, UAE | 2026 Guide</t>
  </si>
  <si>
    <t>NEXA, Digital Media Sapiens, Chain Reaction, Global Media Insight, Red Berries, United SEO, Blue Beetle, Prism Digital, Momentum, Push</t>
  </si>
  <si>
    <t>https://www.nutshell.com/blog/top-geo-agencies</t>
  </si>
  <si>
    <t>The 10 Top GEO Agencies of 2026 (Reviewed)</t>
  </si>
  <si>
    <t>https://www.nuundigital.com/insights/ai-and-data/gcc-enterprise-ai-readiness</t>
  </si>
  <si>
    <t>GCC Enterprise AI Readiness 2026 | NUUN Digital | NUUN Digital</t>
  </si>
  <si>
    <t>https://oakpool.xyz/drift/top-10-geo-aeo-ai-search-agencies/</t>
  </si>
  <si>
    <t>Top 10 GEO Agencies for AI Search in 2026</t>
  </si>
  <si>
    <t>iPullRank, INSIDEA, NoGood</t>
  </si>
  <si>
    <t>https://www.obilityb2b.com/services/generative-engine-optimization-geo/</t>
  </si>
  <si>
    <t>B2B Generative Engine Optimization (GEO/AEO) Agency | Obility B2B</t>
  </si>
  <si>
    <t>https://www.octopusmarketing.agency/ai-services/#:~:text=We%20help%20you%20move%20beyond%20transactional%20experiences,across%20email%2C%20mobile%2C%20social%2C%20and%20in%2Dstore%20environments.</t>
  </si>
  <si>
    <t>AI Marketing Agency in Dubai, UAE | Leading Automation &amp;amp; Strategy Experts</t>
  </si>
  <si>
    <t>https://www.omc-uae.com/</t>
  </si>
  <si>
    <t>Digital &amp;amp; AI Transformation, UAE Market Entry &amp;amp; Sales Performance Consulting &amp;amp; Advisory | OMC Consulting</t>
  </si>
  <si>
    <t>https://oneday.agency/ooh-dubai</t>
  </si>
  <si>
    <t>OOH Dubai &amp;gt; Outdoor Advertising in Dubai - One Day</t>
  </si>
  <si>
    <t>Huge, intouch, Nielsen</t>
  </si>
  <si>
    <t>https://oneday.agency/programmatic-display</t>
  </si>
  <si>
    <t>Programmatic Advertising Agency &amp;gt; Programmatic Display Marketing - One Day</t>
  </si>
  <si>
    <t>https://www.onely.com/blog/best-digital-marketing-agencies/</t>
  </si>
  <si>
    <t>Top 16 Digital Marketing Agencies in 2026: Evaluated by AI Search Readiness, Technical Depth, and Measurable Visibility Impact - Onely</t>
  </si>
  <si>
    <t>Directive, Siege Media, Power Digital, Disruptive Advertising, Single Grain, NP Digital, WebFX, Ninja Promo</t>
  </si>
  <si>
    <t>https://www.onetrust.com/blog/mastering-first-party-data-the-complete-playbook-for-marketers/</t>
  </si>
  <si>
    <t>Mastering first-party data: The complete playbook for marketers | Blog | OneTrust</t>
  </si>
  <si>
    <t>PwC, KPMG, Deloitte Digital, Artefact</t>
  </si>
  <si>
    <t>https://optivaal.com/</t>
  </si>
  <si>
    <t>OPTIVAAL — AI Search Visibility &amp;amp; GEO Agency</t>
  </si>
  <si>
    <t>https://orangemonke.com/blogs/seo-cost-in-dubai/</t>
  </si>
  <si>
    <t>SEO Cost in Dubai 2026 | Complete Pricing Guide &amp;amp; Packages</t>
  </si>
  <si>
    <t>https://orm-tech.com/blog/best-marketing-attribution-software/</t>
  </si>
  <si>
    <t>9 Best Marketing Attribution Software for B2B (2026) | ORM</t>
  </si>
  <si>
    <t>https://outcomes.ae/social-media-marketing/</t>
  </si>
  <si>
    <t>Social media marketing in the UAE | Best Social Media Agency.</t>
  </si>
  <si>
    <t>https://outreachz.com/blog/best-ai-marketing-agencies-2026/</t>
  </si>
  <si>
    <t>Best AI Marketing Agencies (2026): 10 Top Picks for Brands That Want Smarter Growth</t>
  </si>
  <si>
    <t>NoGood, Single Grain, Ninja Promo, NP Digital</t>
  </si>
  <si>
    <t>https://outsourcey.com/role/media-buying-agency/</t>
  </si>
  <si>
    <t>Media Buying Agency outsourcing | Offshore Media Buying Agency services</t>
  </si>
  <si>
    <t>https://ovative.com/services/measurement/</t>
  </si>
  <si>
    <t>Marketing Analytics &amp;amp; Measurement | Ovative Group</t>
  </si>
  <si>
    <t>https://paramark.com/incrementality-testing</t>
  </si>
  <si>
    <t>Bridge Gaps with Incrementality Testing: Experimentation with Paramark</t>
  </si>
  <si>
    <t>https://partners.amazonaws.com/partners/0010L00001u53HvQAI/#:~:text=Headquarters.%20Paris.%2019%2C%20rue%20Richer.%20Paris%2C%20Paris%2C,EC2V%207HR%2C%20United%20Kingdom.%20%2D%20Los%20Angeles.</t>
  </si>
  <si>
    <t>https://performancewebmarketing.com/</t>
  </si>
  <si>
    <t>Performance Web Marketing — ROI-Driven Digital Marketing Agency</t>
  </si>
  <si>
    <t>https://www.phdmedia.com/mena/services/measurement-and-reporting-2/</t>
  </si>
  <si>
    <t>Measurement and Reporting - PHD Media MENA</t>
  </si>
  <si>
    <t>https://phloz.com/blog/incrementality-testing-for-agencies</t>
  </si>
  <si>
    <t>Incrementality testing for agencies · Phloz</t>
  </si>
  <si>
    <t>https://www.pipame.com/</t>
  </si>
  <si>
    <t>Best Digital Marketing &amp;amp; Influencer Agency in Dubai, UAE | Pipa Media</t>
  </si>
  <si>
    <t>https://pointconsultancy.com/blog/branding-ideas-for-small-business-in-dubai/</t>
  </si>
  <si>
    <t>Creative Branding Ideas for Small Business in Dubai - Point Consultancy</t>
  </si>
  <si>
    <t>https://www.popcomms.ae/</t>
  </si>
  <si>
    <t>POP Communications | PR Agency Dubai, UAE &amp;amp; GCC | English &amp;amp; Arabic</t>
  </si>
  <si>
    <t>https://www.position.digital/blog/top-geo-agencies/</t>
  </si>
  <si>
    <t>Top 13 Generative Engine Optimization (GEO) Agencies in 2026</t>
  </si>
  <si>
    <t>https://www.prism-me.com/blog/ai-based-attribution-model-%20explained-5-questions-every-executive-is-asking-in-2026</t>
  </si>
  <si>
    <t>Top Digital Marketing Blog in UAE \| Prism Digital Agency</t>
  </si>
  <si>
    <t>https://www.prism-me.com/paid-media-agency/instagram-ads</t>
  </si>
  <si>
    <t>Instagram Ads Management Services in UAE | Prism Digital</t>
  </si>
  <si>
    <t>https://www.processica.com/articles/top-15-ai-consulting-companies/</t>
  </si>
  <si>
    <t>processica.com</t>
  </si>
  <si>
    <t>Top 15 AI Consulting Companies - Processica</t>
  </si>
  <si>
    <t>https://www.promodo.com/blog/best-geo-agencies</t>
  </si>
  <si>
    <t>Top GEO Agencies in 2026: Get Your Brand Cited by AI Search</t>
  </si>
  <si>
    <t>Directive, Siege Media, Measured</t>
  </si>
  <si>
    <t>https://www.prontosys.ae/blog/top-10-branding-agencies-in-dubai/</t>
  </si>
  <si>
    <t>Top 10+ Best Branding Agencies In Dubai \[2026 Complete Guide\]</t>
  </si>
  <si>
    <t>Boston Consulting Group, intouch</t>
  </si>
  <si>
    <t>https://proove.dacgroup.com/services/measurement-optimization/incrementality/</t>
  </si>
  <si>
    <t>Incrementality Testing | Proove by DAC</t>
  </si>
  <si>
    <t>https://proxigy.net/?lng=en</t>
  </si>
  <si>
    <t>Proxigy | Media Strategy, MMM &amp;amp; Marketing Effectiveness</t>
  </si>
  <si>
    <t>https://pulseo.ae/en/paid-media-agency-abu-dhabi</t>
  </si>
  <si>
    <t>Paid Media Agency Abu Dhabi — UAE</t>
  </si>
  <si>
    <t>https://pulseo.ae/en/paid-media-agency-dubai</t>
  </si>
  <si>
    <t>Paid Media Agency Dubai — UAE</t>
  </si>
  <si>
    <t>https://pulseo.ae/en/performance-marketing-agency-abu-dhabi</t>
  </si>
  <si>
    <t>Performance Marketing Agency Abu Dhabi — UAE</t>
  </si>
  <si>
    <t>https://pulseo.ae/en/performance-marketing-agency-ajman</t>
  </si>
  <si>
    <t>Performance Marketing Agency Ajman — UAE</t>
  </si>
  <si>
    <t>https://www.pushgroup.ae/blog/property-marketing-agencies-in-dubai</t>
  </si>
  <si>
    <t>Top 9 Property Marketing Agencies in Dubai (2026) | PUSH</t>
  </si>
  <si>
    <t>intouch, Push MENA, Push, Momentum, NEXA, Chain Reaction, SEO Sherpa, Digital Gravity, Bird Marketing</t>
  </si>
  <si>
    <t>https://www.pushgroup.ae/blog/top-ppc-agencies-in-dubai</t>
  </si>
  <si>
    <t>Top 9 PPC Agencies in Dubai (2026) | PUSH</t>
  </si>
  <si>
    <t>Push MENA, Push, Digital Gravity, Prism Digital, Bird Marketing, Red Berries</t>
  </si>
  <si>
    <t>https://www.pwc.com/gx/en/about-pwc/analyst-relations/assets/idc-marketscape-gulf-countries-ai-pwc.pdf</t>
  </si>
  <si>
    <t>https://www.pwc.com/m1/en/publications/realising-the-full-potential-of-data-and-ai-in-the-middle-east.html</t>
  </si>
  <si>
    <t>IDC Vendor Profile: A consulting-led life-cycle approach by PwC Middle East</t>
  </si>
  <si>
    <t>https://www.ranksiege.com/</t>
  </si>
  <si>
    <t>Ranksiege &amp;amp; Co | AEO+SEO+Google Ads Agency, 5.6x ROAS</t>
  </si>
  <si>
    <t>https://www.reachadv.com/</t>
  </si>
  <si>
    <t>Reach International - Outdoor Advertising Media Supplier in Dubai &amp; Northern Emirates</t>
  </si>
  <si>
    <t>https://www.rebootonline.com/paid-media/best-paid-media-agencies/</t>
  </si>
  <si>
    <t>Best Paid Media Agencies 2026 | Ultimate Top 10 List Ranked &amp;amp; Rated</t>
  </si>
  <si>
    <t>NoGood, intouch, Tinuiti</t>
  </si>
  <si>
    <t>https://red-engage.com/blog/best-international-marketing-agencies</t>
  </si>
  <si>
    <t>7 International Marketing Agencies Compared (2026)</t>
  </si>
  <si>
    <t>WPP, Publicis Groupe, Dentsu, Accenture Song, VML, GroupM, Epsilon, Publicis Media, Momentum, OMD, Impact BBDO, intouch</t>
  </si>
  <si>
    <t>https://redberries.ae/services/a-b-testing-the-end-or-the-beginning/</t>
  </si>
  <si>
    <t>Know How to Perform an A/B Testing on Your Website with Redberries?</t>
  </si>
  <si>
    <t>Red Berries</t>
  </si>
  <si>
    <t>https://www.reddit.com/r/LLMTraffic/comments/1t44tn7/which_geo_marketing_agencies_are_actually_worth/</t>
  </si>
  <si>
    <t>Which "GEO marketing" agencies are actually worth talking to?</t>
  </si>
  <si>
    <t>https://www.reddit.com/r/b2bmarketing/comments/1rl47cr/the_10_best_visibility_companies_and_agencies_for/</t>
  </si>
  <si>
    <t>The 10 Best Visibility Companies and Agencies for SEO and GEO?</t>
  </si>
  <si>
    <t>Huge, Siege Media, Single Grain, iPullRank, Directive, Growth Hackers</t>
  </si>
  <si>
    <t>https://www.reddit.com/r/dubai/comments/139gps7/what_are_the_most_creative_digital_marketing/</t>
  </si>
  <si>
    <t>What are the most creative digital marketing agencies in Dubai?</t>
  </si>
  <si>
    <t>Dentsu, Seven Media, Incubeta, Assembly MENA, intouch, NEXA, Red Berries, DigitalFarm</t>
  </si>
  <si>
    <t>https://www.reddit.com/r/u_odysseymarketing20/comments/1sky3gp/10_best_seo_companies_in_dubai_you_can_trust/</t>
  </si>
  <si>
    <t>10 Best SEO Companies in Dubai You Can Trust</t>
  </si>
  <si>
    <t>SEO Sherpa, Chain Reaction, Red Berries, Global Media Insight, United SEO, Prism Digital, Publicis Groupe, NEXA</t>
  </si>
  <si>
    <t>https://www.renownedagency.ae/</t>
  </si>
  <si>
    <t>renownedagency.ae</t>
  </si>
  <si>
    <t>Leading Performance Marketing Agency in Dubai | Renowned</t>
  </si>
  <si>
    <t>https://researchprofiles.canberra.edu.au/files/84245423/Andrew_Dan.pdf#:~:text=Table%201.1%20details%20the%20major%20media%2Dbuying%20agencies,PHD.%2016.6.%20Interpublic%20Group.%20Universal%20McCann%20(</t>
  </si>
  <si>
    <t>https://reshaped.io/</t>
  </si>
  <si>
    <t>https://rhblake.com/best-generative-engine-optimization-geo-agencies-2025-edition/</t>
  </si>
  <si>
    <t>Best Generative Engine Optimization (GEO) Agencies — 2025 Edition</t>
  </si>
  <si>
    <t>iPullRank, NoGood, Omniscient Digital, WebFX</t>
  </si>
  <si>
    <t>https://rhillane.com/en-ae/marketing/digital-marketing-agency-dubai/</t>
  </si>
  <si>
    <t>Digital Marketing Agency In Dubai - UAE N°1 In 2026</t>
  </si>
  <si>
    <t>https://rix-digital.com/</t>
  </si>
  <si>
    <t>Rix Digital | Marketing Mix Modelling Delivered in Weeks</t>
  </si>
  <si>
    <t>https://roashack.com/blog/incrementality-testing-playbook/</t>
  </si>
  <si>
    <t>Incrementality Testing: Prove Your Ads Caused Sales | ROAS HACK</t>
  </si>
  <si>
    <t>https://roasifymedia.com/</t>
  </si>
  <si>
    <t>Roasify Performance Marketing Agency - Roasify Media</t>
  </si>
  <si>
    <t>https://www.rockerbox.com/faq/what-is-a-geo-lift-test</t>
  </si>
  <si>
    <t>What is a Geo Lift Test? | Rockerbox</t>
  </si>
  <si>
    <t>https://www.rockerbox.com/testing</t>
  </si>
  <si>
    <t>Unlock Incrementality with Rockerbox Testing for Data-Backed Decisions | Rockerbox</t>
  </si>
  <si>
    <t>https://roirevolution.com/blog/incrementality-testing-to-guide-better-marketing-decisions/</t>
  </si>
  <si>
    <t>Incrementality Testing Guide | ROI Revolution</t>
  </si>
  <si>
    <t>https://www.ronstudios.com/digital-marketing-dubai#:~:text=Your%20full%20marketing%20team%2C%20automated,without%20the%20traditional%20agency%20overhead.</t>
  </si>
  <si>
    <t>AI Marketing Agency Dubai &amp;amp; Abu Dhabi | Growth AI by Ron Studios</t>
  </si>
  <si>
    <t>https://roq.ad/</t>
  </si>
  <si>
    <t>ROQAD: Data That Drives Audience Reach</t>
  </si>
  <si>
    <t>intouch, Nielsen</t>
  </si>
  <si>
    <t>https://www.royex.ae/blog/top-20-seo-agencies-in-dubai-2026-updated-list/#:~:text=Royex%20Technologies%20is%20a%20Dubai%2Dbased%20AI%2Dfirst%20digital,markets.%20Content%20strategy%20%26%20structured%20data%20implementation.</t>
  </si>
  <si>
    <t>Top 20 SEO Agencies in Dubai (2026 Updated List)</t>
  </si>
  <si>
    <t>Royex Technologies, SEO Sherpa, NEXA, United SEO, Global Media Insight, Digital Arabia, Blue Beetle, Red Berries</t>
  </si>
  <si>
    <t>https://rsxigital.com/ae/</t>
  </si>
  <si>
    <t>B2B Performance Marketing Agency for Business Growth</t>
  </si>
  <si>
    <t>https://www.ruleranalytics.com/data-driven-attribution/</t>
  </si>
  <si>
    <t>Data-Driven Attribution | Ruler Analytics</t>
  </si>
  <si>
    <t>https://sa.linkedin.com/in/edouard-daou</t>
  </si>
  <si>
    <t>Edouard Daou - Acquisit \| LinkedIn</t>
  </si>
  <si>
    <t>Acquisit, Momentum, Push, intouch, Assembly MENA</t>
  </si>
  <si>
    <t>https://sacscreativemedia.com/top-creative-agency-in-uae-unleash-with-sacs-creative-media/</t>
  </si>
  <si>
    <t>sacscreativemedia.com</t>
  </si>
  <si>
    <t>Top Creative Agency in UAE | Unleash with SACS Creative Media</t>
  </si>
  <si>
    <t>https://www.sapience.ae/primary-research-services-in-dubai-uae/</t>
  </si>
  <si>
    <t>Primary Market Research Services in Dubai &amp;amp; UAE | Sapience</t>
  </si>
  <si>
    <t>https://www.sapience.ae/uae-and-gcc-consumer-survey-insights/</t>
  </si>
  <si>
    <t>Customer Research &amp;amp; Segmentation in Dubai, UAE – Sapience</t>
  </si>
  <si>
    <t>https://www.searchbloom.com/strategy/best-ai-seo-agency-companies-services-usa/</t>
  </si>
  <si>
    <t>Best AI SEO Companies + Services in the US 2026 (AEO/GEO) - Best AEO Agencies in USA</t>
  </si>
  <si>
    <t>Tinuiti, Omniscient Digital, iPullRank, Single Grain, Siege Media, INSIDEA</t>
  </si>
  <si>
    <t>https://segmentstream.com/blog/articles/measured-com-alternatives</t>
  </si>
  <si>
    <t>9 Best Measured Alternatives &amp;amp; Competitors for Incrementality Testing in 2026 — SegmentStream</t>
  </si>
  <si>
    <t>SegmentStream, Measured, Haus, Momentum, Sellforte</t>
  </si>
  <si>
    <t>https://segmentstream.com/glossary/incrementality-testing</t>
  </si>
  <si>
    <t>What Is Incrementality Testing? — SegmentStream</t>
  </si>
  <si>
    <t>SegmentStream, Measured</t>
  </si>
  <si>
    <t>https://segmentstream.com/glossary/incrementality-testing-vs-media-mix-modelling</t>
  </si>
  <si>
    <t>Incrementality Testing vs Media Mix Modeling — SegmentStream</t>
  </si>
  <si>
    <t>https://segmentstream.com/measurement-engine/incrementality</t>
  </si>
  <si>
    <t>Incrementality Testing with Geo Holdout Experiments</t>
  </si>
  <si>
    <t>SegmentStream, Huge</t>
  </si>
  <si>
    <t>https://segmentstream.com/solutions/incrementality-testing</t>
  </si>
  <si>
    <t>https://segwise.ai/blog/ad-creative-testing-strategies-guide</t>
  </si>
  <si>
    <t>The Creative Testing Roadmap: Strategies to Drive High-Impact Ad Campaigns</t>
  </si>
  <si>
    <t>https://www.semfirms.com/uae/dubai/display-advertising-firms?page=0</t>
  </si>
  <si>
    <t>Top Display Advertising Firms in Dubai, United Arab Emirates | SEM Firms</t>
  </si>
  <si>
    <t>https://www.seodiscovery.com/blog/best-generative-engine-optimisation-agencies/</t>
  </si>
  <si>
    <t>Best Generative Engine Optimization (GEO) Marketing Agencies</t>
  </si>
  <si>
    <t>iPullRank, Siege Media, WebFX, Directive, Single Grain</t>
  </si>
  <si>
    <t>https://seodxb.com/</t>
  </si>
  <si>
    <t>https://seoindiaonline.com/top-aeo-answer-engine-optimization-agencies/</t>
  </si>
  <si>
    <t>Top AEO (Answer Engine Optimization) Agencies for AI Search</t>
  </si>
  <si>
    <t>Brainlabs, Momentum, Omniscient Digital, iPullRank, Siege Media</t>
  </si>
  <si>
    <t>https://seosandwitch.com/aeo-geo-marketing-agencies/</t>
  </si>
  <si>
    <t>2026’s Best AEO / GEO Marketing Agencies</t>
  </si>
  <si>
    <t>Siege Media, Omniscient Digital</t>
  </si>
  <si>
    <t>https://seosherpa.com/ae-en/services/cro/</t>
  </si>
  <si>
    <t>Conversion Rate Optimization Agency in Dubai • SEO SHERPA™</t>
  </si>
  <si>
    <t>SEO Sherpa, intouch</t>
  </si>
  <si>
    <t>https://seosherpa.com/locations/dubai/#:~:text=Faheem%20Ahmad.%20Faces.%20%E2%80%9CThe%20expertise%20and%20customer,that%20knows%20how%20to%20deliver%20on%20SEO.</t>
  </si>
  <si>
    <t>SEO Dubai Brands Trust // SEO SHERPA™ • Global #1 Agency</t>
  </si>
  <si>
    <t>SEO Sherpa, intouch, WebFX, Push</t>
  </si>
  <si>
    <t>https://seosherpa.com/top-seo-companies-dubai/</t>
  </si>
  <si>
    <t>Top SEO Companies in Dubai (July 2025) • SEO SHERPA™</t>
  </si>
  <si>
    <t>SEO Sherpa, Assembly MENA, Chain Reaction, United SEO, NEXA, Global Media Insight, EDS FZCO, Digital Gravity, Huge, intouch</t>
  </si>
  <si>
    <t>https://seospecialist.framer.ai/blog-post/top-seo-specialists-in-germany</t>
  </si>
  <si>
    <t>Top 25 SEO Specialists in Germany (2026 Edition)</t>
  </si>
  <si>
    <t>https://www.seoworks.com/lists/top-b2b-geo-and-aeo-agencies/</t>
  </si>
  <si>
    <t>Top 20 B2B GEO and AEO Agencies (2026) | The SEO Works</t>
  </si>
  <si>
    <t>https://shakostats.com/</t>
  </si>
  <si>
    <t>Your AI Marketing Scientist | Shako Stats</t>
  </si>
  <si>
    <t>https://www.sharjahcustoms.gov.ae/en/AEO#:~:text=The%20program%20is%20founded%20on%20the%20principle,mutual%20recognition%20among%20the%20region's%20Customs%20administrations.</t>
  </si>
  <si>
    <t>Sharjah Customs-Authorized Economic Operator</t>
  </si>
  <si>
    <t>https://shazzco.com/adradar</t>
  </si>
  <si>
    <t>ShazzCo — Performance Marketing Agency | Meta Ads, Google Ads &amp;amp; SEO</t>
  </si>
  <si>
    <t>https://shichifukutekx.ae/services/ai-tech-consulting-strategic-ai-adoption/</t>
  </si>
  <si>
    <t>AI Strategy and Consulting Company in Dubai, UAE</t>
  </si>
  <si>
    <t>https://shichifukutekx.ae/services/industry-specific-ai-consulting-solutions/#:~:text=Our%20approach%20blends%20deep%20domain%20knowledge%2C%20global,UAE%20Vision%202031%20and%20Saudi%20Vision%202030.</t>
  </si>
  <si>
    <t>Industry Specific AI Development &amp;amp; Consulting | Dubai, UAE</t>
  </si>
  <si>
    <t>https://www.signatureglobalmedia.com/programmatic-ads</t>
  </si>
  <si>
    <t>Top Programmatic Advertising Agency in Dubai, UAE</t>
  </si>
  <si>
    <t>https://www.silverbackstrategies.com/services/measurement/incrementality-testing/</t>
  </si>
  <si>
    <t>Incrementality Testing Strategies | Silverback Strategies</t>
  </si>
  <si>
    <t>https://simplicitymedia.com/services/measurement-optimization/</t>
  </si>
  <si>
    <t>Measurement &amp;amp; Optimization | Simplicity Media | Simplicity Media</t>
  </si>
  <si>
    <t>https://skai.io/blog/incrementality-testing-vs-a-b-testing/</t>
  </si>
  <si>
    <t>Incrementality Testing vs A/B Testing: Choosing the Right Measurement Method for Performance Marketing</t>
  </si>
  <si>
    <t>https://skai.io/blog/retail-media-incrementality/</t>
  </si>
  <si>
    <t>Retail Media Incrementality Testing: Measuring True Campaign Impact</t>
  </si>
  <si>
    <t>https://skillsheaven.org/measure-marketing-roi-in-uae/</t>
  </si>
  <si>
    <t>How to Measure Marketing ROI in UAE | Skills Heaven</t>
  </si>
  <si>
    <t>https://skyscale.com.au/blogs/best-aeo-agencies-melbourne-2025</t>
  </si>
  <si>
    <t>Best AEO Agencies in Melbourne: How to Choose the Right Partner</t>
  </si>
  <si>
    <t>https://slipstream.agency/</t>
  </si>
  <si>
    <t>slipstream.agency – AI-enabled marketing for ambitious brands.</t>
  </si>
  <si>
    <t>https://smartgeoagency.com/</t>
  </si>
  <si>
    <t>Generative Engine Optimization Agency | Smart GEO</t>
  </si>
  <si>
    <t>https://www.sociomark.ae/service/seo-agency-dubai</t>
  </si>
  <si>
    <t>AI SEO Agency in Dubai | Sociomark</t>
  </si>
  <si>
    <t>https://www.socotec-middleeast.com/our-services/geotechnical-engineering</t>
  </si>
  <si>
    <t>Geotechnical engineering | SOCOTEC Middle East</t>
  </si>
  <si>
    <t>https://soho-aimarketing.com/</t>
  </si>
  <si>
    <t>SOHO AI Marketing Agency — soho-aimarketing.com</t>
  </si>
  <si>
    <t>https://solanalytics.com/insights-research-analytics/</t>
  </si>
  <si>
    <t>Research Analytics in UAE, KSA, and GCC</t>
  </si>
  <si>
    <t>https://www.solulab.com/ai-readiness-dubai-businesses/</t>
  </si>
  <si>
    <t>AI Readiness Consulting in Dubai: Expectations for Enterprises</t>
  </si>
  <si>
    <t>https://www.sortlist.com/advertising/abu-dhabi-ae</t>
  </si>
  <si>
    <t>The 10 Best Advertising Agencies in Abu Dhabi - 2026 Reviews</t>
  </si>
  <si>
    <t>Bird Marketing, DigitalFarm, Ninja Promo, Pixoo Media, Praxis Advertising, Push</t>
  </si>
  <si>
    <t>https://www.sortlist.com/advertising/algeria-dz</t>
  </si>
  <si>
    <t>The 10 Best Advertising Agencies in Algeria - 2026 Reviews</t>
  </si>
  <si>
    <t>https://www.sortlist.com/media-planning/abu-dhabi-ae</t>
  </si>
  <si>
    <t>The 10 Best Media Agencies in Abu Dhabi - 2026 Reviews</t>
  </si>
  <si>
    <t>Push, intouch, Pixoo Media, Praxis Advertising, Ninja Promo, EDS FZCO, Measured</t>
  </si>
  <si>
    <t>https://www.sortlist.com/media-planning/united-arab-emirates-ae</t>
  </si>
  <si>
    <t>The 10 Best Media Agencies in the United Arab Emirates - 2026 Reviews</t>
  </si>
  <si>
    <t>intouch, AlCaz Media, Praxis Advertising, Growth Hackers, Momentum, M3.agency, Ninja Promo, Pixoo Media</t>
  </si>
  <si>
    <t>https://www.sortlist.com/s/artificial-intelligence/abu-dhabi-ae</t>
  </si>
  <si>
    <t>The 10 Best Artificial Intelligence Agencies in Abu Dhabi - 2026 Reviews</t>
  </si>
  <si>
    <t>https://www.sortlist.com/s/artificial-intelligence/dubai-ae</t>
  </si>
  <si>
    <t>The 10 Best Artificial Intelligence Agencies in Dubai - 2026 Reviews</t>
  </si>
  <si>
    <t>https://www.sortlist.com/s/creative/abu-dhabi-ae</t>
  </si>
  <si>
    <t>The 10 Best Creative Agencies in Abu Dhabi - 2026 Reviews</t>
  </si>
  <si>
    <t>Ninja Promo, Praxis Advertising</t>
  </si>
  <si>
    <t>https://www.sortlist.com/s/paid-media/beirut-beirut</t>
  </si>
  <si>
    <t>The 10 Best Paid Media Agencies in Beirut - 2026 Reviews</t>
  </si>
  <si>
    <t>Hovi Digital Lab, intouch</t>
  </si>
  <si>
    <t>https://www.sortlist.com/s/performance-marketing/india-in</t>
  </si>
  <si>
    <t>The 10 Best Performance Marketing Agencies in India - 2026 Reviews</t>
  </si>
  <si>
    <t>https://www.sortlist.com/seo/united-arab-emirates-ae</t>
  </si>
  <si>
    <t>The 10 Best SEO Agencies in the United Arab Emirates - 2026 Reviews</t>
  </si>
  <si>
    <t>LUMINA, Adapts Media, intouch, Ninja Promo, Momentum, M3.agency</t>
  </si>
  <si>
    <t>https://www.sortlist.com/social-media-optimization</t>
  </si>
  <si>
    <t>The 100 Best Social Media Optimization Agencies - 2026 Reviews</t>
  </si>
  <si>
    <t>https://www.sortlist.com/web-analytics/dubai-ae</t>
  </si>
  <si>
    <t>The 10 Best Web Analytics Agencies in Dubai - 2026 Reviews</t>
  </si>
  <si>
    <t>Growth Hackers, Pixoo Media, Bird Marketing, Adapts Media</t>
  </si>
  <si>
    <t>https://www.spiderworks.ae/geo-services</t>
  </si>
  <si>
    <t>GEO Agency in Dubai | Generative Engine Optimization Services UAE</t>
  </si>
  <si>
    <t>https://www.sprintey.io/blog/scale-creative-production-without-hiring</t>
  </si>
  <si>
    <t>How to scale creative production without hiring –&amp;nbsp;Sprintey</t>
  </si>
  <si>
    <t>https://www.stackadapt.com/resources/blog/1st-party-data</t>
  </si>
  <si>
    <t>What is first-party data? How to use it and why it matters</t>
  </si>
  <si>
    <t>Boston Consulting Group</t>
  </si>
  <si>
    <t>https://www.stackadapt.com/resources/blog/first-party-data-strategy</t>
  </si>
  <si>
    <t>First-party data strategy: An in-depth guide for marketers</t>
  </si>
  <si>
    <t>https://www.stackadapt.com/resources/blog/leverage-first-party-data</t>
  </si>
  <si>
    <t>How to Leverage 1st-Party Data for Programmatic Campaigns</t>
  </si>
  <si>
    <t>https://starngage.com/plus/en-us/blog/top-geo-agency-in-the-uae-how-dubai-and-abu-dhabi-brands-are-leading-ai-search-in-the-gulf</t>
  </si>
  <si>
    <t>Top GEO Agency in the UAE: How Dubai and Abu Dhabi Brands Are Leading AI Search in the Gulf | StarNgage Plus</t>
  </si>
  <si>
    <t>https://www.stellaheystella.com/blog/2025-dtc-digital-advertising-incrementality-benchmarks</t>
  </si>
  <si>
    <t>2025 DTC Digital Advertising Incrementality Benchmarks | Stella</t>
  </si>
  <si>
    <t>https://strikedigital.ie/blog/the-best-social-media-platform-for-advertising-in-2025</t>
  </si>
  <si>
    <t>What is the Best Social Media Platform for Advertising in 2025? - Strike Digital</t>
  </si>
  <si>
    <t>https://sumnah.ae/</t>
  </si>
  <si>
    <t>https://superbcompanies.com/categories/creative-agencies-in-dubai/</t>
  </si>
  <si>
    <t>Top 20 Creative Agencies in Dubai - Jul 2026 | Ranking | SuperbCompanies</t>
  </si>
  <si>
    <t>Bird Marketing, Dot IT, Digital Gravity</t>
  </si>
  <si>
    <t>https://www.superside.com/blog/creative-agencies</t>
  </si>
  <si>
    <t>14 Best Creative Agencies That Make Brands Stand Out in 2026</t>
  </si>
  <si>
    <t>Superside, Huge, intouch</t>
  </si>
  <si>
    <t>https://www.superside.com/blog/creative-content-agencies</t>
  </si>
  <si>
    <t>10 Creative Content Agencies Making Brands Shine in 2026</t>
  </si>
  <si>
    <t>Superside, Push</t>
  </si>
  <si>
    <t>https://www.swydo.com/blog/marketing-attribution-models/</t>
  </si>
  <si>
    <t>The Ultimate Guide to Marketing Attribution Models for Agencies - Swydo</t>
  </si>
  <si>
    <t>https://www.synscribe.com/blog/dubai-seo-companies-geospecialists#:~:text=They%20leverage%20proprietary%20query%20running%20capabilities%20to,referral%20traffic%20and%20leads%20from%20AI%20sources.</t>
  </si>
  <si>
    <t>7 Dubai SEO Companies That Specialize in Generative Engine Optimization | Synscribe</t>
  </si>
  <si>
    <t>Bird Marketing, Digital Gravity, Measured</t>
  </si>
  <si>
    <t>https://www.synscribe.com/blog/what-is-a-geo-agency</t>
  </si>
  <si>
    <t>What Is a GEO Agency and Do You Actually Need One? | Synscribe</t>
  </si>
  <si>
    <t>https://sysart.consulting/ai-consulting/</t>
  </si>
  <si>
    <t>AI Consulting Services | SysArt Consulting</t>
  </si>
  <si>
    <t>https://tamkinexpress.ae/digital-marketing.html</t>
  </si>
  <si>
    <t>Digital Marketing Company in Abu Dhabi | TamkinExpress</t>
  </si>
  <si>
    <t>https://tarjama.com/solutions/communication/creative-production/</t>
  </si>
  <si>
    <t>Creative and Multimedia Production Services — Tarjama</t>
  </si>
  <si>
    <t>https://www.tatari.tv/insights/a-marketers-guide-to-geo-based-incrementality-testing</t>
  </si>
  <si>
    <t>A Marketer’s Guide to Geo-Based Incrementality Testing</t>
  </si>
  <si>
    <t>https://teamai.com/blog/generative-ai-and-business/top-geo-agencies-for-ai-visibility/</t>
  </si>
  <si>
    <t>The Best GEO Agencies to Explore in 2026</t>
  </si>
  <si>
    <t>https://techbehemoths.com/top-companies/social-display-ads/dubai</t>
  </si>
  <si>
    <t>Top 10 Social Display Ads Companies in Dubai - Jul 2026</t>
  </si>
  <si>
    <t>Adapts Media, Dot IT</t>
  </si>
  <si>
    <t>https://techradiant.co/agencies/generative-engine-optimization/</t>
  </si>
  <si>
    <t>Best Generative Engine Optimization Companies 2026 | Top GEO Experts - Techradiant</t>
  </si>
  <si>
    <t>https://www.tekrevol.com/blogs/best-ai-consulting-companies-in-dubai-uae/</t>
  </si>
  <si>
    <t>Best AI Consulting Companies in Dubai, UAE 2026</t>
  </si>
  <si>
    <t>https://thatware.co/aeo-services/</t>
  </si>
  <si>
    <t>Answer Engine Optimization (AEO) Services Agency | ThatWare</t>
  </si>
  <si>
    <t>ThatWare, Measured, weDiscover, Single Grain, Momentum</t>
  </si>
  <si>
    <t>https://thatware.co/seo-services-uae/</t>
  </si>
  <si>
    <t>SEO, AEO, GEO, LLM &amp;amp; AI Search Optimisation Services in UAE</t>
  </si>
  <si>
    <t>ThatWare, intouch</t>
  </si>
  <si>
    <t>https://thatware.co/top-10-geo-companies-in-gcc/</t>
  </si>
  <si>
    <t>Top GEO Companies in GCC | 10 Best GCC GEO Firms</t>
  </si>
  <si>
    <t>ThatWare, EDS FZCO, NEXA, Digital Gravity, Red Berries</t>
  </si>
  <si>
    <t>https://www.theaeoagency.io/</t>
  </si>
  <si>
    <t>The AEO Agency | Answer Engine Optimization Experts</t>
  </si>
  <si>
    <t>https://thebestgeo.com/</t>
  </si>
  <si>
    <t>Generative Engine Optimization (GEO) Agency - AEO Services</t>
  </si>
  <si>
    <t>https://thebrandberries.com/performics-me-secures-google-marketing-platform-partner-reseller-status-in-mena/</t>
  </si>
  <si>
    <t>Performics ME Secures Google Marketing Platform Partner &amp;amp; Reseller Status in MENA – The Brand Berries</t>
  </si>
  <si>
    <t>https://thebrandcall.com/</t>
  </si>
  <si>
    <t>BrandCall — Let Your Brand Talk | Dubai's AI-Powered Marketing Agency</t>
  </si>
  <si>
    <t>https://www.thebrillcollective.com/</t>
  </si>
  <si>
    <t>The Brill Collective — Intentional Communication for an AI World</t>
  </si>
  <si>
    <t>https://thedigitalmerchant.com/best-performance-marketing-agencies/</t>
  </si>
  <si>
    <t>Best Performance Marketing Agencies (What Actually Separates the Good From the Great)</t>
  </si>
  <si>
    <t>Tinuiti, Wpromote, Push, Measured</t>
  </si>
  <si>
    <t>https://www.theguardian.com/accenture/2026/feb/19/accenture-links-staff-promotions-to-use-of-ai-tools</t>
  </si>
  <si>
    <t>Accenture ‘links staff promotions to use of AI tools’ | AI (artificial intelligence) | The Guardian</t>
  </si>
  <si>
    <t>https://thehovi.com/about</t>
  </si>
  <si>
    <t>About Us — AI Marketing Agency Team | Hovi Digital Lab</t>
  </si>
  <si>
    <t>https://thehovi.com/ai-marketing-agency-abu-dhabi</t>
  </si>
  <si>
    <t>AI Marketing Agency in Abu Dhabi | Hovi Digital Lab</t>
  </si>
  <si>
    <t>https://www.thekeenfolks.com/</t>
  </si>
  <si>
    <t>AI Marketing Agency | Keenfolks</t>
  </si>
  <si>
    <t>https://themedialinks.com/services/social-media-marketing-services/</t>
  </si>
  <si>
    <t>#1 Social Media Marketing Agency in Dubai You Can Trust</t>
  </si>
  <si>
    <t>https://thethinksters.com/dubai-consulting-market-2025/</t>
  </si>
  <si>
    <t>Dubai Consulting Market 2025: Top Firms, Opportunities &amp;amp; Salary Trends | The Thinksters</t>
  </si>
  <si>
    <t>McKinsey &amp; Company, Boston Consulting Group, PwC, EY, KPMG</t>
  </si>
  <si>
    <t>https://www.theverge.com/podcast/959792/digitas-ceo-amy-lanzi-cannes-ad-industry-marketing-ai-creators</t>
  </si>
  <si>
    <t>AI won’t save advertising, says Digitas’ Amy Lanzi | The Verge</t>
  </si>
  <si>
    <t>Publicis Groupe, Huge, Push</t>
  </si>
  <si>
    <t>https://www.theverge.com/tech/900302/ai-seo-industry-google-search-chatgpt-gemini-marketing</t>
  </si>
  <si>
    <t>Can AI responses be influenced? The SEO industry is trying | The Verge</t>
  </si>
  <si>
    <t>https://www.thinknectar.com/capabilities/retail-media/amazon-marketing-cloud-amc-incrementality-analysis</t>
  </si>
  <si>
    <t>AMC &amp;amp; Incrementality Testing | Advanced Amazon Analytics</t>
  </si>
  <si>
    <t>https://thinkwithalec.com/2025/03/02/best-marketing-platforms-for-tracking-first-party-data/</t>
  </si>
  <si>
    <t>Best Marketing Platforms for Tracking First-Party Data – THINK WITH ALEC</t>
  </si>
  <si>
    <t>https://tidal.digital/contact-us/</t>
  </si>
  <si>
    <t>Contact Us | TIDAL Digital</t>
  </si>
  <si>
    <t>https://tidal.digital/mastering-incrementality-in-performance-marketing-a-data-driven-approach-to-maximising-roi/</t>
  </si>
  <si>
    <t>Mastering Incrementality in Performance Marketing for ROI Growth</t>
  </si>
  <si>
    <t>TIDAL Digital, Measured, Tinuiti, Push, SegmentStream</t>
  </si>
  <si>
    <t>https://timezmarketing.com/performance-marketing-agency/</t>
  </si>
  <si>
    <t>Performance Marketing Agency: Maximize Your ROI Growth</t>
  </si>
  <si>
    <t>https://titandigitaluae.com/</t>
  </si>
  <si>
    <t>Titan Digital UAE | Digital Marketing Agency in UAE</t>
  </si>
  <si>
    <t>https://tmh.ae/</t>
  </si>
  <si>
    <t>tmh - Creative Branding &amp;amp; Advertising Agencies in Dubai | Film Production</t>
  </si>
  <si>
    <t>https://www.tmmagency.com/en/media-neutral-planning/</t>
  </si>
  <si>
    <t>Media-neutral planning: the channel follows the objective | TMM Agency</t>
  </si>
  <si>
    <t>https://www.tofuhq.com/post/best-ai-agents-for-marketing</t>
  </si>
  <si>
    <t>The 7 Best AI Agents for Marketing in 2026</t>
  </si>
  <si>
    <t>https://tonicinternational.com/services/media-services/measure-attribution-tagging-setup-agency-dubai/</t>
  </si>
  <si>
    <t>tonicinternational.com</t>
  </si>
  <si>
    <t>Measure and tagging services in Dubai and UAE | Tonic International</t>
  </si>
  <si>
    <t>https://townin.com/Dubai/search/55404/performance-marketing-companies-in-dubai</t>
  </si>
  <si>
    <t>Top Performance Marketing Companies in Dubai | ROI-Driven Agencies- townin.com</t>
  </si>
  <si>
    <t>https://www.tradingview.com/news/reuters.com,2026-07-09:newsml_ZawbDQXJd:0-zawya-uae-startups-lead-the-region-s-adoption-of-generative-engine-optimization-as-ai-reshapes-business-discovery/</t>
  </si>
  <si>
    <t>ZAWYA: UAE startups lead the region’s adoption of Generative Engine Optimization as AI reshapes business discovery — TradingView News</t>
  </si>
  <si>
    <t>https://www.trinitybps.com/ai-consulting</t>
  </si>
  <si>
    <t>AI Adoption Consulting — ARTHA &amp;amp; PRISM | Trinity Bridge PS</t>
  </si>
  <si>
    <t>https://www.triplewhale.com/blog/cross-channel-attribution</t>
  </si>
  <si>
    <t>Understanding Cross-Channel Attribution in a Multi-Platform World | Triple Whale</t>
  </si>
  <si>
    <t>https://www.triplewhale.com/blog/geolift-geo-based-incrementality-testing</t>
  </si>
  <si>
    <t>GeoLift 101: Your Guide to Geo-Based Incrementality Testing | Triple Whale</t>
  </si>
  <si>
    <t>https://www.triplewhale.com/blog/incrementality-testing</t>
  </si>
  <si>
    <t>What Is Incrementality Testing? The Ultimate Guide for Modern Marketers | Triple Whale</t>
  </si>
  <si>
    <t>https://www.triplewhale.com/blog/marketing-attribution</t>
  </si>
  <si>
    <t>Marketing Attribution: Models, Benefits, and Best Practices | Triple Whale</t>
  </si>
  <si>
    <t>https://trivisionstudios.com/best-corporate-video-production-companies-in-2026-ranked/</t>
  </si>
  <si>
    <t>Best Corporate Video Production Companies in 2026 | Ranked - TriVision Studios</t>
  </si>
  <si>
    <t>https://www.trkkn.com/#:~:text=Analytics%20360.%20Search%20Ads%20360.%20Display%20%26,cloud%20infrastructure.%20Google%20Cloud.%20Advanced%20cloud%20infrastructure</t>
  </si>
  <si>
    <t>Analytics, Cloud &amp;amp; Marketing technology for digital transformation | TRKKN</t>
  </si>
  <si>
    <t>https://www.truedata.co/first-party-data-strategy/</t>
  </si>
  <si>
    <t>First Party Data Strategy | TrueData</t>
  </si>
  <si>
    <t>https://www.truelift.ai/</t>
  </si>
  <si>
    <t>Incrementality Measurement &amp;amp; MMM Platform | Truelift</t>
  </si>
  <si>
    <t>https://www.truenorthmarketing.ae/en/about</t>
  </si>
  <si>
    <t>About True North Marketing | Digital Marketing &amp;amp; Web Development Agency Dubai</t>
  </si>
  <si>
    <t>https://www.tvtechnology.com/news/magnite-acxiom-announce-integration</t>
  </si>
  <si>
    <t>Magnite, Acxiom Announce Integration | TV Tech</t>
  </si>
  <si>
    <t>https://udjat.ae/10-top-marketing-agencies-in-dubai-how-to-choose-the-right-partner-for-business-growth/</t>
  </si>
  <si>
    <t>10 Top Marketing Agencies in Dubai: How to Choose the Right Partner for Business Growth - Udjat Agency LLC</t>
  </si>
  <si>
    <t>NEXA, Chain Reaction, Publicis Groupe, Dentsu, FP7 McCann</t>
  </si>
  <si>
    <t>https://udjat.ae/best-roi-for-small-businesses/</t>
  </si>
  <si>
    <t>What Digital Marketing Agency Offers the Best ROI for Small Businesses in UAE? 15 Powerful Agencies Helping SMEs Scale Smarter in 2026 - Udjat Agency LLC</t>
  </si>
  <si>
    <t>Bird Marketing, NEXA, Ninja Promo</t>
  </si>
  <si>
    <t>https://ugcengine.ai/blog/best-aeo-agencies</t>
  </si>
  <si>
    <t>ugcengine.ai</t>
  </si>
  <si>
    <t>Best AEO Agencies in 2026: 9 Top Firms for AI Search Visibility</t>
  </si>
  <si>
    <t>NoGood, iPullRank, INSIDEA, Omniscient Digital, Momentum</t>
  </si>
  <si>
    <t>https://www.universalads.com/partners</t>
  </si>
  <si>
    <t>Universal Ads Business Partners</t>
  </si>
  <si>
    <t>Haus, Measured, Northbeam</t>
  </si>
  <si>
    <t>https://v8media.co.za/most-important-numbers-to-track-in-your-business/</t>
  </si>
  <si>
    <t>The Most Important Numbers to Track in Your Business (2026) - V8 Media</t>
  </si>
  <si>
    <t>https://valgrowdigital.com/</t>
  </si>
  <si>
    <t>ValGrow Labs | Best SEO &amp;amp; AI Agency in Dubai (UAE)</t>
  </si>
  <si>
    <t>https://valors.agency/influencer-marketing-uae</t>
  </si>
  <si>
    <t>Influencer Marketing Agency UAE | Dubai &amp;amp; Abu Dhabi | Valors Media</t>
  </si>
  <si>
    <t>https://www.vdigitalservices.com/first-party-data-activation-meta-advertising/</t>
  </si>
  <si>
    <t>First-Party Data Advertising: Boost ROI with Smarter Targeting</t>
  </si>
  <si>
    <t>https://www.velocitygrowth.ae/services/experimentation-cro-systems</t>
  </si>
  <si>
    <t>CRO &amp;amp; Experimentation Agency Dubai | Growth Testing Systems</t>
  </si>
  <si>
    <t>https://vibebranding.com/blog/best-performance-marketing-agencies/</t>
  </si>
  <si>
    <t>Best Performance Marketing Agencies for ROI Growth 2025</t>
  </si>
  <si>
    <t>https://videnglobe.com/#:~:text=Our%20in%2Dhouse%20experts'%20experience%20extends%20from%20working,100%25%20Results%20guarantee.%20Ready%20for%20incredible%20growth%3F</t>
  </si>
  <si>
    <t>VIDEN | eCommerce Advertising Agency | Google &amp;amp; Meta Partner</t>
  </si>
  <si>
    <t>https://videofactory.agency/</t>
  </si>
  <si>
    <t>Video Factory - Infrastructure to scale ads</t>
  </si>
  <si>
    <t>https://virtualadagency.com.au/advertising-agencies-in-australia/</t>
  </si>
  <si>
    <t>Top 7 Advertising Agencies in Australia to Watch in 2025</t>
  </si>
  <si>
    <t>https://www.vistabylara.com/</t>
  </si>
  <si>
    <t>AI Visibility Agency Dubai | SEO, AEO &amp;amp; GEO in UAE</t>
  </si>
  <si>
    <t>NEXA, Digital Gravity, Global Media Insight, United SEO</t>
  </si>
  <si>
    <t>https://waimhub.com/ai-analytics-marketing-agency-dubai/#:~:text=Incrementality%20testing%3A%20Measuring%20the%20true,is%20accurate%20by%20Sunday%20night.</t>
  </si>
  <si>
    <t>AI analytics marketing agency Dubai: complete guide - WAIM - AI agency Dubai</t>
  </si>
  <si>
    <t>intouch, WAIM, Push</t>
  </si>
  <si>
    <t>https://wam.global/solutions/media-optimization-grow/martech-performance/</t>
  </si>
  <si>
    <t>Martech and Digital Performance: Technology to Maximize Results | WAM</t>
  </si>
  <si>
    <t>https://wamdigital.com/blog/top-5-creative-and-web-development-agencies-for-scalable-production-in-2026</t>
  </si>
  <si>
    <t>Top Creative &amp;amp; Web Development Agencies for Scalable Production in 2026</t>
  </si>
  <si>
    <t>https://www.weareqry.com/blog/best-paid-media-agencies</t>
  </si>
  <si>
    <t>Best Paid Media Agencies for 2026 | QRY</t>
  </si>
  <si>
    <t>Wpromote, Power Digital, WebFX, Single Grain, Directive, Tinuiti</t>
  </si>
  <si>
    <t>https://www.weareqry.com/blog/best-performance-marketing-agencies</t>
  </si>
  <si>
    <t>Best Performance Marketing Agencies for 2026 | QRY</t>
  </si>
  <si>
    <t>Measured, Tinuiti, Power Digital, NoGood</t>
  </si>
  <si>
    <t>https://www.wearetenet.com/growth/conversion-rate-optimization-services</t>
  </si>
  <si>
    <t>Conversion Rate Optimization Services | #1 CRO Agency</t>
  </si>
  <si>
    <t>Tenet, intouch</t>
  </si>
  <si>
    <t>https://webcastle.ae/blog/top-5-web-design-companies-in-dubai-2025/</t>
  </si>
  <si>
    <t>Top 5 Web Design Companies in Dubai - 2025 - WebCastle Technologies</t>
  </si>
  <si>
    <t>https://webcastle.ae/services/aws-cloud-consulting-dubai/</t>
  </si>
  <si>
    <t>AWS Cloud Consulting Partner in Dubai | Amazon Web Services</t>
  </si>
  <si>
    <t>https://websenor.com/top-10-performance-marketing-experts-companies-in-dubai/</t>
  </si>
  <si>
    <t>Top 10 Performance Marketing Experts Companies in Dubai - WebSenor</t>
  </si>
  <si>
    <t>NEXA, Chain Reaction, Bruce Clay MENA, Red Berries, EDS FZCO, Blue Beetle, United SEO</t>
  </si>
  <si>
    <t>https://webspottechnologies.com/blog/how-a-digital-marketing-agency-boosts-roi/</t>
  </si>
  <si>
    <t>Maximize ROI with a Top Digital Marketing Agency Online</t>
  </si>
  <si>
    <t>https://www.webtonic.io/blog/best-performance-marketing-agencies</t>
  </si>
  <si>
    <t>The 26 Best Performance Marketing Agencies for 2026</t>
  </si>
  <si>
    <t>Web Tonic, Tinuiti, NoGood, Disruptive Advertising, Power Digital, Wpromote, Directive, Single Grain, Jellyfish, Incubeta, intouch</t>
  </si>
  <si>
    <t>https://www.webtonic.io/blog/top-content-creation-agencies-dubai</t>
  </si>
  <si>
    <t>The 45 Top Content Creation Agencies in Dubai as of 2026</t>
  </si>
  <si>
    <t>Web Tonic, inBeat, NEXA, ASTUDIO, Digital Gravity, Chain Reaction, Global Media Insight, Prism Digital, Zenerom, TIDAL Digital, United SEO, AlCaz Media, intouch</t>
  </si>
  <si>
    <t>https://www.webtonic.io/blog/top-social-media-marketing-agencies-dubai</t>
  </si>
  <si>
    <t>27 Top Social Media Marketing Agencies in Dubai for 2026</t>
  </si>
  <si>
    <t>Web Tonic, Prism Digital, NEXA, Digital Gravity, intouch</t>
  </si>
  <si>
    <t>https://www.weforum.org/stories/2026/06/ai-workplace-adoption-readiness/</t>
  </si>
  <si>
    <t>The 5 faces of human readiness for AI adoption – and how to work with them \| World Economic Forum</t>
  </si>
  <si>
    <t>https://werunads.studio/</t>
  </si>
  <si>
    <t>We Run Ads - Performance Marketing Agency | Google &amp;amp; Meta Ads</t>
  </si>
  <si>
    <t>https://wide-wings.ae/analytics-performance-marketing/</t>
  </si>
  <si>
    <t>Analytics &amp;amp; Performance Marketing | Wide Wings Media Digital Agency Dubai</t>
  </si>
  <si>
    <t>https://www.workmagic.io/</t>
  </si>
  <si>
    <t>WorkMagic | Growth by Science</t>
  </si>
  <si>
    <t>https://www.workmagic.io/academy-course/what-is-incrementality</t>
  </si>
  <si>
    <t>What is Incrementality?</t>
  </si>
  <si>
    <t>https://worldhappinesscode.com/ae/blog/top-advertising-agencies-in-dubai-why-they-dominate-the-regional-market/</t>
  </si>
  <si>
    <t>Top advertising agencies in Dubai – Why they dominate the regional market? - worldhappinesscode</t>
  </si>
  <si>
    <t>https://worldmetrics.org/service/uae-digital-marketing/</t>
  </si>
  <si>
    <t>Top 10 Best Uae Digital Marketing Services: 2026 Comparison</t>
  </si>
  <si>
    <t>https://www2.fundsforngos.org/innovation/open-call-accelerating-ai-readiness-and-adoption-united-states/</t>
  </si>
  <si>
    <t>https://wynter.com/post/roa-marketing</t>
  </si>
  <si>
    <t>What Is Return on Attention (ROA)? The Alternative to ROI</t>
  </si>
  <si>
    <t>https://x3cs.com/best-digital-marketing-agencies-uae/#:~:text=Useful%20X3%20pages%3A%20Marketing%2C%20SEO,digital%20marketing%20agencies%20in%20UAE.</t>
  </si>
  <si>
    <t>8 Best Digital Marketing Agencies in UAE for Business Growth in 2026 - X3 Creative Solutions</t>
  </si>
  <si>
    <t>NEXA, ASTUDIO, Digital Gravity, Blue Beetle, Global Media Insight, Red Berries, Bird Marketing, intouch</t>
  </si>
  <si>
    <t>https://xrtechgroup.com/geospatial-solutions-company-in-dubai-uae/</t>
  </si>
  <si>
    <t>#1 Geospatial Solutions Company in Dubai UAE - XrTech Group</t>
  </si>
  <si>
    <t>https://xyagent.ai/ai-readiness-assessment/</t>
  </si>
  <si>
    <t>AI Readiness Assessment for Small Business UK | XY Agent AI</t>
  </si>
  <si>
    <t>https://www.yall.co/post/top-dtc-performance-creative-agencies-in-2026</t>
  </si>
  <si>
    <t>Top DTC Performance Creative Agencies in 2026 (Updated June 2026) | Y’all, A Performance Creative Agency</t>
  </si>
  <si>
    <t>Darkroom, Common Thread Collective, Power Digital</t>
  </si>
  <si>
    <t>https://www.yesoptimist.com/aeo-agency/</t>
  </si>
  <si>
    <t>The 10x AEO Agency - B2B Answer Engine Optimization Services | Optimist</t>
  </si>
  <si>
    <t>https://www.yesoptimist.com/best-aeo-agencies/</t>
  </si>
  <si>
    <t>The Best AEO Agencies for Growing AI Visibility &amp;amp; Revenue (2026) | Optimist</t>
  </si>
  <si>
    <t>iPullRank, Omniscient Digital, Siege Media, NoGood, Push</t>
  </si>
  <si>
    <t>https://www.yesoptimist.com/best-geo-agencies/</t>
  </si>
  <si>
    <t>The 7 Best GEO Agencies Driving Real Revenue from AI in 2026 | Optimist</t>
  </si>
  <si>
    <t>Measured, iPullRank, Siege Media, Omniscient Digital</t>
  </si>
  <si>
    <t>https://www.youtube.com/watch?v=_6r4JfsFDAQ</t>
  </si>
  <si>
    <t>Incrementality Testing in Digital Marketing &amp; testing architecture</t>
  </si>
  <si>
    <t>https://www.z2adigital.com/blog-content/incrementality-testing-guide</t>
  </si>
  <si>
    <t>What is Incrementality Testing? A Comprehensive Guide | Z2A Digital</t>
  </si>
  <si>
    <t>https://www.zawya.com/en/press-release/companies-news/trkkn-mena-becomes-a-google-cloud-platform-premier-partner-fbvjvryz#:~:text=This%20milestone%2C%20which%20involved%20technical%20interviews%20and,technologies%20of%20its%20team%20of%20certified%20experts.</t>
  </si>
  <si>
    <t>TRKKN MENA becomes a Google cloud platform premier partner</t>
  </si>
  <si>
    <t>Omnicom Media Group, OMD, PHD, Push</t>
  </si>
  <si>
    <t>https://www.zawya.com/en/press-release/companies-news/uae-startups-lead-the-regions-adoption-of-generative-engine-optimization-as-ai-reshapes-business-discovery-gma2h0gc</t>
  </si>
  <si>
    <t>UAE startups lead the region’s adoption of Generative Engine Optimization as AI reshapes business discovery</t>
  </si>
  <si>
    <t>https://zenerom.ae/seo-services/aeo-services/</t>
  </si>
  <si>
    <t>Answer Engine Optimization (AEO) Services | Zenerom Dubai</t>
  </si>
  <si>
    <t>https://zenerom.ae/seo-services/geo-services/#:~:text=Generative%20Engine%20Optimization%20(GEO)%20helps%20businesses%20improve,recommend%20your%20business%20in%20conversational%20search%20results.</t>
  </si>
  <si>
    <t>Generative Engine Optimization Services | Zenerom Dubai</t>
  </si>
  <si>
    <t>https://zetaglobal.com/resource-center/ai-first-party-data-agency-growth/</t>
  </si>
  <si>
    <t>AI-Powered First-Party Data for Agency Growth | Zeta</t>
  </si>
  <si>
    <t>https://www.zionmarketresearch.com/report/artificial-intelligence-ai-consulting-market</t>
  </si>
  <si>
    <t>Artificial Intelligence (AI) Consulting Market Size, Share and Forecast 2034</t>
  </si>
  <si>
    <t>Boston Consulting Group, KPMG, PwC, intouch</t>
  </si>
  <si>
    <t>https://www.ziprecruiter.com/e/Tier-One-Marketing-Who-are-the-big-4-in-marketing</t>
  </si>
  <si>
    <t>https://zoomdigital.ae/services/omnichannel-marketing/</t>
  </si>
  <si>
    <t>Omnichannel Marketing Services in Dubai - Zoom Digital</t>
  </si>
  <si>
    <t>https://zoomdigital.ae/services/performance-marketing/</t>
  </si>
  <si>
    <t>Best Performance Marketing Agency in Dubai - Zoom Digital</t>
  </si>
  <si>
    <t>https://zyppy.com/companies/c/analytics-data/united-arab-emirates/dubai/</t>
  </si>
  <si>
    <t>Top Analytics and Data Companies in Dubai - July 2026</t>
  </si>
  <si>
    <t>https://zyppy.com/companies/e-cens/#:~:text=In%20the%20mobile%20space%2C%20we%20are%20official,Privacy%2FConsent%20Management%20solutions%20like%20OneTrust.%20Team%20Certifications%3A</t>
  </si>
  <si>
    <t>e-CENS - Top Analytics and Data Company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</si>
</sst>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color rgb="FFFFFFFF"/>
      <name val="Arial"/>
    </font>
    <font>
      <color theme="1"/>
      <name val="Arial"/>
    </font>
    <font>
      <u/>
      <color rgb="FF0000FF"/>
    </font>
    <font>
      <u/>
      <color rgb="FF0000FF"/>
    </font>
    <font>
      <color theme="1"/>
      <name val="Arial"/>
      <scheme val="minor"/>
    </font>
    <font>
      <u/>
      <color rgb="FF0000FF"/>
    </font>
    <font>
      <u/>
      <color rgb="FF0000FF"/>
      <name val="Arial"/>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vertical="bottom"/>
    </xf>
    <xf borderId="0" fillId="2" fontId="1" numFmtId="0" xfId="0" applyFont="1"/>
    <xf borderId="0" fillId="2" fontId="2" numFmtId="0" xfId="0" applyAlignment="1" applyFont="1">
      <alignment readingOrder="0" vertical="bottom"/>
    </xf>
    <xf borderId="0" fillId="2" fontId="2" numFmtId="0" xfId="0" applyAlignment="1" applyFont="1">
      <alignment vertical="bottom"/>
    </xf>
    <xf borderId="0" fillId="2" fontId="3" numFmtId="0" xfId="0" applyAlignment="1" applyFont="1">
      <alignment vertical="bottom"/>
    </xf>
    <xf borderId="0" fillId="0" fontId="4" numFmtId="0" xfId="0" applyAlignment="1" applyFont="1">
      <alignment readingOrder="0"/>
    </xf>
    <xf borderId="0" fillId="0" fontId="5" numFmtId="0" xfId="0" applyFont="1"/>
    <xf borderId="0" fillId="0" fontId="6" numFmtId="0" xfId="0" applyAlignment="1" applyFont="1">
      <alignment readingOrder="0"/>
    </xf>
    <xf borderId="0" fillId="0" fontId="3" numFmtId="0" xfId="0" applyAlignment="1" applyFont="1">
      <alignment readingOrder="0"/>
    </xf>
    <xf borderId="0" fillId="0" fontId="6" numFmtId="0" xfId="0" applyFont="1"/>
    <xf borderId="0" fillId="0" fontId="7" numFmtId="0" xfId="0" applyAlignment="1" applyFont="1">
      <alignment readingOrder="0"/>
    </xf>
    <xf borderId="0" fillId="0" fontId="8"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9"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redberries.ae" TargetMode="External"/><Relationship Id="rId194" Type="http://schemas.openxmlformats.org/officeDocument/2006/relationships/hyperlink" Target="http://upliftgtm.com" TargetMode="External"/><Relationship Id="rId193" Type="http://schemas.openxmlformats.org/officeDocument/2006/relationships/hyperlink" Target="http://trusttry.com" TargetMode="External"/><Relationship Id="rId192" Type="http://schemas.openxmlformats.org/officeDocument/2006/relationships/hyperlink" Target="http://thegeoagency.ai" TargetMode="External"/><Relationship Id="rId191" Type="http://schemas.openxmlformats.org/officeDocument/2006/relationships/hyperlink" Target="http://selectedfirms.co" TargetMode="External"/><Relationship Id="rId187" Type="http://schemas.openxmlformats.org/officeDocument/2006/relationships/hyperlink" Target="http://ichelonconsulting.com" TargetMode="External"/><Relationship Id="rId186" Type="http://schemas.openxmlformats.org/officeDocument/2006/relationships/hyperlink" Target="http://ebiquity.com" TargetMode="External"/><Relationship Id="rId185" Type="http://schemas.openxmlformats.org/officeDocument/2006/relationships/hyperlink" Target="http://bimodal.io" TargetMode="External"/><Relationship Id="rId184" Type="http://schemas.openxmlformats.org/officeDocument/2006/relationships/hyperlink" Target="http://anirup.com" TargetMode="External"/><Relationship Id="rId189" Type="http://schemas.openxmlformats.org/officeDocument/2006/relationships/hyperlink" Target="http://performancestimuli.com" TargetMode="External"/><Relationship Id="rId188" Type="http://schemas.openxmlformats.org/officeDocument/2006/relationships/hyperlink" Target="http://nrdigitalagency.com" TargetMode="External"/><Relationship Id="rId183" Type="http://schemas.openxmlformats.org/officeDocument/2006/relationships/hyperlink" Target="http://alwafaagroup.com" TargetMode="External"/><Relationship Id="rId182" Type="http://schemas.openxmlformats.org/officeDocument/2006/relationships/hyperlink" Target="http://adcountable.com" TargetMode="External"/><Relationship Id="rId181" Type="http://schemas.openxmlformats.org/officeDocument/2006/relationships/hyperlink" Target="http://superside.com" TargetMode="External"/><Relationship Id="rId180" Type="http://schemas.openxmlformats.org/officeDocument/2006/relationships/hyperlink" Target="http://digitalorks.com" TargetMode="External"/><Relationship Id="rId176" Type="http://schemas.openxmlformats.org/officeDocument/2006/relationships/hyperlink" Target="http://top-media-companies-in-dubai.com" TargetMode="External"/><Relationship Id="rId175" Type="http://schemas.openxmlformats.org/officeDocument/2006/relationships/hyperlink" Target="http://sociallypowerful.com" TargetMode="External"/><Relationship Id="rId174" Type="http://schemas.openxmlformats.org/officeDocument/2006/relationships/hyperlink" Target="http://socially.ae" TargetMode="External"/><Relationship Id="rId173" Type="http://schemas.openxmlformats.org/officeDocument/2006/relationships/hyperlink" Target="http://scaled.ae" TargetMode="External"/><Relationship Id="rId179" Type="http://schemas.openxmlformats.org/officeDocument/2006/relationships/hyperlink" Target="http://provokemedia.com" TargetMode="External"/><Relationship Id="rId178" Type="http://schemas.openxmlformats.org/officeDocument/2006/relationships/hyperlink" Target="http://holm.com" TargetMode="External"/><Relationship Id="rId177" Type="http://schemas.openxmlformats.org/officeDocument/2006/relationships/hyperlink" Target="http://upvantage.ae" TargetMode="External"/><Relationship Id="rId198" Type="http://schemas.openxmlformats.org/officeDocument/2006/relationships/hyperlink" Target="http://az-group.ae" TargetMode="External"/><Relationship Id="rId197" Type="http://schemas.openxmlformats.org/officeDocument/2006/relationships/hyperlink" Target="http://indexlab.ai" TargetMode="External"/><Relationship Id="rId196" Type="http://schemas.openxmlformats.org/officeDocument/2006/relationships/hyperlink" Target="http://voctos.net" TargetMode="External"/><Relationship Id="rId195" Type="http://schemas.openxmlformats.org/officeDocument/2006/relationships/hyperlink" Target="http://verifywise.ai" TargetMode="External"/><Relationship Id="rId199" Type="http://schemas.openxmlformats.org/officeDocument/2006/relationships/hyperlink" Target="http://nogood.io" TargetMode="External"/><Relationship Id="rId150" Type="http://schemas.openxmlformats.org/officeDocument/2006/relationships/hyperlink" Target="http://lucidly.ae" TargetMode="External"/><Relationship Id="rId392" Type="http://schemas.openxmlformats.org/officeDocument/2006/relationships/hyperlink" Target="http://macreativeag.com" TargetMode="External"/><Relationship Id="rId391" Type="http://schemas.openxmlformats.org/officeDocument/2006/relationships/hyperlink" Target="http://lyxelandflamingo.com" TargetMode="External"/><Relationship Id="rId390" Type="http://schemas.openxmlformats.org/officeDocument/2006/relationships/hyperlink" Target="http://kochava.com" TargetMode="External"/><Relationship Id="rId1" Type="http://schemas.openxmlformats.org/officeDocument/2006/relationships/hyperlink" Target="http://sortlist.com" TargetMode="External"/><Relationship Id="rId2" Type="http://schemas.openxmlformats.org/officeDocument/2006/relationships/hyperlink" Target="http://clutch.co" TargetMode="External"/><Relationship Id="rId3" Type="http://schemas.openxmlformats.org/officeDocument/2006/relationships/hyperlink" Target="http://semrush.com" TargetMode="External"/><Relationship Id="rId149" Type="http://schemas.openxmlformats.org/officeDocument/2006/relationships/hyperlink" Target="http://impressionmedia.ae" TargetMode="External"/><Relationship Id="rId4" Type="http://schemas.openxmlformats.org/officeDocument/2006/relationships/hyperlink" Target="http://bicommunications.ae" TargetMode="External"/><Relationship Id="rId148" Type="http://schemas.openxmlformats.org/officeDocument/2006/relationships/hyperlink" Target="http://icp.gov.ae" TargetMode="External"/><Relationship Id="rId9" Type="http://schemas.openxmlformats.org/officeDocument/2006/relationships/hyperlink" Target="http://goodfirms.co" TargetMode="External"/><Relationship Id="rId143" Type="http://schemas.openxmlformats.org/officeDocument/2006/relationships/hyperlink" Target="http://loudface.co" TargetMode="External"/><Relationship Id="rId385" Type="http://schemas.openxmlformats.org/officeDocument/2006/relationships/hyperlink" Target="http://indeed.com" TargetMode="External"/><Relationship Id="rId142" Type="http://schemas.openxmlformats.org/officeDocument/2006/relationships/hyperlink" Target="http://digitalfarm.ae" TargetMode="External"/><Relationship Id="rId384" Type="http://schemas.openxmlformats.org/officeDocument/2006/relationships/hyperlink" Target="http://incremental.com" TargetMode="External"/><Relationship Id="rId141" Type="http://schemas.openxmlformats.org/officeDocument/2006/relationships/hyperlink" Target="http://benchmarketing.org" TargetMode="External"/><Relationship Id="rId383" Type="http://schemas.openxmlformats.org/officeDocument/2006/relationships/hyperlink" Target="http://improvado.io" TargetMode="External"/><Relationship Id="rId140" Type="http://schemas.openxmlformats.org/officeDocument/2006/relationships/hyperlink" Target="http://incrementors.com" TargetMode="External"/><Relationship Id="rId382" Type="http://schemas.openxmlformats.org/officeDocument/2006/relationships/hyperlink" Target="http://impactbbdo.com" TargetMode="External"/><Relationship Id="rId5" Type="http://schemas.openxmlformats.org/officeDocument/2006/relationships/hyperlink" Target="http://digitalagencynetwork.com" TargetMode="External"/><Relationship Id="rId147" Type="http://schemas.openxmlformats.org/officeDocument/2006/relationships/hyperlink" Target="http://hostino.ae" TargetMode="External"/><Relationship Id="rId389" Type="http://schemas.openxmlformats.org/officeDocument/2006/relationships/hyperlink" Target="http://kiwop.com" TargetMode="External"/><Relationship Id="rId6" Type="http://schemas.openxmlformats.org/officeDocument/2006/relationships/hyperlink" Target="http://housesofgrowth.com" TargetMode="External"/><Relationship Id="rId146" Type="http://schemas.openxmlformats.org/officeDocument/2006/relationships/hyperlink" Target="http://artrevo.net" TargetMode="External"/><Relationship Id="rId388" Type="http://schemas.openxmlformats.org/officeDocument/2006/relationships/hyperlink" Target="http://itsaimarketing.com" TargetMode="External"/><Relationship Id="rId7" Type="http://schemas.openxmlformats.org/officeDocument/2006/relationships/hyperlink" Target="http://pushgroup.ae" TargetMode="External"/><Relationship Id="rId145" Type="http://schemas.openxmlformats.org/officeDocument/2006/relationships/hyperlink" Target="http://aeo-collective.com" TargetMode="External"/><Relationship Id="rId387" Type="http://schemas.openxmlformats.org/officeDocument/2006/relationships/hyperlink" Target="http://ipsos.com" TargetMode="External"/><Relationship Id="rId8" Type="http://schemas.openxmlformats.org/officeDocument/2006/relationships/hyperlink" Target="http://digitalgravity.ae" TargetMode="External"/><Relationship Id="rId144" Type="http://schemas.openxmlformats.org/officeDocument/2006/relationships/hyperlink" Target="http://2p.ae" TargetMode="External"/><Relationship Id="rId386" Type="http://schemas.openxmlformats.org/officeDocument/2006/relationships/hyperlink" Target="http://innovatedigital.ae" TargetMode="External"/><Relationship Id="rId381" Type="http://schemas.openxmlformats.org/officeDocument/2006/relationships/hyperlink" Target="http://haus.io" TargetMode="External"/><Relationship Id="rId380" Type="http://schemas.openxmlformats.org/officeDocument/2006/relationships/hyperlink" Target="http://gravitybase.ai" TargetMode="External"/><Relationship Id="rId139" Type="http://schemas.openxmlformats.org/officeDocument/2006/relationships/hyperlink" Target="http://truenorthmarketing.ae" TargetMode="External"/><Relationship Id="rId138" Type="http://schemas.openxmlformats.org/officeDocument/2006/relationships/hyperlink" Target="http://slashdot.org" TargetMode="External"/><Relationship Id="rId137" Type="http://schemas.openxmlformats.org/officeDocument/2006/relationships/hyperlink" Target="http://loomlinker.com" TargetMode="External"/><Relationship Id="rId379" Type="http://schemas.openxmlformats.org/officeDocument/2006/relationships/hyperlink" Target="http://govanator.com" TargetMode="External"/><Relationship Id="rId132" Type="http://schemas.openxmlformats.org/officeDocument/2006/relationships/hyperlink" Target="http://e-cens.com" TargetMode="External"/><Relationship Id="rId374" Type="http://schemas.openxmlformats.org/officeDocument/2006/relationships/hyperlink" Target="http://emotedigital.ae" TargetMode="External"/><Relationship Id="rId131" Type="http://schemas.openxmlformats.org/officeDocument/2006/relationships/hyperlink" Target="http://savit.ae" TargetMode="External"/><Relationship Id="rId373" Type="http://schemas.openxmlformats.org/officeDocument/2006/relationships/hyperlink" Target="http://eightysixmedia.ae" TargetMode="External"/><Relationship Id="rId130" Type="http://schemas.openxmlformats.org/officeDocument/2006/relationships/hyperlink" Target="http://digitalmarketingagency.ae" TargetMode="External"/><Relationship Id="rId372" Type="http://schemas.openxmlformats.org/officeDocument/2006/relationships/hyperlink" Target="http://dynamictech.ae" TargetMode="External"/><Relationship Id="rId371" Type="http://schemas.openxmlformats.org/officeDocument/2006/relationships/hyperlink" Target="http://dss-ai.com" TargetMode="External"/><Relationship Id="rId136" Type="http://schemas.openxmlformats.org/officeDocument/2006/relationships/hyperlink" Target="http://innovatscale.ae" TargetMode="External"/><Relationship Id="rId378" Type="http://schemas.openxmlformats.org/officeDocument/2006/relationships/hyperlink" Target="http://getrecast.com" TargetMode="External"/><Relationship Id="rId135" Type="http://schemas.openxmlformats.org/officeDocument/2006/relationships/hyperlink" Target="http://synscribe.com" TargetMode="External"/><Relationship Id="rId377" Type="http://schemas.openxmlformats.org/officeDocument/2006/relationships/hyperlink" Target="http://geoq.ai" TargetMode="External"/><Relationship Id="rId134" Type="http://schemas.openxmlformats.org/officeDocument/2006/relationships/hyperlink" Target="http://sapience.ae" TargetMode="External"/><Relationship Id="rId376" Type="http://schemas.openxmlformats.org/officeDocument/2006/relationships/hyperlink" Target="http://fusepointinsights.com" TargetMode="External"/><Relationship Id="rId133" Type="http://schemas.openxmlformats.org/officeDocument/2006/relationships/hyperlink" Target="http://nerdsey.com" TargetMode="External"/><Relationship Id="rId375" Type="http://schemas.openxmlformats.org/officeDocument/2006/relationships/hyperlink" Target="http://forbesberry.com" TargetMode="External"/><Relationship Id="rId172" Type="http://schemas.openxmlformats.org/officeDocument/2006/relationships/hyperlink" Target="http://ruleranalytics.com" TargetMode="External"/><Relationship Id="rId171" Type="http://schemas.openxmlformats.org/officeDocument/2006/relationships/hyperlink" Target="http://omnieclipse.ai" TargetMode="External"/><Relationship Id="rId170" Type="http://schemas.openxmlformats.org/officeDocument/2006/relationships/hyperlink" Target="http://mosaicdigital.ae" TargetMode="External"/><Relationship Id="rId165" Type="http://schemas.openxmlformats.org/officeDocument/2006/relationships/hyperlink" Target="http://allblogthings.com" TargetMode="External"/><Relationship Id="rId164" Type="http://schemas.openxmlformats.org/officeDocument/2006/relationships/hyperlink" Target="http://aifirstpartners.com" TargetMode="External"/><Relationship Id="rId163" Type="http://schemas.openxmlformats.org/officeDocument/2006/relationships/hyperlink" Target="http://aeovision.ai" TargetMode="External"/><Relationship Id="rId162" Type="http://schemas.openxmlformats.org/officeDocument/2006/relationships/hyperlink" Target="http://aeoagency.org" TargetMode="External"/><Relationship Id="rId169" Type="http://schemas.openxmlformats.org/officeDocument/2006/relationships/hyperlink" Target="http://metasocial.ae" TargetMode="External"/><Relationship Id="rId168" Type="http://schemas.openxmlformats.org/officeDocument/2006/relationships/hyperlink" Target="http://mediaupshift.com" TargetMode="External"/><Relationship Id="rId167" Type="http://schemas.openxmlformats.org/officeDocument/2006/relationships/hyperlink" Target="http://forebettoday.com" TargetMode="External"/><Relationship Id="rId166" Type="http://schemas.openxmlformats.org/officeDocument/2006/relationships/hyperlink" Target="http://doorsstudio.com" TargetMode="External"/><Relationship Id="rId161" Type="http://schemas.openxmlformats.org/officeDocument/2006/relationships/hyperlink" Target="http://adaptsmedia.com" TargetMode="External"/><Relationship Id="rId160" Type="http://schemas.openxmlformats.org/officeDocument/2006/relationships/hyperlink" Target="http://zabtechdigital.ae" TargetMode="External"/><Relationship Id="rId159" Type="http://schemas.openxmlformats.org/officeDocument/2006/relationships/hyperlink" Target="http://xparro.com" TargetMode="External"/><Relationship Id="rId154" Type="http://schemas.openxmlformats.org/officeDocument/2006/relationships/hyperlink" Target="http://signatureglobalmedia.com" TargetMode="External"/><Relationship Id="rId396" Type="http://schemas.openxmlformats.org/officeDocument/2006/relationships/hyperlink" Target="http://mordorintelligence.com" TargetMode="External"/><Relationship Id="rId153" Type="http://schemas.openxmlformats.org/officeDocument/2006/relationships/hyperlink" Target="http://roifromads.com" TargetMode="External"/><Relationship Id="rId395" Type="http://schemas.openxmlformats.org/officeDocument/2006/relationships/hyperlink" Target="http://metrongrowth.com" TargetMode="External"/><Relationship Id="rId152" Type="http://schemas.openxmlformats.org/officeDocument/2006/relationships/hyperlink" Target="http://noirandblanco.com" TargetMode="External"/><Relationship Id="rId394" Type="http://schemas.openxmlformats.org/officeDocument/2006/relationships/hyperlink" Target="http://marketbridge.com" TargetMode="External"/><Relationship Id="rId151" Type="http://schemas.openxmlformats.org/officeDocument/2006/relationships/hyperlink" Target="http://moonbox.ae" TargetMode="External"/><Relationship Id="rId393" Type="http://schemas.openxmlformats.org/officeDocument/2006/relationships/hyperlink" Target="http://manqoosh.com" TargetMode="External"/><Relationship Id="rId158" Type="http://schemas.openxmlformats.org/officeDocument/2006/relationships/hyperlink" Target="http://topgeoagencies.com" TargetMode="External"/><Relationship Id="rId157" Type="http://schemas.openxmlformats.org/officeDocument/2006/relationships/hyperlink" Target="http://titananalytics.ae" TargetMode="External"/><Relationship Id="rId399" Type="http://schemas.openxmlformats.org/officeDocument/2006/relationships/hyperlink" Target="http://pinemarsh.com" TargetMode="External"/><Relationship Id="rId156" Type="http://schemas.openxmlformats.org/officeDocument/2006/relationships/hyperlink" Target="http://themarketingagency.ca" TargetMode="External"/><Relationship Id="rId398" Type="http://schemas.openxmlformats.org/officeDocument/2006/relationships/hyperlink" Target="http://performbyai.com" TargetMode="External"/><Relationship Id="rId155" Type="http://schemas.openxmlformats.org/officeDocument/2006/relationships/hyperlink" Target="http://teamlewis.com" TargetMode="External"/><Relationship Id="rId397" Type="http://schemas.openxmlformats.org/officeDocument/2006/relationships/hyperlink" Target="http://outrightcrm.com" TargetMode="External"/><Relationship Id="rId40" Type="http://schemas.openxmlformats.org/officeDocument/2006/relationships/hyperlink" Target="http://theuaeblog.com" TargetMode="External"/><Relationship Id="rId42" Type="http://schemas.openxmlformats.org/officeDocument/2006/relationships/hyperlink" Target="http://edvido.ae" TargetMode="External"/><Relationship Id="rId41" Type="http://schemas.openxmlformats.org/officeDocument/2006/relationships/hyperlink" Target="http://chainreaction.ae" TargetMode="External"/><Relationship Id="rId44" Type="http://schemas.openxmlformats.org/officeDocument/2006/relationships/hyperlink" Target="http://marketingagencyabudhabi.com" TargetMode="External"/><Relationship Id="rId43" Type="http://schemas.openxmlformats.org/officeDocument/2006/relationships/hyperlink" Target="http://hashtag-me.com" TargetMode="External"/><Relationship Id="rId46" Type="http://schemas.openxmlformats.org/officeDocument/2006/relationships/hyperlink" Target="http://byteeit.com" TargetMode="External"/><Relationship Id="rId45" Type="http://schemas.openxmlformats.org/officeDocument/2006/relationships/hyperlink" Target="http://kineticcs.com" TargetMode="External"/><Relationship Id="rId509" Type="http://schemas.openxmlformats.org/officeDocument/2006/relationships/hyperlink" Target="http://circana.com" TargetMode="External"/><Relationship Id="rId508" Type="http://schemas.openxmlformats.org/officeDocument/2006/relationships/hyperlink" Target="http://cieden.com" TargetMode="External"/><Relationship Id="rId503" Type="http://schemas.openxmlformats.org/officeDocument/2006/relationships/hyperlink" Target="http://buildbetter.ai" TargetMode="External"/><Relationship Id="rId745" Type="http://schemas.openxmlformats.org/officeDocument/2006/relationships/hyperlink" Target="http://thedxlab.com" TargetMode="External"/><Relationship Id="rId502" Type="http://schemas.openxmlformats.org/officeDocument/2006/relationships/hyperlink" Target="http://brutal-simplicity-of-thought.com" TargetMode="External"/><Relationship Id="rId744" Type="http://schemas.openxmlformats.org/officeDocument/2006/relationships/hyperlink" Target="http://thedigitalmerchant.com" TargetMode="External"/><Relationship Id="rId501" Type="http://schemas.openxmlformats.org/officeDocument/2006/relationships/hyperlink" Target="http://brandsurge.ae" TargetMode="External"/><Relationship Id="rId743" Type="http://schemas.openxmlformats.org/officeDocument/2006/relationships/hyperlink" Target="http://thebrillcollective.com" TargetMode="External"/><Relationship Id="rId500" Type="http://schemas.openxmlformats.org/officeDocument/2006/relationships/hyperlink" Target="http://brandedagency.com" TargetMode="External"/><Relationship Id="rId742" Type="http://schemas.openxmlformats.org/officeDocument/2006/relationships/hyperlink" Target="http://thebrandcall.com" TargetMode="External"/><Relationship Id="rId507" Type="http://schemas.openxmlformats.org/officeDocument/2006/relationships/hyperlink" Target="http://chooseoxygen.ae" TargetMode="External"/><Relationship Id="rId749" Type="http://schemas.openxmlformats.org/officeDocument/2006/relationships/hyperlink" Target="http://thinknectar.com" TargetMode="External"/><Relationship Id="rId506" Type="http://schemas.openxmlformats.org/officeDocument/2006/relationships/hyperlink" Target="http://ccagency.ae" TargetMode="External"/><Relationship Id="rId748" Type="http://schemas.openxmlformats.org/officeDocument/2006/relationships/hyperlink" Target="http://thethinksters.com" TargetMode="External"/><Relationship Id="rId505" Type="http://schemas.openxmlformats.org/officeDocument/2006/relationships/hyperlink" Target="http://canberra.edu.au" TargetMode="External"/><Relationship Id="rId747" Type="http://schemas.openxmlformats.org/officeDocument/2006/relationships/hyperlink" Target="http://themedialinks.com" TargetMode="External"/><Relationship Id="rId504" Type="http://schemas.openxmlformats.org/officeDocument/2006/relationships/hyperlink" Target="http://buyradar.ai" TargetMode="External"/><Relationship Id="rId746" Type="http://schemas.openxmlformats.org/officeDocument/2006/relationships/hyperlink" Target="http://theguardian.com" TargetMode="External"/><Relationship Id="rId48" Type="http://schemas.openxmlformats.org/officeDocument/2006/relationships/hyperlink" Target="http://biglab.ae" TargetMode="External"/><Relationship Id="rId47" Type="http://schemas.openxmlformats.org/officeDocument/2006/relationships/hyperlink" Target="http://mcsaatchiperformance.com" TargetMode="External"/><Relationship Id="rId49" Type="http://schemas.openxmlformats.org/officeDocument/2006/relationships/hyperlink" Target="http://influencermarketinghub.com" TargetMode="External"/><Relationship Id="rId741" Type="http://schemas.openxmlformats.org/officeDocument/2006/relationships/hyperlink" Target="http://thebrandberries.com" TargetMode="External"/><Relationship Id="rId740" Type="http://schemas.openxmlformats.org/officeDocument/2006/relationships/hyperlink" Target="http://thebestgeo.com" TargetMode="External"/><Relationship Id="rId31" Type="http://schemas.openxmlformats.org/officeDocument/2006/relationships/hyperlink" Target="http://linkedin.com" TargetMode="External"/><Relationship Id="rId30" Type="http://schemas.openxmlformats.org/officeDocument/2006/relationships/hyperlink" Target="http://measured.com" TargetMode="External"/><Relationship Id="rId33" Type="http://schemas.openxmlformats.org/officeDocument/2006/relationships/hyperlink" Target="http://marketing-agency-dubai.com" TargetMode="External"/><Relationship Id="rId32" Type="http://schemas.openxmlformats.org/officeDocument/2006/relationships/hyperlink" Target="http://prism-me.com" TargetMode="External"/><Relationship Id="rId35" Type="http://schemas.openxmlformats.org/officeDocument/2006/relationships/hyperlink" Target="http://cometly.com" TargetMode="External"/><Relationship Id="rId34" Type="http://schemas.openxmlformats.org/officeDocument/2006/relationships/hyperlink" Target="http://ititans.com" TargetMode="External"/><Relationship Id="rId739" Type="http://schemas.openxmlformats.org/officeDocument/2006/relationships/hyperlink" Target="http://theaeoagency.io" TargetMode="External"/><Relationship Id="rId734" Type="http://schemas.openxmlformats.org/officeDocument/2006/relationships/hyperlink" Target="http://tatari.tv" TargetMode="External"/><Relationship Id="rId733" Type="http://schemas.openxmlformats.org/officeDocument/2006/relationships/hyperlink" Target="http://tarjama.com" TargetMode="External"/><Relationship Id="rId732" Type="http://schemas.openxmlformats.org/officeDocument/2006/relationships/hyperlink" Target="http://tamkinexpress.ae" TargetMode="External"/><Relationship Id="rId731" Type="http://schemas.openxmlformats.org/officeDocument/2006/relationships/hyperlink" Target="http://swydo.com" TargetMode="External"/><Relationship Id="rId738" Type="http://schemas.openxmlformats.org/officeDocument/2006/relationships/hyperlink" Target="http://tfsfventures.com" TargetMode="External"/><Relationship Id="rId737" Type="http://schemas.openxmlformats.org/officeDocument/2006/relationships/hyperlink" Target="http://tekrevol.com" TargetMode="External"/><Relationship Id="rId736" Type="http://schemas.openxmlformats.org/officeDocument/2006/relationships/hyperlink" Target="http://techradiant.co" TargetMode="External"/><Relationship Id="rId735" Type="http://schemas.openxmlformats.org/officeDocument/2006/relationships/hyperlink" Target="http://teamai.com" TargetMode="External"/><Relationship Id="rId37" Type="http://schemas.openxmlformats.org/officeDocument/2006/relationships/hyperlink" Target="http://10seos.com" TargetMode="External"/><Relationship Id="rId36" Type="http://schemas.openxmlformats.org/officeDocument/2006/relationships/hyperlink" Target="http://leadsdubai.com" TargetMode="External"/><Relationship Id="rId39" Type="http://schemas.openxmlformats.org/officeDocument/2006/relationships/hyperlink" Target="http://upscale-digital.com" TargetMode="External"/><Relationship Id="rId38" Type="http://schemas.openxmlformats.org/officeDocument/2006/relationships/hyperlink" Target="http://bird.ae" TargetMode="External"/><Relationship Id="rId730" Type="http://schemas.openxmlformats.org/officeDocument/2006/relationships/hyperlink" Target="http://sumnah.ae" TargetMode="External"/><Relationship Id="rId20" Type="http://schemas.openxmlformats.org/officeDocument/2006/relationships/hyperlink" Target="http://thehovi.com" TargetMode="External"/><Relationship Id="rId22" Type="http://schemas.openxmlformats.org/officeDocument/2006/relationships/hyperlink" Target="http://hypebox.me" TargetMode="External"/><Relationship Id="rId21" Type="http://schemas.openxmlformats.org/officeDocument/2006/relationships/hyperlink" Target="http://webtonic.io" TargetMode="External"/><Relationship Id="rId24" Type="http://schemas.openxmlformats.org/officeDocument/2006/relationships/hyperlink" Target="http://spiderworks.ae" TargetMode="External"/><Relationship Id="rId23" Type="http://schemas.openxmlformats.org/officeDocument/2006/relationships/hyperlink" Target="http://lapaone.com" TargetMode="External"/><Relationship Id="rId525" Type="http://schemas.openxmlformats.org/officeDocument/2006/relationships/hyperlink" Target="http://dhruvaconsultants.com" TargetMode="External"/><Relationship Id="rId767" Type="http://schemas.openxmlformats.org/officeDocument/2006/relationships/hyperlink" Target="http://velocitygrowth.ae" TargetMode="External"/><Relationship Id="rId524" Type="http://schemas.openxmlformats.org/officeDocument/2006/relationships/hyperlink" Target="http://dgeniussolutions.com" TargetMode="External"/><Relationship Id="rId766" Type="http://schemas.openxmlformats.org/officeDocument/2006/relationships/hyperlink" Target="http://vdigitalservices.com" TargetMode="External"/><Relationship Id="rId523" Type="http://schemas.openxmlformats.org/officeDocument/2006/relationships/hyperlink" Target="http://delemontechnology.com" TargetMode="External"/><Relationship Id="rId765" Type="http://schemas.openxmlformats.org/officeDocument/2006/relationships/hyperlink" Target="http://valgrowdigital.com" TargetMode="External"/><Relationship Id="rId522" Type="http://schemas.openxmlformats.org/officeDocument/2006/relationships/hyperlink" Target="http://dataventure.com" TargetMode="External"/><Relationship Id="rId764" Type="http://schemas.openxmlformats.org/officeDocument/2006/relationships/hyperlink" Target="http://v8media.co.za" TargetMode="External"/><Relationship Id="rId529" Type="http://schemas.openxmlformats.org/officeDocument/2006/relationships/hyperlink" Target="http://digitalif.net" TargetMode="External"/><Relationship Id="rId528" Type="http://schemas.openxmlformats.org/officeDocument/2006/relationships/hyperlink" Target="http://digital-advice.io" TargetMode="External"/><Relationship Id="rId527" Type="http://schemas.openxmlformats.org/officeDocument/2006/relationships/hyperlink" Target="http://digiblazon.com" TargetMode="External"/><Relationship Id="rId769" Type="http://schemas.openxmlformats.org/officeDocument/2006/relationships/hyperlink" Target="http://videnglobe.com" TargetMode="External"/><Relationship Id="rId526" Type="http://schemas.openxmlformats.org/officeDocument/2006/relationships/hyperlink" Target="http://diapmedia.com" TargetMode="External"/><Relationship Id="rId768" Type="http://schemas.openxmlformats.org/officeDocument/2006/relationships/hyperlink" Target="http://vibebranding.com" TargetMode="External"/><Relationship Id="rId26" Type="http://schemas.openxmlformats.org/officeDocument/2006/relationships/hyperlink" Target="http://techbullion.com" TargetMode="External"/><Relationship Id="rId25" Type="http://schemas.openxmlformats.org/officeDocument/2006/relationships/hyperlink" Target="http://digitalagencies.ae" TargetMode="External"/><Relationship Id="rId28" Type="http://schemas.openxmlformats.org/officeDocument/2006/relationships/hyperlink" Target="http://digitalmediasapiens.com" TargetMode="External"/><Relationship Id="rId27" Type="http://schemas.openxmlformats.org/officeDocument/2006/relationships/hyperlink" Target="http://solved6.com" TargetMode="External"/><Relationship Id="rId521" Type="http://schemas.openxmlformats.org/officeDocument/2006/relationships/hyperlink" Target="http://datameer.com" TargetMode="External"/><Relationship Id="rId763" Type="http://schemas.openxmlformats.org/officeDocument/2006/relationships/hyperlink" Target="http://universalads.com" TargetMode="External"/><Relationship Id="rId29" Type="http://schemas.openxmlformats.org/officeDocument/2006/relationships/hyperlink" Target="http://digitalswot.ae" TargetMode="External"/><Relationship Id="rId520" Type="http://schemas.openxmlformats.org/officeDocument/2006/relationships/hyperlink" Target="http://dacgroup.com" TargetMode="External"/><Relationship Id="rId762" Type="http://schemas.openxmlformats.org/officeDocument/2006/relationships/hyperlink" Target="http://tvtechnology.com" TargetMode="External"/><Relationship Id="rId761" Type="http://schemas.openxmlformats.org/officeDocument/2006/relationships/hyperlink" Target="http://truelift.ai" TargetMode="External"/><Relationship Id="rId760" Type="http://schemas.openxmlformats.org/officeDocument/2006/relationships/hyperlink" Target="http://truedata.co" TargetMode="External"/><Relationship Id="rId11" Type="http://schemas.openxmlformats.org/officeDocument/2006/relationships/hyperlink" Target="http://waimhub.com" TargetMode="External"/><Relationship Id="rId10" Type="http://schemas.openxmlformats.org/officeDocument/2006/relationships/hyperlink" Target="http://wearetenet.com" TargetMode="External"/><Relationship Id="rId13" Type="http://schemas.openxmlformats.org/officeDocument/2006/relationships/hyperlink" Target="http://c2cmedia.ae" TargetMode="External"/><Relationship Id="rId12" Type="http://schemas.openxmlformats.org/officeDocument/2006/relationships/hyperlink" Target="http://topdevelopers.co" TargetMode="External"/><Relationship Id="rId519" Type="http://schemas.openxmlformats.org/officeDocument/2006/relationships/hyperlink" Target="http://ctcmedia.ae" TargetMode="External"/><Relationship Id="rId514" Type="http://schemas.openxmlformats.org/officeDocument/2006/relationships/hyperlink" Target="http://competenza.ae" TargetMode="External"/><Relationship Id="rId756" Type="http://schemas.openxmlformats.org/officeDocument/2006/relationships/hyperlink" Target="http://townin.com" TargetMode="External"/><Relationship Id="rId513" Type="http://schemas.openxmlformats.org/officeDocument/2006/relationships/hyperlink" Target="http://commonthreadco.com" TargetMode="External"/><Relationship Id="rId755" Type="http://schemas.openxmlformats.org/officeDocument/2006/relationships/hyperlink" Target="http://tofuhq.com" TargetMode="External"/><Relationship Id="rId512" Type="http://schemas.openxmlformats.org/officeDocument/2006/relationships/hyperlink" Target="http://cofes.com" TargetMode="External"/><Relationship Id="rId754" Type="http://schemas.openxmlformats.org/officeDocument/2006/relationships/hyperlink" Target="http://tmmagency.com" TargetMode="External"/><Relationship Id="rId511" Type="http://schemas.openxmlformats.org/officeDocument/2006/relationships/hyperlink" Target="http://codeandco.ae" TargetMode="External"/><Relationship Id="rId753" Type="http://schemas.openxmlformats.org/officeDocument/2006/relationships/hyperlink" Target="http://tmh.ae" TargetMode="External"/><Relationship Id="rId518" Type="http://schemas.openxmlformats.org/officeDocument/2006/relationships/hyperlink" Target="http://crunchsolutions.ae" TargetMode="External"/><Relationship Id="rId517" Type="http://schemas.openxmlformats.org/officeDocument/2006/relationships/hyperlink" Target="http://creativezone.ae" TargetMode="External"/><Relationship Id="rId759" Type="http://schemas.openxmlformats.org/officeDocument/2006/relationships/hyperlink" Target="http://trivisionstudios.com" TargetMode="External"/><Relationship Id="rId516" Type="http://schemas.openxmlformats.org/officeDocument/2006/relationships/hyperlink" Target="http://creativebroadcast.ae" TargetMode="External"/><Relationship Id="rId758" Type="http://schemas.openxmlformats.org/officeDocument/2006/relationships/hyperlink" Target="http://trinitybps.com" TargetMode="External"/><Relationship Id="rId515" Type="http://schemas.openxmlformats.org/officeDocument/2006/relationships/hyperlink" Target="http://comtask.net" TargetMode="External"/><Relationship Id="rId757" Type="http://schemas.openxmlformats.org/officeDocument/2006/relationships/hyperlink" Target="http://tradingview.com" TargetMode="External"/><Relationship Id="rId15" Type="http://schemas.openxmlformats.org/officeDocument/2006/relationships/hyperlink" Target="http://thatware.co" TargetMode="External"/><Relationship Id="rId14" Type="http://schemas.openxmlformats.org/officeDocument/2006/relationships/hyperlink" Target="http://designrush.com" TargetMode="External"/><Relationship Id="rId17" Type="http://schemas.openxmlformats.org/officeDocument/2006/relationships/hyperlink" Target="http://globalmediainsight.com" TargetMode="External"/><Relationship Id="rId16" Type="http://schemas.openxmlformats.org/officeDocument/2006/relationships/hyperlink" Target="http://phable.io" TargetMode="External"/><Relationship Id="rId19" Type="http://schemas.openxmlformats.org/officeDocument/2006/relationships/hyperlink" Target="http://reddit.com" TargetMode="External"/><Relationship Id="rId510" Type="http://schemas.openxmlformats.org/officeDocument/2006/relationships/hyperlink" Target="http://clickworkzz.com" TargetMode="External"/><Relationship Id="rId752" Type="http://schemas.openxmlformats.org/officeDocument/2006/relationships/hyperlink" Target="http://titandigitaluae.com" TargetMode="External"/><Relationship Id="rId18" Type="http://schemas.openxmlformats.org/officeDocument/2006/relationships/hyperlink" Target="http://lengreo.com" TargetMode="External"/><Relationship Id="rId751" Type="http://schemas.openxmlformats.org/officeDocument/2006/relationships/hyperlink" Target="http://timezmarketing.com" TargetMode="External"/><Relationship Id="rId750" Type="http://schemas.openxmlformats.org/officeDocument/2006/relationships/hyperlink" Target="http://thinkwithalec.com" TargetMode="External"/><Relationship Id="rId84" Type="http://schemas.openxmlformats.org/officeDocument/2006/relationships/hyperlink" Target="http://boostmylocalbusiness.ai" TargetMode="External"/><Relationship Id="rId83" Type="http://schemas.openxmlformats.org/officeDocument/2006/relationships/hyperlink" Target="http://hellopixels.com" TargetMode="External"/><Relationship Id="rId86" Type="http://schemas.openxmlformats.org/officeDocument/2006/relationships/hyperlink" Target="http://getapexanalytics.com" TargetMode="External"/><Relationship Id="rId85" Type="http://schemas.openxmlformats.org/officeDocument/2006/relationships/hyperlink" Target="http://enhmedia.com" TargetMode="External"/><Relationship Id="rId88" Type="http://schemas.openxmlformats.org/officeDocument/2006/relationships/hyperlink" Target="http://leadmetrics.ai" TargetMode="External"/><Relationship Id="rId87" Type="http://schemas.openxmlformats.org/officeDocument/2006/relationships/hyperlink" Target="http://noorrank.com" TargetMode="External"/><Relationship Id="rId89" Type="http://schemas.openxmlformats.org/officeDocument/2006/relationships/hyperlink" Target="http://wisoftsolutions.com" TargetMode="External"/><Relationship Id="rId709" Type="http://schemas.openxmlformats.org/officeDocument/2006/relationships/hyperlink" Target="http://seoindiaonline.com" TargetMode="External"/><Relationship Id="rId708" Type="http://schemas.openxmlformats.org/officeDocument/2006/relationships/hyperlink" Target="http://seodxb.com" TargetMode="External"/><Relationship Id="rId707" Type="http://schemas.openxmlformats.org/officeDocument/2006/relationships/hyperlink" Target="http://seodiscovery.com" TargetMode="External"/><Relationship Id="rId706" Type="http://schemas.openxmlformats.org/officeDocument/2006/relationships/hyperlink" Target="http://semfirms.com" TargetMode="External"/><Relationship Id="rId80" Type="http://schemas.openxmlformats.org/officeDocument/2006/relationships/hyperlink" Target="http://theorangeclub.me" TargetMode="External"/><Relationship Id="rId82" Type="http://schemas.openxmlformats.org/officeDocument/2006/relationships/hyperlink" Target="http://aimarketingpro.ae" TargetMode="External"/><Relationship Id="rId81" Type="http://schemas.openxmlformats.org/officeDocument/2006/relationships/hyperlink" Target="http://techbehemoths.com" TargetMode="External"/><Relationship Id="rId701" Type="http://schemas.openxmlformats.org/officeDocument/2006/relationships/hyperlink" Target="http://roirevolution.com" TargetMode="External"/><Relationship Id="rId700" Type="http://schemas.openxmlformats.org/officeDocument/2006/relationships/hyperlink" Target="http://roasifymedia.com" TargetMode="External"/><Relationship Id="rId705" Type="http://schemas.openxmlformats.org/officeDocument/2006/relationships/hyperlink" Target="http://segwise.ai" TargetMode="External"/><Relationship Id="rId704" Type="http://schemas.openxmlformats.org/officeDocument/2006/relationships/hyperlink" Target="http://searchbloom.com" TargetMode="External"/><Relationship Id="rId703" Type="http://schemas.openxmlformats.org/officeDocument/2006/relationships/hyperlink" Target="http://rsxigital.com" TargetMode="External"/><Relationship Id="rId702" Type="http://schemas.openxmlformats.org/officeDocument/2006/relationships/hyperlink" Target="http://roq.ad" TargetMode="External"/><Relationship Id="rId73" Type="http://schemas.openxmlformats.org/officeDocument/2006/relationships/hyperlink" Target="http://glomm.co" TargetMode="External"/><Relationship Id="rId72" Type="http://schemas.openxmlformats.org/officeDocument/2006/relationships/hyperlink" Target="http://digitalnexa.com" TargetMode="External"/><Relationship Id="rId75" Type="http://schemas.openxmlformats.org/officeDocument/2006/relationships/hyperlink" Target="http://thebuzihub.com" TargetMode="External"/><Relationship Id="rId74" Type="http://schemas.openxmlformats.org/officeDocument/2006/relationships/hyperlink" Target="http://bloomingvelocity.com" TargetMode="External"/><Relationship Id="rId77" Type="http://schemas.openxmlformats.org/officeDocument/2006/relationships/hyperlink" Target="http://mystrika.com" TargetMode="External"/><Relationship Id="rId76" Type="http://schemas.openxmlformats.org/officeDocument/2006/relationships/hyperlink" Target="http://marketnavigator.ae" TargetMode="External"/><Relationship Id="rId79" Type="http://schemas.openxmlformats.org/officeDocument/2006/relationships/hyperlink" Target="http://opinosis-analytics.com" TargetMode="External"/><Relationship Id="rId78" Type="http://schemas.openxmlformats.org/officeDocument/2006/relationships/hyperlink" Target="http://foresightfox.com" TargetMode="External"/><Relationship Id="rId71" Type="http://schemas.openxmlformats.org/officeDocument/2006/relationships/hyperlink" Target="http://nomadx.ae" TargetMode="External"/><Relationship Id="rId70" Type="http://schemas.openxmlformats.org/officeDocument/2006/relationships/hyperlink" Target="http://247agency.ae" TargetMode="External"/><Relationship Id="rId62" Type="http://schemas.openxmlformats.org/officeDocument/2006/relationships/hyperlink" Target="http://gcc-marketing.com" TargetMode="External"/><Relationship Id="rId61" Type="http://schemas.openxmlformats.org/officeDocument/2006/relationships/hyperlink" Target="http://edisonmoment.com" TargetMode="External"/><Relationship Id="rId64" Type="http://schemas.openxmlformats.org/officeDocument/2006/relationships/hyperlink" Target="http://sellforte.com" TargetMode="External"/><Relationship Id="rId63" Type="http://schemas.openxmlformats.org/officeDocument/2006/relationships/hyperlink" Target="http://harisand.co" TargetMode="External"/><Relationship Id="rId66" Type="http://schemas.openxmlformats.org/officeDocument/2006/relationships/hyperlink" Target="http://godigitalalpha.com" TargetMode="External"/><Relationship Id="rId65" Type="http://schemas.openxmlformats.org/officeDocument/2006/relationships/hyperlink" Target="http://ensun.io" TargetMode="External"/><Relationship Id="rId68" Type="http://schemas.openxmlformats.org/officeDocument/2006/relationships/hyperlink" Target="http://google.com" TargetMode="External"/><Relationship Id="rId67" Type="http://schemas.openxmlformats.org/officeDocument/2006/relationships/hyperlink" Target="http://seocompare.co.uk" TargetMode="External"/><Relationship Id="rId729" Type="http://schemas.openxmlformats.org/officeDocument/2006/relationships/hyperlink" Target="http://strikedigital.ie" TargetMode="External"/><Relationship Id="rId728" Type="http://schemas.openxmlformats.org/officeDocument/2006/relationships/hyperlink" Target="http://stellaheystella.com" TargetMode="External"/><Relationship Id="rId60" Type="http://schemas.openxmlformats.org/officeDocument/2006/relationships/hyperlink" Target="http://morismedia.in" TargetMode="External"/><Relationship Id="rId723" Type="http://schemas.openxmlformats.org/officeDocument/2006/relationships/hyperlink" Target="http://soho-aimarketing.com" TargetMode="External"/><Relationship Id="rId722" Type="http://schemas.openxmlformats.org/officeDocument/2006/relationships/hyperlink" Target="http://socotec-middleeast.com" TargetMode="External"/><Relationship Id="rId721" Type="http://schemas.openxmlformats.org/officeDocument/2006/relationships/hyperlink" Target="http://sociomark.ae" TargetMode="External"/><Relationship Id="rId720" Type="http://schemas.openxmlformats.org/officeDocument/2006/relationships/hyperlink" Target="http://smartgeoagency.com" TargetMode="External"/><Relationship Id="rId727" Type="http://schemas.openxmlformats.org/officeDocument/2006/relationships/hyperlink" Target="http://starngage.com" TargetMode="External"/><Relationship Id="rId726" Type="http://schemas.openxmlformats.org/officeDocument/2006/relationships/hyperlink" Target="http://sprintey.io" TargetMode="External"/><Relationship Id="rId725" Type="http://schemas.openxmlformats.org/officeDocument/2006/relationships/hyperlink" Target="http://solulab.com" TargetMode="External"/><Relationship Id="rId724" Type="http://schemas.openxmlformats.org/officeDocument/2006/relationships/hyperlink" Target="http://solanalytics.com" TargetMode="External"/><Relationship Id="rId69" Type="http://schemas.openxmlformats.org/officeDocument/2006/relationships/hyperlink" Target="http://brandstory.ae" TargetMode="External"/><Relationship Id="rId51" Type="http://schemas.openxmlformats.org/officeDocument/2006/relationships/hyperlink" Target="http://salesbox.ai" TargetMode="External"/><Relationship Id="rId50" Type="http://schemas.openxmlformats.org/officeDocument/2006/relationships/hyperlink" Target="http://hikemytraffic.com" TargetMode="External"/><Relationship Id="rId53" Type="http://schemas.openxmlformats.org/officeDocument/2006/relationships/hyperlink" Target="http://apptunix.ae" TargetMode="External"/><Relationship Id="rId52" Type="http://schemas.openxmlformats.org/officeDocument/2006/relationships/hyperlink" Target="http://applabx.com" TargetMode="External"/><Relationship Id="rId55" Type="http://schemas.openxmlformats.org/officeDocument/2006/relationships/hyperlink" Target="http://triplewhale.com" TargetMode="External"/><Relationship Id="rId54" Type="http://schemas.openxmlformats.org/officeDocument/2006/relationships/hyperlink" Target="http://semnexus.com" TargetMode="External"/><Relationship Id="rId57" Type="http://schemas.openxmlformats.org/officeDocument/2006/relationships/hyperlink" Target="http://havstrategy.com" TargetMode="External"/><Relationship Id="rId56" Type="http://schemas.openxmlformats.org/officeDocument/2006/relationships/hyperlink" Target="http://eseospace.com" TargetMode="External"/><Relationship Id="rId719" Type="http://schemas.openxmlformats.org/officeDocument/2006/relationships/hyperlink" Target="http://skyscale.com.au" TargetMode="External"/><Relationship Id="rId718" Type="http://schemas.openxmlformats.org/officeDocument/2006/relationships/hyperlink" Target="http://skillsheaven.org" TargetMode="External"/><Relationship Id="rId717" Type="http://schemas.openxmlformats.org/officeDocument/2006/relationships/hyperlink" Target="http://simplicitymedia.com" TargetMode="External"/><Relationship Id="rId712" Type="http://schemas.openxmlformats.org/officeDocument/2006/relationships/hyperlink" Target="http://shakostats.com" TargetMode="External"/><Relationship Id="rId711" Type="http://schemas.openxmlformats.org/officeDocument/2006/relationships/hyperlink" Target="http://seoworks.com" TargetMode="External"/><Relationship Id="rId710" Type="http://schemas.openxmlformats.org/officeDocument/2006/relationships/hyperlink" Target="http://seosandwitch.com" TargetMode="External"/><Relationship Id="rId716" Type="http://schemas.openxmlformats.org/officeDocument/2006/relationships/hyperlink" Target="http://silverbackstrategies.com" TargetMode="External"/><Relationship Id="rId715" Type="http://schemas.openxmlformats.org/officeDocument/2006/relationships/hyperlink" Target="http://shichifukutekx.ae" TargetMode="External"/><Relationship Id="rId714" Type="http://schemas.openxmlformats.org/officeDocument/2006/relationships/hyperlink" Target="http://shazzco.com" TargetMode="External"/><Relationship Id="rId713" Type="http://schemas.openxmlformats.org/officeDocument/2006/relationships/hyperlink" Target="http://sharjahcustoms.gov.ae" TargetMode="External"/><Relationship Id="rId59" Type="http://schemas.openxmlformats.org/officeDocument/2006/relationships/hyperlink" Target="http://nuundigital.com" TargetMode="External"/><Relationship Id="rId58" Type="http://schemas.openxmlformats.org/officeDocument/2006/relationships/hyperlink" Target="http://astudio.ae" TargetMode="External"/><Relationship Id="rId590" Type="http://schemas.openxmlformats.org/officeDocument/2006/relationships/hyperlink" Target="http://grudva.com" TargetMode="External"/><Relationship Id="rId107" Type="http://schemas.openxmlformats.org/officeDocument/2006/relationships/hyperlink" Target="http://aarmeh.ae" TargetMode="External"/><Relationship Id="rId349" Type="http://schemas.openxmlformats.org/officeDocument/2006/relationships/hyperlink" Target="http://crawlbrains.ae" TargetMode="External"/><Relationship Id="rId106" Type="http://schemas.openxmlformats.org/officeDocument/2006/relationships/hyperlink" Target="http://adbeacon.com" TargetMode="External"/><Relationship Id="rId348" Type="http://schemas.openxmlformats.org/officeDocument/2006/relationships/hyperlink" Target="http://clickpost.ai" TargetMode="External"/><Relationship Id="rId105" Type="http://schemas.openxmlformats.org/officeDocument/2006/relationships/hyperlink" Target="http://udjat.ae" TargetMode="External"/><Relationship Id="rId347" Type="http://schemas.openxmlformats.org/officeDocument/2006/relationships/hyperlink" Target="http://2pointagency.com" TargetMode="External"/><Relationship Id="rId589" Type="http://schemas.openxmlformats.org/officeDocument/2006/relationships/hyperlink" Target="http://growthmarketing.ae" TargetMode="External"/><Relationship Id="rId104" Type="http://schemas.openxmlformats.org/officeDocument/2006/relationships/hyperlink" Target="http://prismads.com" TargetMode="External"/><Relationship Id="rId346" Type="http://schemas.openxmlformats.org/officeDocument/2006/relationships/hyperlink" Target="http://toimi.pro" TargetMode="External"/><Relationship Id="rId588" Type="http://schemas.openxmlformats.org/officeDocument/2006/relationships/hyperlink" Target="http://growthmanager.ai" TargetMode="External"/><Relationship Id="rId109" Type="http://schemas.openxmlformats.org/officeDocument/2006/relationships/hyperlink" Target="http://amraandelma.com" TargetMode="External"/><Relationship Id="rId108" Type="http://schemas.openxmlformats.org/officeDocument/2006/relationships/hyperlink" Target="http://alcazmedia.ae" TargetMode="External"/><Relationship Id="rId341" Type="http://schemas.openxmlformats.org/officeDocument/2006/relationships/hyperlink" Target="http://websenor.com" TargetMode="External"/><Relationship Id="rId583" Type="http://schemas.openxmlformats.org/officeDocument/2006/relationships/hyperlink" Target="http://growth-rocket.com" TargetMode="External"/><Relationship Id="rId340" Type="http://schemas.openxmlformats.org/officeDocument/2006/relationships/hyperlink" Target="http://vimdrive.com" TargetMode="External"/><Relationship Id="rId582" Type="http://schemas.openxmlformats.org/officeDocument/2006/relationships/hyperlink" Target="http://growth-hackers.net" TargetMode="External"/><Relationship Id="rId581" Type="http://schemas.openxmlformats.org/officeDocument/2006/relationships/hyperlink" Target="http://grow.ae" TargetMode="External"/><Relationship Id="rId580" Type="http://schemas.openxmlformats.org/officeDocument/2006/relationships/hyperlink" Target="http://gravitatedesign.com" TargetMode="External"/><Relationship Id="rId103" Type="http://schemas.openxmlformats.org/officeDocument/2006/relationships/hyperlink" Target="http://advertising-companies-in-dubai.com" TargetMode="External"/><Relationship Id="rId345" Type="http://schemas.openxmlformats.org/officeDocument/2006/relationships/hyperlink" Target="http://sustainablemindz.net" TargetMode="External"/><Relationship Id="rId587" Type="http://schemas.openxmlformats.org/officeDocument/2006/relationships/hyperlink" Target="http://growthensemble.com" TargetMode="External"/><Relationship Id="rId102" Type="http://schemas.openxmlformats.org/officeDocument/2006/relationships/hyperlink" Target="http://campaignme.com" TargetMode="External"/><Relationship Id="rId344" Type="http://schemas.openxmlformats.org/officeDocument/2006/relationships/hyperlink" Target="http://semabrands.com" TargetMode="External"/><Relationship Id="rId586" Type="http://schemas.openxmlformats.org/officeDocument/2006/relationships/hyperlink" Target="http://growthcurve.co" TargetMode="External"/><Relationship Id="rId101" Type="http://schemas.openxmlformats.org/officeDocument/2006/relationships/hyperlink" Target="http://bolusdigital.com" TargetMode="External"/><Relationship Id="rId343" Type="http://schemas.openxmlformats.org/officeDocument/2006/relationships/hyperlink" Target="http://yesoptimist.com" TargetMode="External"/><Relationship Id="rId585" Type="http://schemas.openxmlformats.org/officeDocument/2006/relationships/hyperlink" Target="http://growthanchors.com" TargetMode="External"/><Relationship Id="rId100" Type="http://schemas.openxmlformats.org/officeDocument/2006/relationships/hyperlink" Target="http://youtube.com" TargetMode="External"/><Relationship Id="rId342" Type="http://schemas.openxmlformats.org/officeDocument/2006/relationships/hyperlink" Target="http://wittwise.com" TargetMode="External"/><Relationship Id="rId584" Type="http://schemas.openxmlformats.org/officeDocument/2006/relationships/hyperlink" Target="http://growth.cx" TargetMode="External"/><Relationship Id="rId338" Type="http://schemas.openxmlformats.org/officeDocument/2006/relationships/hyperlink" Target="http://trefon.com" TargetMode="External"/><Relationship Id="rId337" Type="http://schemas.openxmlformats.org/officeDocument/2006/relationships/hyperlink" Target="http://techhive.ae" TargetMode="External"/><Relationship Id="rId579" Type="http://schemas.openxmlformats.org/officeDocument/2006/relationships/hyperlink" Target="http://grantthornton.com" TargetMode="External"/><Relationship Id="rId336" Type="http://schemas.openxmlformats.org/officeDocument/2006/relationships/hyperlink" Target="http://skmcglobal.com" TargetMode="External"/><Relationship Id="rId578" Type="http://schemas.openxmlformats.org/officeDocument/2006/relationships/hyperlink" Target="http://gpcsolutions.ae" TargetMode="External"/><Relationship Id="rId335" Type="http://schemas.openxmlformats.org/officeDocument/2006/relationships/hyperlink" Target="http://sixthfactor.com" TargetMode="External"/><Relationship Id="rId577" Type="http://schemas.openxmlformats.org/officeDocument/2006/relationships/hyperlink" Target="http://gigawattgroup.com" TargetMode="External"/><Relationship Id="rId339" Type="http://schemas.openxmlformats.org/officeDocument/2006/relationships/hyperlink" Target="http://tudoopiq.com" TargetMode="External"/><Relationship Id="rId330" Type="http://schemas.openxmlformats.org/officeDocument/2006/relationships/hyperlink" Target="http://onelittleweb.com" TargetMode="External"/><Relationship Id="rId572" Type="http://schemas.openxmlformats.org/officeDocument/2006/relationships/hyperlink" Target="http://geniecrawl.com" TargetMode="External"/><Relationship Id="rId571" Type="http://schemas.openxmlformats.org/officeDocument/2006/relationships/hyperlink" Target="http://gatewaymarketingdigital.ae" TargetMode="External"/><Relationship Id="rId570" Type="http://schemas.openxmlformats.org/officeDocument/2006/relationships/hyperlink" Target="http://gac.com" TargetMode="External"/><Relationship Id="rId334" Type="http://schemas.openxmlformats.org/officeDocument/2006/relationships/hyperlink" Target="http://seoprofy.com" TargetMode="External"/><Relationship Id="rId576" Type="http://schemas.openxmlformats.org/officeDocument/2006/relationships/hyperlink" Target="http://getonwebs.com" TargetMode="External"/><Relationship Id="rId333" Type="http://schemas.openxmlformats.org/officeDocument/2006/relationships/hyperlink" Target="http://revclickmarketing.com" TargetMode="External"/><Relationship Id="rId575" Type="http://schemas.openxmlformats.org/officeDocument/2006/relationships/hyperlink" Target="http://getkard.com" TargetMode="External"/><Relationship Id="rId332" Type="http://schemas.openxmlformats.org/officeDocument/2006/relationships/hyperlink" Target="http://reuters.com" TargetMode="External"/><Relationship Id="rId574" Type="http://schemas.openxmlformats.org/officeDocument/2006/relationships/hyperlink" Target="http://get-ryze.ai" TargetMode="External"/><Relationship Id="rId331" Type="http://schemas.openxmlformats.org/officeDocument/2006/relationships/hyperlink" Target="http://reach360.ae" TargetMode="External"/><Relationship Id="rId573" Type="http://schemas.openxmlformats.org/officeDocument/2006/relationships/hyperlink" Target="http://geovate.com" TargetMode="External"/><Relationship Id="rId370" Type="http://schemas.openxmlformats.org/officeDocument/2006/relationships/hyperlink" Target="http://drivix.io" TargetMode="External"/><Relationship Id="rId129" Type="http://schemas.openxmlformats.org/officeDocument/2006/relationships/hyperlink" Target="http://mintdigitalsolutions.ae" TargetMode="External"/><Relationship Id="rId128" Type="http://schemas.openxmlformats.org/officeDocument/2006/relationships/hyperlink" Target="http://leo9studio.com" TargetMode="External"/><Relationship Id="rId127" Type="http://schemas.openxmlformats.org/officeDocument/2006/relationships/hyperlink" Target="http://diuna.ae" TargetMode="External"/><Relationship Id="rId369" Type="http://schemas.openxmlformats.org/officeDocument/2006/relationships/hyperlink" Target="http://deloitte.com" TargetMode="External"/><Relationship Id="rId126" Type="http://schemas.openxmlformats.org/officeDocument/2006/relationships/hyperlink" Target="http://digitaloasisae.com" TargetMode="External"/><Relationship Id="rId368" Type="http://schemas.openxmlformats.org/officeDocument/2006/relationships/hyperlink" Target="http://deducive.com" TargetMode="External"/><Relationship Id="rId121" Type="http://schemas.openxmlformats.org/officeDocument/2006/relationships/hyperlink" Target="http://kvnpromos.ae" TargetMode="External"/><Relationship Id="rId363" Type="http://schemas.openxmlformats.org/officeDocument/2006/relationships/hyperlink" Target="http://brandmeadv.com" TargetMode="External"/><Relationship Id="rId120" Type="http://schemas.openxmlformats.org/officeDocument/2006/relationships/hyperlink" Target="http://hikmahaiagency.com" TargetMode="External"/><Relationship Id="rId362" Type="http://schemas.openxmlformats.org/officeDocument/2006/relationships/hyperlink" Target="http://bainna.ae" TargetMode="External"/><Relationship Id="rId361" Type="http://schemas.openxmlformats.org/officeDocument/2006/relationships/hyperlink" Target="http://axios.com" TargetMode="External"/><Relationship Id="rId360" Type="http://schemas.openxmlformats.org/officeDocument/2006/relationships/hyperlink" Target="http://augencia.com" TargetMode="External"/><Relationship Id="rId125" Type="http://schemas.openxmlformats.org/officeDocument/2006/relationships/hyperlink" Target="http://arytech.com" TargetMode="External"/><Relationship Id="rId367" Type="http://schemas.openxmlformats.org/officeDocument/2006/relationships/hyperlink" Target="http://dataterminal.co" TargetMode="External"/><Relationship Id="rId124" Type="http://schemas.openxmlformats.org/officeDocument/2006/relationships/hyperlink" Target="http://architecturaldigest.com" TargetMode="External"/><Relationship Id="rId366" Type="http://schemas.openxmlformats.org/officeDocument/2006/relationships/hyperlink" Target="http://daleel-ai.com" TargetMode="External"/><Relationship Id="rId123" Type="http://schemas.openxmlformats.org/officeDocument/2006/relationships/hyperlink" Target="http://uaesmsmarketing.com" TargetMode="External"/><Relationship Id="rId365" Type="http://schemas.openxmlformats.org/officeDocument/2006/relationships/hyperlink" Target="http://communicateonline.me" TargetMode="External"/><Relationship Id="rId122" Type="http://schemas.openxmlformats.org/officeDocument/2006/relationships/hyperlink" Target="http://promoguy.nl" TargetMode="External"/><Relationship Id="rId364" Type="http://schemas.openxmlformats.org/officeDocument/2006/relationships/hyperlink" Target="http://brentonway.com" TargetMode="External"/><Relationship Id="rId95" Type="http://schemas.openxmlformats.org/officeDocument/2006/relationships/hyperlink" Target="http://effective.ae" TargetMode="External"/><Relationship Id="rId94" Type="http://schemas.openxmlformats.org/officeDocument/2006/relationships/hyperlink" Target="http://segmentstream.com" TargetMode="External"/><Relationship Id="rId97" Type="http://schemas.openxmlformats.org/officeDocument/2006/relationships/hyperlink" Target="http://lifesight.io" TargetMode="External"/><Relationship Id="rId96" Type="http://schemas.openxmlformats.org/officeDocument/2006/relationships/hyperlink" Target="http://integrateitsolutions.com" TargetMode="External"/><Relationship Id="rId99" Type="http://schemas.openxmlformats.org/officeDocument/2006/relationships/hyperlink" Target="http://digital-qube.com" TargetMode="External"/><Relationship Id="rId98" Type="http://schemas.openxmlformats.org/officeDocument/2006/relationships/hyperlink" Target="http://superbcompanies.com" TargetMode="External"/><Relationship Id="rId91" Type="http://schemas.openxmlformats.org/officeDocument/2006/relationships/hyperlink" Target="http://techradar.com" TargetMode="External"/><Relationship Id="rId90" Type="http://schemas.openxmlformats.org/officeDocument/2006/relationships/hyperlink" Target="http://aiwatchmena.com" TargetMode="External"/><Relationship Id="rId93" Type="http://schemas.openxmlformats.org/officeDocument/2006/relationships/hyperlink" Target="http://digiexpo.ae" TargetMode="External"/><Relationship Id="rId92" Type="http://schemas.openxmlformats.org/officeDocument/2006/relationships/hyperlink" Target="http://avixa.org" TargetMode="External"/><Relationship Id="rId118" Type="http://schemas.openxmlformats.org/officeDocument/2006/relationships/hyperlink" Target="http://digiscorp.com" TargetMode="External"/><Relationship Id="rId117" Type="http://schemas.openxmlformats.org/officeDocument/2006/relationships/hyperlink" Target="http://appinventiv.com" TargetMode="External"/><Relationship Id="rId359" Type="http://schemas.openxmlformats.org/officeDocument/2006/relationships/hyperlink" Target="http://arfadia.com" TargetMode="External"/><Relationship Id="rId116" Type="http://schemas.openxmlformats.org/officeDocument/2006/relationships/hyperlink" Target="http://brandburp.com" TargetMode="External"/><Relationship Id="rId358" Type="http://schemas.openxmlformats.org/officeDocument/2006/relationships/hyperlink" Target="http://ardantisglobal.com" TargetMode="External"/><Relationship Id="rId115" Type="http://schemas.openxmlformats.org/officeDocument/2006/relationships/hyperlink" Target="http://withgoogle.com" TargetMode="External"/><Relationship Id="rId357" Type="http://schemas.openxmlformats.org/officeDocument/2006/relationships/hyperlink" Target="http://aoyawardsme.com" TargetMode="External"/><Relationship Id="rId599" Type="http://schemas.openxmlformats.org/officeDocument/2006/relationships/hyperlink" Target="http://highbizz.co" TargetMode="External"/><Relationship Id="rId119" Type="http://schemas.openxmlformats.org/officeDocument/2006/relationships/hyperlink" Target="http://gcctechgroup.com" TargetMode="External"/><Relationship Id="rId110" Type="http://schemas.openxmlformats.org/officeDocument/2006/relationships/hyperlink" Target="http://bestdigitalagency.in" TargetMode="External"/><Relationship Id="rId352" Type="http://schemas.openxmlformats.org/officeDocument/2006/relationships/hyperlink" Target="http://aakashpareek.in" TargetMode="External"/><Relationship Id="rId594" Type="http://schemas.openxmlformats.org/officeDocument/2006/relationships/hyperlink" Target="http://hawksem.com" TargetMode="External"/><Relationship Id="rId351" Type="http://schemas.openxmlformats.org/officeDocument/2006/relationships/hyperlink" Target="http://3rdscreendigital.com" TargetMode="External"/><Relationship Id="rId593" Type="http://schemas.openxmlformats.org/officeDocument/2006/relationships/hyperlink" Target="http://gulftest.org" TargetMode="External"/><Relationship Id="rId350" Type="http://schemas.openxmlformats.org/officeDocument/2006/relationships/hyperlink" Target="http://zawya.com" TargetMode="External"/><Relationship Id="rId592" Type="http://schemas.openxmlformats.org/officeDocument/2006/relationships/hyperlink" Target="http://gtm8020.com" TargetMode="External"/><Relationship Id="rId591" Type="http://schemas.openxmlformats.org/officeDocument/2006/relationships/hyperlink" Target="http://gtechme.com" TargetMode="External"/><Relationship Id="rId114" Type="http://schemas.openxmlformats.org/officeDocument/2006/relationships/hyperlink" Target="http://zainlee.com" TargetMode="External"/><Relationship Id="rId356" Type="http://schemas.openxmlformats.org/officeDocument/2006/relationships/hyperlink" Target="http://amazon.es" TargetMode="External"/><Relationship Id="rId598" Type="http://schemas.openxmlformats.org/officeDocument/2006/relationships/hyperlink" Target="http://heydigital.co" TargetMode="External"/><Relationship Id="rId113" Type="http://schemas.openxmlformats.org/officeDocument/2006/relationships/hyperlink" Target="http://toprankedworld.com" TargetMode="External"/><Relationship Id="rId355" Type="http://schemas.openxmlformats.org/officeDocument/2006/relationships/hyperlink" Target="http://al-bahr-growth-advisory.com" TargetMode="External"/><Relationship Id="rId597" Type="http://schemas.openxmlformats.org/officeDocument/2006/relationships/hyperlink" Target="http://henryharvin.com" TargetMode="External"/><Relationship Id="rId112" Type="http://schemas.openxmlformats.org/officeDocument/2006/relationships/hyperlink" Target="http://prontosys.ae" TargetMode="External"/><Relationship Id="rId354" Type="http://schemas.openxmlformats.org/officeDocument/2006/relationships/hyperlink" Target="http://aimenalabs.com" TargetMode="External"/><Relationship Id="rId596" Type="http://schemas.openxmlformats.org/officeDocument/2006/relationships/hyperlink" Target="http://hemodata.me" TargetMode="External"/><Relationship Id="rId111" Type="http://schemas.openxmlformats.org/officeDocument/2006/relationships/hyperlink" Target="http://list-of-digital-marketing-companies-in-dubai.com" TargetMode="External"/><Relationship Id="rId353" Type="http://schemas.openxmlformats.org/officeDocument/2006/relationships/hyperlink" Target="http://aeoengine.ai" TargetMode="External"/><Relationship Id="rId595" Type="http://schemas.openxmlformats.org/officeDocument/2006/relationships/hyperlink" Target="http://helio.ae" TargetMode="External"/><Relationship Id="rId305" Type="http://schemas.openxmlformats.org/officeDocument/2006/relationships/hyperlink" Target="http://attributionapp.com" TargetMode="External"/><Relationship Id="rId547" Type="http://schemas.openxmlformats.org/officeDocument/2006/relationships/hyperlink" Target="http://eiwaagroup.com" TargetMode="External"/><Relationship Id="rId304" Type="http://schemas.openxmlformats.org/officeDocument/2006/relationships/hyperlink" Target="http://artifactinnovations.com" TargetMode="External"/><Relationship Id="rId546" Type="http://schemas.openxmlformats.org/officeDocument/2006/relationships/hyperlink" Target="http://eds.ae" TargetMode="External"/><Relationship Id="rId303" Type="http://schemas.openxmlformats.org/officeDocument/2006/relationships/hyperlink" Target="http://amazon.in" TargetMode="External"/><Relationship Id="rId545" Type="http://schemas.openxmlformats.org/officeDocument/2006/relationships/hyperlink" Target="http://edgeangel.co" TargetMode="External"/><Relationship Id="rId787" Type="http://schemas.openxmlformats.org/officeDocument/2006/relationships/drawing" Target="../drawings/drawing1.xml"/><Relationship Id="rId302" Type="http://schemas.openxmlformats.org/officeDocument/2006/relationships/hyperlink" Target="http://alstudio.ai" TargetMode="External"/><Relationship Id="rId544" Type="http://schemas.openxmlformats.org/officeDocument/2006/relationships/hyperlink" Target="http://edge226.com" TargetMode="External"/><Relationship Id="rId786" Type="http://schemas.openxmlformats.org/officeDocument/2006/relationships/hyperlink" Target="http://ziprecruiter.com" TargetMode="External"/><Relationship Id="rId309" Type="http://schemas.openxmlformats.org/officeDocument/2006/relationships/hyperlink" Target="http://colabdxb.ae" TargetMode="External"/><Relationship Id="rId308" Type="http://schemas.openxmlformats.org/officeDocument/2006/relationships/hyperlink" Target="http://c3metrics.com" TargetMode="External"/><Relationship Id="rId307" Type="http://schemas.openxmlformats.org/officeDocument/2006/relationships/hyperlink" Target="http://beomniscient.com" TargetMode="External"/><Relationship Id="rId549" Type="http://schemas.openxmlformats.org/officeDocument/2006/relationships/hyperlink" Target="http://elementor.com" TargetMode="External"/><Relationship Id="rId306" Type="http://schemas.openxmlformats.org/officeDocument/2006/relationships/hyperlink" Target="http://bconic.com" TargetMode="External"/><Relationship Id="rId548" Type="http://schemas.openxmlformats.org/officeDocument/2006/relationships/hyperlink" Target="http://element.com" TargetMode="External"/><Relationship Id="rId781" Type="http://schemas.openxmlformats.org/officeDocument/2006/relationships/hyperlink" Target="http://xyagent.ai" TargetMode="External"/><Relationship Id="rId780" Type="http://schemas.openxmlformats.org/officeDocument/2006/relationships/hyperlink" Target="http://xrtechgroup.com" TargetMode="External"/><Relationship Id="rId301" Type="http://schemas.openxmlformats.org/officeDocument/2006/relationships/hyperlink" Target="http://aisuperior.com" TargetMode="External"/><Relationship Id="rId543" Type="http://schemas.openxmlformats.org/officeDocument/2006/relationships/hyperlink" Target="http://economictimes.com" TargetMode="External"/><Relationship Id="rId785" Type="http://schemas.openxmlformats.org/officeDocument/2006/relationships/hyperlink" Target="http://zionmarketresearch.com" TargetMode="External"/><Relationship Id="rId300" Type="http://schemas.openxmlformats.org/officeDocument/2006/relationships/hyperlink" Target="http://aeoagencyservices.com" TargetMode="External"/><Relationship Id="rId542" Type="http://schemas.openxmlformats.org/officeDocument/2006/relationships/hyperlink" Target="http://ecimediamanagement.com" TargetMode="External"/><Relationship Id="rId784" Type="http://schemas.openxmlformats.org/officeDocument/2006/relationships/hyperlink" Target="http://zetaglobal.com" TargetMode="External"/><Relationship Id="rId541" Type="http://schemas.openxmlformats.org/officeDocument/2006/relationships/hyperlink" Target="http://dynata.com" TargetMode="External"/><Relationship Id="rId783" Type="http://schemas.openxmlformats.org/officeDocument/2006/relationships/hyperlink" Target="http://z2adigital.com" TargetMode="External"/><Relationship Id="rId540" Type="http://schemas.openxmlformats.org/officeDocument/2006/relationships/hyperlink" Target="http://dutest.com" TargetMode="External"/><Relationship Id="rId782" Type="http://schemas.openxmlformats.org/officeDocument/2006/relationships/hyperlink" Target="http://yall.co" TargetMode="External"/><Relationship Id="rId536" Type="http://schemas.openxmlformats.org/officeDocument/2006/relationships/hyperlink" Target="http://dmlanalytics.io" TargetMode="External"/><Relationship Id="rId778" Type="http://schemas.openxmlformats.org/officeDocument/2006/relationships/hyperlink" Target="http://wynter.com" TargetMode="External"/><Relationship Id="rId535" Type="http://schemas.openxmlformats.org/officeDocument/2006/relationships/hyperlink" Target="http://dixsept-paris.com" TargetMode="External"/><Relationship Id="rId777" Type="http://schemas.openxmlformats.org/officeDocument/2006/relationships/hyperlink" Target="http://worldmetrics.org" TargetMode="External"/><Relationship Id="rId534" Type="http://schemas.openxmlformats.org/officeDocument/2006/relationships/hyperlink" Target="http://disruptiveadvertising.com" TargetMode="External"/><Relationship Id="rId776" Type="http://schemas.openxmlformats.org/officeDocument/2006/relationships/hyperlink" Target="http://worldhappinesscode.com" TargetMode="External"/><Relationship Id="rId533" Type="http://schemas.openxmlformats.org/officeDocument/2006/relationships/hyperlink" Target="http://diib.com" TargetMode="External"/><Relationship Id="rId775" Type="http://schemas.openxmlformats.org/officeDocument/2006/relationships/hyperlink" Target="http://wide-wings.ae" TargetMode="External"/><Relationship Id="rId539" Type="http://schemas.openxmlformats.org/officeDocument/2006/relationships/hyperlink" Target="http://dubaiupdater.com" TargetMode="External"/><Relationship Id="rId538" Type="http://schemas.openxmlformats.org/officeDocument/2006/relationships/hyperlink" Target="http://dpworld.com" TargetMode="External"/><Relationship Id="rId537" Type="http://schemas.openxmlformats.org/officeDocument/2006/relationships/hyperlink" Target="http://dotyeti.com" TargetMode="External"/><Relationship Id="rId779" Type="http://schemas.openxmlformats.org/officeDocument/2006/relationships/hyperlink" Target="http://x3cs.com" TargetMode="External"/><Relationship Id="rId770" Type="http://schemas.openxmlformats.org/officeDocument/2006/relationships/hyperlink" Target="http://virtualadagency.com.au" TargetMode="External"/><Relationship Id="rId532" Type="http://schemas.openxmlformats.org/officeDocument/2006/relationships/hyperlink" Target="http://digitalvidya.com" TargetMode="External"/><Relationship Id="rId774" Type="http://schemas.openxmlformats.org/officeDocument/2006/relationships/hyperlink" Target="http://whatjobs.com" TargetMode="External"/><Relationship Id="rId531" Type="http://schemas.openxmlformats.org/officeDocument/2006/relationships/hyperlink" Target="http://digitalspacedive.com" TargetMode="External"/><Relationship Id="rId773" Type="http://schemas.openxmlformats.org/officeDocument/2006/relationships/hyperlink" Target="http://weforum.org" TargetMode="External"/><Relationship Id="rId530" Type="http://schemas.openxmlformats.org/officeDocument/2006/relationships/hyperlink" Target="http://digitallinks.ae" TargetMode="External"/><Relationship Id="rId772" Type="http://schemas.openxmlformats.org/officeDocument/2006/relationships/hyperlink" Target="http://webspottechnologies.com" TargetMode="External"/><Relationship Id="rId771" Type="http://schemas.openxmlformats.org/officeDocument/2006/relationships/hyperlink" Target="http://wamdigital.com" TargetMode="External"/><Relationship Id="rId327" Type="http://schemas.openxmlformats.org/officeDocument/2006/relationships/hyperlink" Target="http://morispr.com" TargetMode="External"/><Relationship Id="rId569" Type="http://schemas.openxmlformats.org/officeDocument/2006/relationships/hyperlink" Target="http://fundsforngos.org" TargetMode="External"/><Relationship Id="rId326" Type="http://schemas.openxmlformats.org/officeDocument/2006/relationships/hyperlink" Target="http://monks.com" TargetMode="External"/><Relationship Id="rId568" Type="http://schemas.openxmlformats.org/officeDocument/2006/relationships/hyperlink" Target="http://freshcoast.ai" TargetMode="External"/><Relationship Id="rId325" Type="http://schemas.openxmlformats.org/officeDocument/2006/relationships/hyperlink" Target="http://mediaroi.io" TargetMode="External"/><Relationship Id="rId567" Type="http://schemas.openxmlformats.org/officeDocument/2006/relationships/hyperlink" Target="http://framer.ai" TargetMode="External"/><Relationship Id="rId324" Type="http://schemas.openxmlformats.org/officeDocument/2006/relationships/hyperlink" Target="http://market-research-companies.in" TargetMode="External"/><Relationship Id="rId566" Type="http://schemas.openxmlformats.org/officeDocument/2006/relationships/hyperlink" Target="http://fortismedia.com" TargetMode="External"/><Relationship Id="rId329" Type="http://schemas.openxmlformats.org/officeDocument/2006/relationships/hyperlink" Target="http://northbeam.io" TargetMode="External"/><Relationship Id="rId328" Type="http://schemas.openxmlformats.org/officeDocument/2006/relationships/hyperlink" Target="http://newengen.com" TargetMode="External"/><Relationship Id="rId561" Type="http://schemas.openxmlformats.org/officeDocument/2006/relationships/hyperlink" Target="http://f6s.com" TargetMode="External"/><Relationship Id="rId560" Type="http://schemas.openxmlformats.org/officeDocument/2006/relationships/hyperlink" Target="http://eyemedia.ae" TargetMode="External"/><Relationship Id="rId323" Type="http://schemas.openxmlformats.org/officeDocument/2006/relationships/hyperlink" Target="http://klic.ae" TargetMode="External"/><Relationship Id="rId565" Type="http://schemas.openxmlformats.org/officeDocument/2006/relationships/hyperlink" Target="http://forrester.com" TargetMode="External"/><Relationship Id="rId322" Type="http://schemas.openxmlformats.org/officeDocument/2006/relationships/hyperlink" Target="http://instagram.com" TargetMode="External"/><Relationship Id="rId564" Type="http://schemas.openxmlformats.org/officeDocument/2006/relationships/hyperlink" Target="http://foreplay.co" TargetMode="External"/><Relationship Id="rId321" Type="http://schemas.openxmlformats.org/officeDocument/2006/relationships/hyperlink" Target="http://hillsadvertising.com" TargetMode="External"/><Relationship Id="rId563" Type="http://schemas.openxmlformats.org/officeDocument/2006/relationships/hyperlink" Target="http://fntmanagement.com" TargetMode="External"/><Relationship Id="rId320" Type="http://schemas.openxmlformats.org/officeDocument/2006/relationships/hyperlink" Target="http://heroiks.com" TargetMode="External"/><Relationship Id="rId562" Type="http://schemas.openxmlformats.org/officeDocument/2006/relationships/hyperlink" Target="http://firstpartydigital.com" TargetMode="External"/><Relationship Id="rId316" Type="http://schemas.openxmlformats.org/officeDocument/2006/relationships/hyperlink" Target="http://ft.com" TargetMode="External"/><Relationship Id="rId558" Type="http://schemas.openxmlformats.org/officeDocument/2006/relationships/hyperlink" Target="http://experiture.com" TargetMode="External"/><Relationship Id="rId315" Type="http://schemas.openxmlformats.org/officeDocument/2006/relationships/hyperlink" Target="http://firstpagesage.com" TargetMode="External"/><Relationship Id="rId557" Type="http://schemas.openxmlformats.org/officeDocument/2006/relationships/hyperlink" Target="http://experian.com" TargetMode="External"/><Relationship Id="rId314" Type="http://schemas.openxmlformats.org/officeDocument/2006/relationships/hyperlink" Target="http://eventseeker.com" TargetMode="External"/><Relationship Id="rId556" Type="http://schemas.openxmlformats.org/officeDocument/2006/relationships/hyperlink" Target="http://exalogic.co" TargetMode="External"/><Relationship Id="rId313" Type="http://schemas.openxmlformats.org/officeDocument/2006/relationships/hyperlink" Target="http://easyinsights.ai" TargetMode="External"/><Relationship Id="rId555" Type="http://schemas.openxmlformats.org/officeDocument/2006/relationships/hyperlink" Target="http://eticamediatech.com" TargetMode="External"/><Relationship Id="rId319" Type="http://schemas.openxmlformats.org/officeDocument/2006/relationships/hyperlink" Target="http://hawkemedia.com" TargetMode="External"/><Relationship Id="rId318" Type="http://schemas.openxmlformats.org/officeDocument/2006/relationships/hyperlink" Target="http://growthspreeofficial.com" TargetMode="External"/><Relationship Id="rId317" Type="http://schemas.openxmlformats.org/officeDocument/2006/relationships/hyperlink" Target="http://getprolinks.com" TargetMode="External"/><Relationship Id="rId559" Type="http://schemas.openxmlformats.org/officeDocument/2006/relationships/hyperlink" Target="http://expertsure.com" TargetMode="External"/><Relationship Id="rId550" Type="http://schemas.openxmlformats.org/officeDocument/2006/relationships/hyperlink" Target="http://elshorafa.co" TargetMode="External"/><Relationship Id="rId312" Type="http://schemas.openxmlformats.org/officeDocument/2006/relationships/hyperlink" Target="http://directiveconsulting.com" TargetMode="External"/><Relationship Id="rId554" Type="http://schemas.openxmlformats.org/officeDocument/2006/relationships/hyperlink" Target="http://estran.io" TargetMode="External"/><Relationship Id="rId311" Type="http://schemas.openxmlformats.org/officeDocument/2006/relationships/hyperlink" Target="http://digixvalley.com" TargetMode="External"/><Relationship Id="rId553" Type="http://schemas.openxmlformats.org/officeDocument/2006/relationships/hyperlink" Target="http://esomar.org" TargetMode="External"/><Relationship Id="rId310" Type="http://schemas.openxmlformats.org/officeDocument/2006/relationships/hyperlink" Target="http://cornerstonecontent.com" TargetMode="External"/><Relationship Id="rId552" Type="http://schemas.openxmlformats.org/officeDocument/2006/relationships/hyperlink" Target="http://enzuzo.com" TargetMode="External"/><Relationship Id="rId551" Type="http://schemas.openxmlformats.org/officeDocument/2006/relationships/hyperlink" Target="http://emarketer.com" TargetMode="External"/><Relationship Id="rId297" Type="http://schemas.openxmlformats.org/officeDocument/2006/relationships/hyperlink" Target="http://artefact.com" TargetMode="External"/><Relationship Id="rId296" Type="http://schemas.openxmlformats.org/officeDocument/2006/relationships/hyperlink" Target="http://webperts.com" TargetMode="External"/><Relationship Id="rId295" Type="http://schemas.openxmlformats.org/officeDocument/2006/relationships/hyperlink" Target="http://pulseo.ae" TargetMode="External"/><Relationship Id="rId294" Type="http://schemas.openxmlformats.org/officeDocument/2006/relationships/hyperlink" Target="http://clicksgeek.com" TargetMode="External"/><Relationship Id="rId299" Type="http://schemas.openxmlformats.org/officeDocument/2006/relationships/hyperlink" Target="http://thekeenfolks.com" TargetMode="External"/><Relationship Id="rId298" Type="http://schemas.openxmlformats.org/officeDocument/2006/relationships/hyperlink" Target="http://flypix.ai" TargetMode="External"/><Relationship Id="rId271" Type="http://schemas.openxmlformats.org/officeDocument/2006/relationships/hyperlink" Target="http://burjsahra.com" TargetMode="External"/><Relationship Id="rId270" Type="http://schemas.openxmlformats.org/officeDocument/2006/relationships/hyperlink" Target="http://bizcommunity.com" TargetMode="External"/><Relationship Id="rId269" Type="http://schemas.openxmlformats.org/officeDocument/2006/relationships/hyperlink" Target="http://avinityconsulting.com" TargetMode="External"/><Relationship Id="rId264" Type="http://schemas.openxmlformats.org/officeDocument/2006/relationships/hyperlink" Target="http://velmontcrest.ae" TargetMode="External"/><Relationship Id="rId263" Type="http://schemas.openxmlformats.org/officeDocument/2006/relationships/hyperlink" Target="http://darkroomagency.com" TargetMode="External"/><Relationship Id="rId262" Type="http://schemas.openxmlformats.org/officeDocument/2006/relationships/hyperlink" Target="http://vybinex.com" TargetMode="External"/><Relationship Id="rId261" Type="http://schemas.openxmlformats.org/officeDocument/2006/relationships/hyperlink" Target="http://uplift-lab.com" TargetMode="External"/><Relationship Id="rId268" Type="http://schemas.openxmlformats.org/officeDocument/2006/relationships/hyperlink" Target="http://apptunix.com" TargetMode="External"/><Relationship Id="rId267" Type="http://schemas.openxmlformats.org/officeDocument/2006/relationships/hyperlink" Target="http://abmediaco.com" TargetMode="External"/><Relationship Id="rId266" Type="http://schemas.openxmlformats.org/officeDocument/2006/relationships/hyperlink" Target="http://senvoradigital.ae" TargetMode="External"/><Relationship Id="rId265" Type="http://schemas.openxmlformats.org/officeDocument/2006/relationships/hyperlink" Target="http://incrmntal.com" TargetMode="External"/><Relationship Id="rId260" Type="http://schemas.openxmlformats.org/officeDocument/2006/relationships/hyperlink" Target="http://srccreationz.com" TargetMode="External"/><Relationship Id="rId259" Type="http://schemas.openxmlformats.org/officeDocument/2006/relationships/hyperlink" Target="http://scopicstudios.com" TargetMode="External"/><Relationship Id="rId258" Type="http://schemas.openxmlformats.org/officeDocument/2006/relationships/hyperlink" Target="http://rollingpixel.ae" TargetMode="External"/><Relationship Id="rId253" Type="http://schemas.openxmlformats.org/officeDocument/2006/relationships/hyperlink" Target="http://outdooradvertisinguae.com" TargetMode="External"/><Relationship Id="rId495" Type="http://schemas.openxmlformats.org/officeDocument/2006/relationships/hyperlink" Target="http://barchangroup.com" TargetMode="External"/><Relationship Id="rId252" Type="http://schemas.openxmlformats.org/officeDocument/2006/relationships/hyperlink" Target="http://ninjapromo.io" TargetMode="External"/><Relationship Id="rId494" Type="http://schemas.openxmlformats.org/officeDocument/2006/relationships/hyperlink" Target="http://banibro.com" TargetMode="External"/><Relationship Id="rId251" Type="http://schemas.openxmlformats.org/officeDocument/2006/relationships/hyperlink" Target="http://medium.com" TargetMode="External"/><Relationship Id="rId493" Type="http://schemas.openxmlformats.org/officeDocument/2006/relationships/hyperlink" Target="http://bambrick.com.au" TargetMode="External"/><Relationship Id="rId250" Type="http://schemas.openxmlformats.org/officeDocument/2006/relationships/hyperlink" Target="http://lps-me.com" TargetMode="External"/><Relationship Id="rId492" Type="http://schemas.openxmlformats.org/officeDocument/2006/relationships/hyperlink" Target="http://b2agency.com" TargetMode="External"/><Relationship Id="rId257" Type="http://schemas.openxmlformats.org/officeDocument/2006/relationships/hyperlink" Target="http://rightsideup.com" TargetMode="External"/><Relationship Id="rId499" Type="http://schemas.openxmlformats.org/officeDocument/2006/relationships/hyperlink" Target="http://bluebeetle.ae" TargetMode="External"/><Relationship Id="rId256" Type="http://schemas.openxmlformats.org/officeDocument/2006/relationships/hyperlink" Target="http://reyson.ae" TargetMode="External"/><Relationship Id="rId498" Type="http://schemas.openxmlformats.org/officeDocument/2006/relationships/hyperlink" Target="http://bluead.ae" TargetMode="External"/><Relationship Id="rId255" Type="http://schemas.openxmlformats.org/officeDocument/2006/relationships/hyperlink" Target="http://quoleady.com" TargetMode="External"/><Relationship Id="rId497" Type="http://schemas.openxmlformats.org/officeDocument/2006/relationships/hyperlink" Target="http://bestanswerengineoptimizationservices.com" TargetMode="External"/><Relationship Id="rId254" Type="http://schemas.openxmlformats.org/officeDocument/2006/relationships/hyperlink" Target="http://planaletix.com" TargetMode="External"/><Relationship Id="rId496" Type="http://schemas.openxmlformats.org/officeDocument/2006/relationships/hyperlink" Target="http://basis.com" TargetMode="External"/><Relationship Id="rId293" Type="http://schemas.openxmlformats.org/officeDocument/2006/relationships/hyperlink" Target="http://themanifest.com" TargetMode="External"/><Relationship Id="rId292" Type="http://schemas.openxmlformats.org/officeDocument/2006/relationships/hyperlink" Target="http://thedesigninspiration.com" TargetMode="External"/><Relationship Id="rId291" Type="http://schemas.openxmlformats.org/officeDocument/2006/relationships/hyperlink" Target="http://sourceforge.net" TargetMode="External"/><Relationship Id="rId290" Type="http://schemas.openxmlformats.org/officeDocument/2006/relationships/hyperlink" Target="http://rankfirms.com" TargetMode="External"/><Relationship Id="rId286" Type="http://schemas.openxmlformats.org/officeDocument/2006/relationships/hyperlink" Target="http://lenabara.com" TargetMode="External"/><Relationship Id="rId285" Type="http://schemas.openxmlformats.org/officeDocument/2006/relationships/hyperlink" Target="http://lbbonline.com" TargetMode="External"/><Relationship Id="rId284" Type="http://schemas.openxmlformats.org/officeDocument/2006/relationships/hyperlink" Target="http://kdm.ae" TargetMode="External"/><Relationship Id="rId283" Type="http://schemas.openxmlformats.org/officeDocument/2006/relationships/hyperlink" Target="http://itpro.com" TargetMode="External"/><Relationship Id="rId289" Type="http://schemas.openxmlformats.org/officeDocument/2006/relationships/hyperlink" Target="http://purealanalytics.co.uk" TargetMode="External"/><Relationship Id="rId288" Type="http://schemas.openxmlformats.org/officeDocument/2006/relationships/hyperlink" Target="http://onlinemarketing.ae" TargetMode="External"/><Relationship Id="rId287" Type="http://schemas.openxmlformats.org/officeDocument/2006/relationships/hyperlink" Target="http://nevolearn.com" TargetMode="External"/><Relationship Id="rId282" Type="http://schemas.openxmlformats.org/officeDocument/2006/relationships/hyperlink" Target="http://gulfupdates24.com" TargetMode="External"/><Relationship Id="rId281" Type="http://schemas.openxmlformats.org/officeDocument/2006/relationships/hyperlink" Target="http://greenbook.org" TargetMode="External"/><Relationship Id="rId280" Type="http://schemas.openxmlformats.org/officeDocument/2006/relationships/hyperlink" Target="http://goedix.com" TargetMode="External"/><Relationship Id="rId275" Type="http://schemas.openxmlformats.org/officeDocument/2006/relationships/hyperlink" Target="http://dejaoffice.com" TargetMode="External"/><Relationship Id="rId274" Type="http://schemas.openxmlformats.org/officeDocument/2006/relationships/hyperlink" Target="http://consultancy-me.com" TargetMode="External"/><Relationship Id="rId273" Type="http://schemas.openxmlformats.org/officeDocument/2006/relationships/hyperlink" Target="http://businessofapps.com" TargetMode="External"/><Relationship Id="rId272" Type="http://schemas.openxmlformats.org/officeDocument/2006/relationships/hyperlink" Target="http://businessinsider.com" TargetMode="External"/><Relationship Id="rId279" Type="http://schemas.openxmlformats.org/officeDocument/2006/relationships/hyperlink" Target="http://eykdata.com" TargetMode="External"/><Relationship Id="rId278" Type="http://schemas.openxmlformats.org/officeDocument/2006/relationships/hyperlink" Target="http://eliya.io" TargetMode="External"/><Relationship Id="rId277" Type="http://schemas.openxmlformats.org/officeDocument/2006/relationships/hyperlink" Target="http://dreamizegroup.com" TargetMode="External"/><Relationship Id="rId276" Type="http://schemas.openxmlformats.org/officeDocument/2006/relationships/hyperlink" Target="http://digeesell.ae" TargetMode="External"/><Relationship Id="rId629" Type="http://schemas.openxmlformats.org/officeDocument/2006/relationships/hyperlink" Target="http://limitls.ai" TargetMode="External"/><Relationship Id="rId624" Type="http://schemas.openxmlformats.org/officeDocument/2006/relationships/hyperlink" Target="http://kudoadvisory.com" TargetMode="External"/><Relationship Id="rId623" Type="http://schemas.openxmlformats.org/officeDocument/2006/relationships/hyperlink" Target="http://keyade.com" TargetMode="External"/><Relationship Id="rId622" Type="http://schemas.openxmlformats.org/officeDocument/2006/relationships/hyperlink" Target="http://keplergrp.com" TargetMode="External"/><Relationship Id="rId621" Type="http://schemas.openxmlformats.org/officeDocument/2006/relationships/hyperlink" Target="http://kenzadvertising.com" TargetMode="External"/><Relationship Id="rId628" Type="http://schemas.openxmlformats.org/officeDocument/2006/relationships/hyperlink" Target="http://legend1st.com" TargetMode="External"/><Relationship Id="rId627" Type="http://schemas.openxmlformats.org/officeDocument/2006/relationships/hyperlink" Target="http://leadgem.nl" TargetMode="External"/><Relationship Id="rId626" Type="http://schemas.openxmlformats.org/officeDocument/2006/relationships/hyperlink" Target="http://latentview.com" TargetMode="External"/><Relationship Id="rId625" Type="http://schemas.openxmlformats.org/officeDocument/2006/relationships/hyperlink" Target="http://lacima.ae" TargetMode="External"/><Relationship Id="rId620" Type="http://schemas.openxmlformats.org/officeDocument/2006/relationships/hyperlink" Target="http://kantar.com" TargetMode="External"/><Relationship Id="rId619" Type="http://schemas.openxmlformats.org/officeDocument/2006/relationships/hyperlink" Target="http://jooble.org" TargetMode="External"/><Relationship Id="rId618" Type="http://schemas.openxmlformats.org/officeDocument/2006/relationships/hyperlink" Target="http://jjagency.co" TargetMode="External"/><Relationship Id="rId613" Type="http://schemas.openxmlformats.org/officeDocument/2006/relationships/hyperlink" Target="http://influencer-hero.com" TargetMode="External"/><Relationship Id="rId612" Type="http://schemas.openxmlformats.org/officeDocument/2006/relationships/hyperlink" Target="http://impact.com" TargetMode="External"/><Relationship Id="rId611" Type="http://schemas.openxmlformats.org/officeDocument/2006/relationships/hyperlink" Target="http://imedia247.ae" TargetMode="External"/><Relationship Id="rId610" Type="http://schemas.openxmlformats.org/officeDocument/2006/relationships/hyperlink" Target="http://imanta.io" TargetMode="External"/><Relationship Id="rId617" Type="http://schemas.openxmlformats.org/officeDocument/2006/relationships/hyperlink" Target="http://jasadvertising.com" TargetMode="External"/><Relationship Id="rId616" Type="http://schemas.openxmlformats.org/officeDocument/2006/relationships/hyperlink" Target="http://jafza.ae" TargetMode="External"/><Relationship Id="rId615" Type="http://schemas.openxmlformats.org/officeDocument/2006/relationships/hyperlink" Target="http://intellectyx.com" TargetMode="External"/><Relationship Id="rId614" Type="http://schemas.openxmlformats.org/officeDocument/2006/relationships/hyperlink" Target="http://ingestlabs.com" TargetMode="External"/><Relationship Id="rId409" Type="http://schemas.openxmlformats.org/officeDocument/2006/relationships/hyperlink" Target="http://seosherpa.com" TargetMode="External"/><Relationship Id="rId404" Type="http://schemas.openxmlformats.org/officeDocument/2006/relationships/hyperlink" Target="http://rockerbox.com" TargetMode="External"/><Relationship Id="rId646" Type="http://schemas.openxmlformats.org/officeDocument/2006/relationships/hyperlink" Target="http://meaccurate.com" TargetMode="External"/><Relationship Id="rId403" Type="http://schemas.openxmlformats.org/officeDocument/2006/relationships/hyperlink" Target="http://rifoa.com" TargetMode="External"/><Relationship Id="rId645" Type="http://schemas.openxmlformats.org/officeDocument/2006/relationships/hyperlink" Target="http://maxsell.ae" TargetMode="External"/><Relationship Id="rId402" Type="http://schemas.openxmlformats.org/officeDocument/2006/relationships/hyperlink" Target="http://revlift.co" TargetMode="External"/><Relationship Id="rId644" Type="http://schemas.openxmlformats.org/officeDocument/2006/relationships/hyperlink" Target="http://mass-analytics.com" TargetMode="External"/><Relationship Id="rId401" Type="http://schemas.openxmlformats.org/officeDocument/2006/relationships/hyperlink" Target="http://proplexads.com" TargetMode="External"/><Relationship Id="rId643" Type="http://schemas.openxmlformats.org/officeDocument/2006/relationships/hyperlink" Target="http://martal.ca" TargetMode="External"/><Relationship Id="rId408" Type="http://schemas.openxmlformats.org/officeDocument/2006/relationships/hyperlink" Target="http://scalixai.com" TargetMode="External"/><Relationship Id="rId407" Type="http://schemas.openxmlformats.org/officeDocument/2006/relationships/hyperlink" Target="http://rzlt.io" TargetMode="External"/><Relationship Id="rId649" Type="http://schemas.openxmlformats.org/officeDocument/2006/relationships/hyperlink" Target="http://mettevo.com" TargetMode="External"/><Relationship Id="rId406" Type="http://schemas.openxmlformats.org/officeDocument/2006/relationships/hyperlink" Target="http://runtime-solutions.ae" TargetMode="External"/><Relationship Id="rId648" Type="http://schemas.openxmlformats.org/officeDocument/2006/relationships/hyperlink" Target="http://metslab.com" TargetMode="External"/><Relationship Id="rId405" Type="http://schemas.openxmlformats.org/officeDocument/2006/relationships/hyperlink" Target="http://rocketium.ai" TargetMode="External"/><Relationship Id="rId647" Type="http://schemas.openxmlformats.org/officeDocument/2006/relationships/hyperlink" Target="http://mediaslide.com" TargetMode="External"/><Relationship Id="rId400" Type="http://schemas.openxmlformats.org/officeDocument/2006/relationships/hyperlink" Target="http://primelis.com" TargetMode="External"/><Relationship Id="rId642" Type="http://schemas.openxmlformats.org/officeDocument/2006/relationships/hyperlink" Target="http://marketingltb.com" TargetMode="External"/><Relationship Id="rId641" Type="http://schemas.openxmlformats.org/officeDocument/2006/relationships/hyperlink" Target="http://marketingintelligence.io" TargetMode="External"/><Relationship Id="rId640" Type="http://schemas.openxmlformats.org/officeDocument/2006/relationships/hyperlink" Target="http://marketerhire.com" TargetMode="External"/><Relationship Id="rId635" Type="http://schemas.openxmlformats.org/officeDocument/2006/relationships/hyperlink" Target="http://lunarailab.com" TargetMode="External"/><Relationship Id="rId634" Type="http://schemas.openxmlformats.org/officeDocument/2006/relationships/hyperlink" Target="http://luminacommerce.com" TargetMode="External"/><Relationship Id="rId633" Type="http://schemas.openxmlformats.org/officeDocument/2006/relationships/hyperlink" Target="http://lotame.com" TargetMode="External"/><Relationship Id="rId632" Type="http://schemas.openxmlformats.org/officeDocument/2006/relationships/hyperlink" Target="http://loopglobal.io" TargetMode="External"/><Relationship Id="rId639" Type="http://schemas.openxmlformats.org/officeDocument/2006/relationships/hyperlink" Target="http://marchiteq.com" TargetMode="External"/><Relationship Id="rId638" Type="http://schemas.openxmlformats.org/officeDocument/2006/relationships/hyperlink" Target="http://mahmoudmizar.com" TargetMode="External"/><Relationship Id="rId637" Type="http://schemas.openxmlformats.org/officeDocument/2006/relationships/hyperlink" Target="http://magureinc.com" TargetMode="External"/><Relationship Id="rId636" Type="http://schemas.openxmlformats.org/officeDocument/2006/relationships/hyperlink" Target="http://madebyevoke.com" TargetMode="External"/><Relationship Id="rId631" Type="http://schemas.openxmlformats.org/officeDocument/2006/relationships/hyperlink" Target="http://llmpulse.ai" TargetMode="External"/><Relationship Id="rId630" Type="http://schemas.openxmlformats.org/officeDocument/2006/relationships/hyperlink" Target="http://linkedist.com" TargetMode="External"/><Relationship Id="rId609" Type="http://schemas.openxmlformats.org/officeDocument/2006/relationships/hyperlink" Target="http://ie.edu" TargetMode="External"/><Relationship Id="rId608" Type="http://schemas.openxmlformats.org/officeDocument/2006/relationships/hyperlink" Target="http://idukki.io" TargetMode="External"/><Relationship Id="rId607" Type="http://schemas.openxmlformats.org/officeDocument/2006/relationships/hyperlink" Target="http://icukonline.org" TargetMode="External"/><Relationship Id="rId602" Type="http://schemas.openxmlformats.org/officeDocument/2006/relationships/hyperlink" Target="http://hogi.ae" TargetMode="External"/><Relationship Id="rId601" Type="http://schemas.openxmlformats.org/officeDocument/2006/relationships/hyperlink" Target="http://hockeystack.com" TargetMode="External"/><Relationship Id="rId600" Type="http://schemas.openxmlformats.org/officeDocument/2006/relationships/hyperlink" Target="http://hnlegal.ae" TargetMode="External"/><Relationship Id="rId606" Type="http://schemas.openxmlformats.org/officeDocument/2006/relationships/hyperlink" Target="http://icoda.io" TargetMode="External"/><Relationship Id="rId605" Type="http://schemas.openxmlformats.org/officeDocument/2006/relationships/hyperlink" Target="http://iamagazine.com" TargetMode="External"/><Relationship Id="rId604" Type="http://schemas.openxmlformats.org/officeDocument/2006/relationships/hyperlink" Target="http://hunchads.com" TargetMode="External"/><Relationship Id="rId603" Type="http://schemas.openxmlformats.org/officeDocument/2006/relationships/hyperlink" Target="http://hookeddigital.net" TargetMode="External"/><Relationship Id="rId228" Type="http://schemas.openxmlformats.org/officeDocument/2006/relationships/hyperlink" Target="http://houseoffix.com" TargetMode="External"/><Relationship Id="rId227" Type="http://schemas.openxmlformats.org/officeDocument/2006/relationships/hyperlink" Target="http://goodtal.com" TargetMode="External"/><Relationship Id="rId469" Type="http://schemas.openxmlformats.org/officeDocument/2006/relationships/hyperlink" Target="http://agencyhelix.com" TargetMode="External"/><Relationship Id="rId226" Type="http://schemas.openxmlformats.org/officeDocument/2006/relationships/hyperlink" Target="http://entasher.com" TargetMode="External"/><Relationship Id="rId468" Type="http://schemas.openxmlformats.org/officeDocument/2006/relationships/hyperlink" Target="http://agencyaeo.com" TargetMode="External"/><Relationship Id="rId225" Type="http://schemas.openxmlformats.org/officeDocument/2006/relationships/hyperlink" Target="http://edelman.ae" TargetMode="External"/><Relationship Id="rId467" Type="http://schemas.openxmlformats.org/officeDocument/2006/relationships/hyperlink" Target="http://affinco.com" TargetMode="External"/><Relationship Id="rId229" Type="http://schemas.openxmlformats.org/officeDocument/2006/relationships/hyperlink" Target="http://impressiondigital.com" TargetMode="External"/><Relationship Id="rId220" Type="http://schemas.openxmlformats.org/officeDocument/2006/relationships/hyperlink" Target="http://digidot.ae" TargetMode="External"/><Relationship Id="rId462" Type="http://schemas.openxmlformats.org/officeDocument/2006/relationships/hyperlink" Target="http://adtrak.co.uk" TargetMode="External"/><Relationship Id="rId461" Type="http://schemas.openxmlformats.org/officeDocument/2006/relationships/hyperlink" Target="http://adsmurai.com" TargetMode="External"/><Relationship Id="rId460" Type="http://schemas.openxmlformats.org/officeDocument/2006/relationships/hyperlink" Target="http://adshackers.com" TargetMode="External"/><Relationship Id="rId224" Type="http://schemas.openxmlformats.org/officeDocument/2006/relationships/hyperlink" Target="http://digital-agency.ae" TargetMode="External"/><Relationship Id="rId466" Type="http://schemas.openxmlformats.org/officeDocument/2006/relationships/hyperlink" Target="http://aerobusinesssolutions.com" TargetMode="External"/><Relationship Id="rId223" Type="http://schemas.openxmlformats.org/officeDocument/2006/relationships/hyperlink" Target="http://beontop.ae" TargetMode="External"/><Relationship Id="rId465" Type="http://schemas.openxmlformats.org/officeDocument/2006/relationships/hyperlink" Target="http://aeon-movies.com" TargetMode="External"/><Relationship Id="rId222" Type="http://schemas.openxmlformats.org/officeDocument/2006/relationships/hyperlink" Target="http://auge10x.com" TargetMode="External"/><Relationship Id="rId464" Type="http://schemas.openxmlformats.org/officeDocument/2006/relationships/hyperlink" Target="http://aeoera.com" TargetMode="External"/><Relationship Id="rId221" Type="http://schemas.openxmlformats.org/officeDocument/2006/relationships/hyperlink" Target="http://konvergense.com" TargetMode="External"/><Relationship Id="rId463" Type="http://schemas.openxmlformats.org/officeDocument/2006/relationships/hyperlink" Target="http://advise-mc.com" TargetMode="External"/><Relationship Id="rId217" Type="http://schemas.openxmlformats.org/officeDocument/2006/relationships/hyperlink" Target="http://globalsurf.ae" TargetMode="External"/><Relationship Id="rId459" Type="http://schemas.openxmlformats.org/officeDocument/2006/relationships/hyperlink" Target="http://adshabibi.com" TargetMode="External"/><Relationship Id="rId216" Type="http://schemas.openxmlformats.org/officeDocument/2006/relationships/hyperlink" Target="http://socialchameleon.com" TargetMode="External"/><Relationship Id="rId458" Type="http://schemas.openxmlformats.org/officeDocument/2006/relationships/hyperlink" Target="http://adobe.com" TargetMode="External"/><Relationship Id="rId215" Type="http://schemas.openxmlformats.org/officeDocument/2006/relationships/hyperlink" Target="http://snezzi.com" TargetMode="External"/><Relationship Id="rId457" Type="http://schemas.openxmlformats.org/officeDocument/2006/relationships/hyperlink" Target="http://admoon.pro" TargetMode="External"/><Relationship Id="rId699" Type="http://schemas.openxmlformats.org/officeDocument/2006/relationships/hyperlink" Target="http://roashack.com" TargetMode="External"/><Relationship Id="rId214" Type="http://schemas.openxmlformats.org/officeDocument/2006/relationships/hyperlink" Target="http://seotechexperts.ae" TargetMode="External"/><Relationship Id="rId456" Type="http://schemas.openxmlformats.org/officeDocument/2006/relationships/hyperlink" Target="http://adjust.com" TargetMode="External"/><Relationship Id="rId698" Type="http://schemas.openxmlformats.org/officeDocument/2006/relationships/hyperlink" Target="http://rix-digital.com" TargetMode="External"/><Relationship Id="rId219" Type="http://schemas.openxmlformats.org/officeDocument/2006/relationships/hyperlink" Target="http://cosmopole.com" TargetMode="External"/><Relationship Id="rId218" Type="http://schemas.openxmlformats.org/officeDocument/2006/relationships/hyperlink" Target="http://digitalarabia.ae" TargetMode="External"/><Relationship Id="rId451" Type="http://schemas.openxmlformats.org/officeDocument/2006/relationships/hyperlink" Target="http://actuatemedia.com" TargetMode="External"/><Relationship Id="rId693" Type="http://schemas.openxmlformats.org/officeDocument/2006/relationships/hyperlink" Target="http://rebootonline.com" TargetMode="External"/><Relationship Id="rId450" Type="http://schemas.openxmlformats.org/officeDocument/2006/relationships/hyperlink" Target="http://activeadsmedia.com" TargetMode="External"/><Relationship Id="rId692" Type="http://schemas.openxmlformats.org/officeDocument/2006/relationships/hyperlink" Target="http://realestate.com.au" TargetMode="External"/><Relationship Id="rId691" Type="http://schemas.openxmlformats.org/officeDocument/2006/relationships/hyperlink" Target="http://reachadv.com" TargetMode="External"/><Relationship Id="rId690" Type="http://schemas.openxmlformats.org/officeDocument/2006/relationships/hyperlink" Target="http://ranksiege.com" TargetMode="External"/><Relationship Id="rId213" Type="http://schemas.openxmlformats.org/officeDocument/2006/relationships/hyperlink" Target="http://searchengineoptimization.ae" TargetMode="External"/><Relationship Id="rId455" Type="http://schemas.openxmlformats.org/officeDocument/2006/relationships/hyperlink" Target="http://adigitalboom.com" TargetMode="External"/><Relationship Id="rId697" Type="http://schemas.openxmlformats.org/officeDocument/2006/relationships/hyperlink" Target="http://rhillane.com" TargetMode="External"/><Relationship Id="rId212" Type="http://schemas.openxmlformats.org/officeDocument/2006/relationships/hyperlink" Target="http://salesduo.com" TargetMode="External"/><Relationship Id="rId454" Type="http://schemas.openxmlformats.org/officeDocument/2006/relationships/hyperlink" Target="http://adfixagency.com" TargetMode="External"/><Relationship Id="rId696" Type="http://schemas.openxmlformats.org/officeDocument/2006/relationships/hyperlink" Target="http://rhblake.com" TargetMode="External"/><Relationship Id="rId211" Type="http://schemas.openxmlformats.org/officeDocument/2006/relationships/hyperlink" Target="http://multimarketing.ae" TargetMode="External"/><Relationship Id="rId453" Type="http://schemas.openxmlformats.org/officeDocument/2006/relationships/hyperlink" Target="http://adcustoms.gov.ae" TargetMode="External"/><Relationship Id="rId695" Type="http://schemas.openxmlformats.org/officeDocument/2006/relationships/hyperlink" Target="http://reshaped.io" TargetMode="External"/><Relationship Id="rId210" Type="http://schemas.openxmlformats.org/officeDocument/2006/relationships/hyperlink" Target="http://idhlagency.com" TargetMode="External"/><Relationship Id="rId452" Type="http://schemas.openxmlformats.org/officeDocument/2006/relationships/hyperlink" Target="http://adconversion.com" TargetMode="External"/><Relationship Id="rId694" Type="http://schemas.openxmlformats.org/officeDocument/2006/relationships/hyperlink" Target="http://red-engage.com" TargetMode="External"/><Relationship Id="rId491" Type="http://schemas.openxmlformats.org/officeDocument/2006/relationships/hyperlink" Target="http://ayaigen.com" TargetMode="External"/><Relationship Id="rId490" Type="http://schemas.openxmlformats.org/officeDocument/2006/relationships/hyperlink" Target="http://awesomic.com" TargetMode="External"/><Relationship Id="rId249" Type="http://schemas.openxmlformats.org/officeDocument/2006/relationships/hyperlink" Target="http://linea-analytics.com" TargetMode="External"/><Relationship Id="rId248" Type="http://schemas.openxmlformats.org/officeDocument/2006/relationships/hyperlink" Target="http://jadasquad.com" TargetMode="External"/><Relationship Id="rId247" Type="http://schemas.openxmlformats.org/officeDocument/2006/relationships/hyperlink" Target="http://incubeta.com" TargetMode="External"/><Relationship Id="rId489" Type="http://schemas.openxmlformats.org/officeDocument/2006/relationships/hyperlink" Target="http://avaus.com" TargetMode="External"/><Relationship Id="rId242" Type="http://schemas.openxmlformats.org/officeDocument/2006/relationships/hyperlink" Target="http://decisionfoundry.com" TargetMode="External"/><Relationship Id="rId484" Type="http://schemas.openxmlformats.org/officeDocument/2006/relationships/hyperlink" Target="http://assemblyglobal.com" TargetMode="External"/><Relationship Id="rId241" Type="http://schemas.openxmlformats.org/officeDocument/2006/relationships/hyperlink" Target="http://datatrust.ae" TargetMode="External"/><Relationship Id="rId483" Type="http://schemas.openxmlformats.org/officeDocument/2006/relationships/hyperlink" Target="http://askneedle.com" TargetMode="External"/><Relationship Id="rId240" Type="http://schemas.openxmlformats.org/officeDocument/2006/relationships/hyperlink" Target="http://blueduckagency.com" TargetMode="External"/><Relationship Id="rId482" Type="http://schemas.openxmlformats.org/officeDocument/2006/relationships/hyperlink" Target="http://aqualisgroup.com" TargetMode="External"/><Relationship Id="rId481" Type="http://schemas.openxmlformats.org/officeDocument/2006/relationships/hyperlink" Target="http://apptrove.com" TargetMode="External"/><Relationship Id="rId246" Type="http://schemas.openxmlformats.org/officeDocument/2006/relationships/hyperlink" Target="http://feedbax.ai" TargetMode="External"/><Relationship Id="rId488" Type="http://schemas.openxmlformats.org/officeDocument/2006/relationships/hyperlink" Target="http://avanade.com" TargetMode="External"/><Relationship Id="rId245" Type="http://schemas.openxmlformats.org/officeDocument/2006/relationships/hyperlink" Target="http://elioplus.com" TargetMode="External"/><Relationship Id="rId487" Type="http://schemas.openxmlformats.org/officeDocument/2006/relationships/hyperlink" Target="http://audigent.com" TargetMode="External"/><Relationship Id="rId244" Type="http://schemas.openxmlformats.org/officeDocument/2006/relationships/hyperlink" Target="http://dubaiweb.ae" TargetMode="External"/><Relationship Id="rId486" Type="http://schemas.openxmlformats.org/officeDocument/2006/relationships/hyperlink" Target="http://attnagency.com" TargetMode="External"/><Relationship Id="rId243" Type="http://schemas.openxmlformats.org/officeDocument/2006/relationships/hyperlink" Target="http://digitalimpressions.ae" TargetMode="External"/><Relationship Id="rId485" Type="http://schemas.openxmlformats.org/officeDocument/2006/relationships/hyperlink" Target="http://atlasdigital.co" TargetMode="External"/><Relationship Id="rId480" Type="http://schemas.openxmlformats.org/officeDocument/2006/relationships/hyperlink" Target="http://alwarqasurvey.com" TargetMode="External"/><Relationship Id="rId239" Type="http://schemas.openxmlformats.org/officeDocument/2006/relationships/hyperlink" Target="http://baselinemix.com" TargetMode="External"/><Relationship Id="rId238" Type="http://schemas.openxmlformats.org/officeDocument/2006/relationships/hyperlink" Target="http://emblixsolutions.ae" TargetMode="External"/><Relationship Id="rId237" Type="http://schemas.openxmlformats.org/officeDocument/2006/relationships/hyperlink" Target="http://pwc.com" TargetMode="External"/><Relationship Id="rId479" Type="http://schemas.openxmlformats.org/officeDocument/2006/relationships/hyperlink" Target="http://altinkey.com" TargetMode="External"/><Relationship Id="rId236" Type="http://schemas.openxmlformats.org/officeDocument/2006/relationships/hyperlink" Target="http://ogilvy.com" TargetMode="External"/><Relationship Id="rId478" Type="http://schemas.openxmlformats.org/officeDocument/2006/relationships/hyperlink" Target="http://alserhmedia.com" TargetMode="External"/><Relationship Id="rId231" Type="http://schemas.openxmlformats.org/officeDocument/2006/relationships/hyperlink" Target="http://kifconsultancy.com" TargetMode="External"/><Relationship Id="rId473" Type="http://schemas.openxmlformats.org/officeDocument/2006/relationships/hyperlink" Target="http://aiqusolutions.com" TargetMode="External"/><Relationship Id="rId230" Type="http://schemas.openxmlformats.org/officeDocument/2006/relationships/hyperlink" Target="http://inbeat.co" TargetMode="External"/><Relationship Id="rId472" Type="http://schemas.openxmlformats.org/officeDocument/2006/relationships/hyperlink" Target="http://aimedialab.ae" TargetMode="External"/><Relationship Id="rId471" Type="http://schemas.openxmlformats.org/officeDocument/2006/relationships/hyperlink" Target="http://ai360review.com" TargetMode="External"/><Relationship Id="rId470" Type="http://schemas.openxmlformats.org/officeDocument/2006/relationships/hyperlink" Target="http://ai-heroes.co" TargetMode="External"/><Relationship Id="rId235" Type="http://schemas.openxmlformats.org/officeDocument/2006/relationships/hyperlink" Target="http://liftlab.com" TargetMode="External"/><Relationship Id="rId477" Type="http://schemas.openxmlformats.org/officeDocument/2006/relationships/hyperlink" Target="http://alphanode.ae" TargetMode="External"/><Relationship Id="rId234" Type="http://schemas.openxmlformats.org/officeDocument/2006/relationships/hyperlink" Target="http://thedigitalelevator.com" TargetMode="External"/><Relationship Id="rId476" Type="http://schemas.openxmlformats.org/officeDocument/2006/relationships/hyperlink" Target="http://almcorp.com" TargetMode="External"/><Relationship Id="rId233" Type="http://schemas.openxmlformats.org/officeDocument/2006/relationships/hyperlink" Target="http://s360digital.com" TargetMode="External"/><Relationship Id="rId475" Type="http://schemas.openxmlformats.org/officeDocument/2006/relationships/hyperlink" Target="http://aiso.ae" TargetMode="External"/><Relationship Id="rId232" Type="http://schemas.openxmlformats.org/officeDocument/2006/relationships/hyperlink" Target="http://masterofcode.com" TargetMode="External"/><Relationship Id="rId474" Type="http://schemas.openxmlformats.org/officeDocument/2006/relationships/hyperlink" Target="http://airconsulting.ai" TargetMode="External"/><Relationship Id="rId426" Type="http://schemas.openxmlformats.org/officeDocument/2006/relationships/hyperlink" Target="http://wsj.com" TargetMode="External"/><Relationship Id="rId668" Type="http://schemas.openxmlformats.org/officeDocument/2006/relationships/hyperlink" Target="http://obilityb2b.com" TargetMode="External"/><Relationship Id="rId425" Type="http://schemas.openxmlformats.org/officeDocument/2006/relationships/hyperlink" Target="http://workmagic.io" TargetMode="External"/><Relationship Id="rId667" Type="http://schemas.openxmlformats.org/officeDocument/2006/relationships/hyperlink" Target="http://oakpool.xyz" TargetMode="External"/><Relationship Id="rId424" Type="http://schemas.openxmlformats.org/officeDocument/2006/relationships/hyperlink" Target="http://wordofgpt.com" TargetMode="External"/><Relationship Id="rId666" Type="http://schemas.openxmlformats.org/officeDocument/2006/relationships/hyperlink" Target="http://nutshell.com" TargetMode="External"/><Relationship Id="rId423" Type="http://schemas.openxmlformats.org/officeDocument/2006/relationships/hyperlink" Target="http://werankle.com" TargetMode="External"/><Relationship Id="rId665" Type="http://schemas.openxmlformats.org/officeDocument/2006/relationships/hyperlink" Target="http://nextsol.ae" TargetMode="External"/><Relationship Id="rId429" Type="http://schemas.openxmlformats.org/officeDocument/2006/relationships/hyperlink" Target="http://zoomdigital.ae" TargetMode="External"/><Relationship Id="rId428" Type="http://schemas.openxmlformats.org/officeDocument/2006/relationships/hyperlink" Target="http://zenerom.ae" TargetMode="External"/><Relationship Id="rId427" Type="http://schemas.openxmlformats.org/officeDocument/2006/relationships/hyperlink" Target="http://ycp.com" TargetMode="External"/><Relationship Id="rId669" Type="http://schemas.openxmlformats.org/officeDocument/2006/relationships/hyperlink" Target="http://olilo.ae" TargetMode="External"/><Relationship Id="rId660" Type="http://schemas.openxmlformats.org/officeDocument/2006/relationships/hyperlink" Target="http://n-ix.com" TargetMode="External"/><Relationship Id="rId422" Type="http://schemas.openxmlformats.org/officeDocument/2006/relationships/hyperlink" Target="http://weframetech.com" TargetMode="External"/><Relationship Id="rId664" Type="http://schemas.openxmlformats.org/officeDocument/2006/relationships/hyperlink" Target="http://neurons-lab.com" TargetMode="External"/><Relationship Id="rId421" Type="http://schemas.openxmlformats.org/officeDocument/2006/relationships/hyperlink" Target="http://webcastle.ae" TargetMode="External"/><Relationship Id="rId663" Type="http://schemas.openxmlformats.org/officeDocument/2006/relationships/hyperlink" Target="http://neuralhorizonsai.com" TargetMode="External"/><Relationship Id="rId420" Type="http://schemas.openxmlformats.org/officeDocument/2006/relationships/hyperlink" Target="http://weareqry.com" TargetMode="External"/><Relationship Id="rId662" Type="http://schemas.openxmlformats.org/officeDocument/2006/relationships/hyperlink" Target="http://naukrigulf.com" TargetMode="External"/><Relationship Id="rId661" Type="http://schemas.openxmlformats.org/officeDocument/2006/relationships/hyperlink" Target="http://namaccountants.com" TargetMode="External"/><Relationship Id="rId415" Type="http://schemas.openxmlformats.org/officeDocument/2006/relationships/hyperlink" Target="http://u.ae" TargetMode="External"/><Relationship Id="rId657" Type="http://schemas.openxmlformats.org/officeDocument/2006/relationships/hyperlink" Target="http://mobileappdaily.com" TargetMode="External"/><Relationship Id="rId414" Type="http://schemas.openxmlformats.org/officeDocument/2006/relationships/hyperlink" Target="http://thinkcypher.com" TargetMode="External"/><Relationship Id="rId656" Type="http://schemas.openxmlformats.org/officeDocument/2006/relationships/hyperlink" Target="http://mma.com" TargetMode="External"/><Relationship Id="rId413" Type="http://schemas.openxmlformats.org/officeDocument/2006/relationships/hyperlink" Target="http://theverge.com" TargetMode="External"/><Relationship Id="rId655" Type="http://schemas.openxmlformats.org/officeDocument/2006/relationships/hyperlink" Target="http://missionmedia.asia" TargetMode="External"/><Relationship Id="rId412" Type="http://schemas.openxmlformats.org/officeDocument/2006/relationships/hyperlink" Target="http://teamtweaks.com" TargetMode="External"/><Relationship Id="rId654" Type="http://schemas.openxmlformats.org/officeDocument/2006/relationships/hyperlink" Target="http://mintcopywritingstudios.com" TargetMode="External"/><Relationship Id="rId419" Type="http://schemas.openxmlformats.org/officeDocument/2006/relationships/hyperlink" Target="http://weareaudiences.com" TargetMode="External"/><Relationship Id="rId418" Type="http://schemas.openxmlformats.org/officeDocument/2006/relationships/hyperlink" Target="http://vistabylara.com" TargetMode="External"/><Relationship Id="rId417" Type="http://schemas.openxmlformats.org/officeDocument/2006/relationships/hyperlink" Target="http://versich.com" TargetMode="External"/><Relationship Id="rId659" Type="http://schemas.openxmlformats.org/officeDocument/2006/relationships/hyperlink" Target="http://moujsolutions.com" TargetMode="External"/><Relationship Id="rId416" Type="http://schemas.openxmlformats.org/officeDocument/2006/relationships/hyperlink" Target="http://upgrowth.in" TargetMode="External"/><Relationship Id="rId658" Type="http://schemas.openxmlformats.org/officeDocument/2006/relationships/hyperlink" Target="http://mooglelabs.com" TargetMode="External"/><Relationship Id="rId411" Type="http://schemas.openxmlformats.org/officeDocument/2006/relationships/hyperlink" Target="http://smithfieldagency.com" TargetMode="External"/><Relationship Id="rId653" Type="http://schemas.openxmlformats.org/officeDocument/2006/relationships/hyperlink" Target="http://migrateworld.com" TargetMode="External"/><Relationship Id="rId410" Type="http://schemas.openxmlformats.org/officeDocument/2006/relationships/hyperlink" Target="http://silverspoonagency.com" TargetMode="External"/><Relationship Id="rId652" Type="http://schemas.openxmlformats.org/officeDocument/2006/relationships/hyperlink" Target="http://mightywarner.ae" TargetMode="External"/><Relationship Id="rId651" Type="http://schemas.openxmlformats.org/officeDocument/2006/relationships/hyperlink" Target="http://microsoft.com" TargetMode="External"/><Relationship Id="rId650" Type="http://schemas.openxmlformats.org/officeDocument/2006/relationships/hyperlink" Target="http://mickyweis.com" TargetMode="External"/><Relationship Id="rId206" Type="http://schemas.openxmlformats.org/officeDocument/2006/relationships/hyperlink" Target="http://gaper.io" TargetMode="External"/><Relationship Id="rId448" Type="http://schemas.openxmlformats.org/officeDocument/2006/relationships/hyperlink" Target="http://abovedigital.com" TargetMode="External"/><Relationship Id="rId205" Type="http://schemas.openxmlformats.org/officeDocument/2006/relationships/hyperlink" Target="http://futuredigital.ae" TargetMode="External"/><Relationship Id="rId447" Type="http://schemas.openxmlformats.org/officeDocument/2006/relationships/hyperlink" Target="http://aarkmarketing.com" TargetMode="External"/><Relationship Id="rId689" Type="http://schemas.openxmlformats.org/officeDocument/2006/relationships/hyperlink" Target="http://proxigy.net" TargetMode="External"/><Relationship Id="rId204" Type="http://schemas.openxmlformats.org/officeDocument/2006/relationships/hyperlink" Target="http://aliseoservices.com" TargetMode="External"/><Relationship Id="rId446" Type="http://schemas.openxmlformats.org/officeDocument/2006/relationships/hyperlink" Target="http://aargroup.co.uk" TargetMode="External"/><Relationship Id="rId688" Type="http://schemas.openxmlformats.org/officeDocument/2006/relationships/hyperlink" Target="http://promodo.com" TargetMode="External"/><Relationship Id="rId203" Type="http://schemas.openxmlformats.org/officeDocument/2006/relationships/hyperlink" Target="http://aidatalizer.com" TargetMode="External"/><Relationship Id="rId445" Type="http://schemas.openxmlformats.org/officeDocument/2006/relationships/hyperlink" Target="http://0ptimus.com" TargetMode="External"/><Relationship Id="rId687" Type="http://schemas.openxmlformats.org/officeDocument/2006/relationships/hyperlink" Target="http://professionalslobby.com" TargetMode="External"/><Relationship Id="rId209" Type="http://schemas.openxmlformats.org/officeDocument/2006/relationships/hyperlink" Target="http://iasmedia.com" TargetMode="External"/><Relationship Id="rId208" Type="http://schemas.openxmlformats.org/officeDocument/2006/relationships/hyperlink" Target="http://geoagency.net" TargetMode="External"/><Relationship Id="rId207" Type="http://schemas.openxmlformats.org/officeDocument/2006/relationships/hyperlink" Target="http://gartner.com" TargetMode="External"/><Relationship Id="rId449" Type="http://schemas.openxmlformats.org/officeDocument/2006/relationships/hyperlink" Target="http://aceofperformance.com" TargetMode="External"/><Relationship Id="rId440" Type="http://schemas.openxmlformats.org/officeDocument/2006/relationships/hyperlink" Target="http://gulfnews.com" TargetMode="External"/><Relationship Id="rId682" Type="http://schemas.openxmlformats.org/officeDocument/2006/relationships/hyperlink" Target="http://phdmedia.com" TargetMode="External"/><Relationship Id="rId681" Type="http://schemas.openxmlformats.org/officeDocument/2006/relationships/hyperlink" Target="http://performancewebmarketing.com" TargetMode="External"/><Relationship Id="rId680" Type="http://schemas.openxmlformats.org/officeDocument/2006/relationships/hyperlink" Target="http://paramark.com" TargetMode="External"/><Relationship Id="rId202" Type="http://schemas.openxmlformats.org/officeDocument/2006/relationships/hyperlink" Target="http://acquisit.io" TargetMode="External"/><Relationship Id="rId444" Type="http://schemas.openxmlformats.org/officeDocument/2006/relationships/hyperlink" Target="http://trkkn.com" TargetMode="External"/><Relationship Id="rId686" Type="http://schemas.openxmlformats.org/officeDocument/2006/relationships/hyperlink" Target="http://popcomms.ae" TargetMode="External"/><Relationship Id="rId201" Type="http://schemas.openxmlformats.org/officeDocument/2006/relationships/hyperlink" Target="http://nucleusmedia.ae" TargetMode="External"/><Relationship Id="rId443" Type="http://schemas.openxmlformats.org/officeDocument/2006/relationships/hyperlink" Target="http://skai.io" TargetMode="External"/><Relationship Id="rId685" Type="http://schemas.openxmlformats.org/officeDocument/2006/relationships/hyperlink" Target="http://pointconsultancy.com" TargetMode="External"/><Relationship Id="rId200" Type="http://schemas.openxmlformats.org/officeDocument/2006/relationships/hyperlink" Target="http://creativemediahouse.ae" TargetMode="External"/><Relationship Id="rId442" Type="http://schemas.openxmlformats.org/officeDocument/2006/relationships/hyperlink" Target="http://royex.ae" TargetMode="External"/><Relationship Id="rId684" Type="http://schemas.openxmlformats.org/officeDocument/2006/relationships/hyperlink" Target="http://pipame.com" TargetMode="External"/><Relationship Id="rId441" Type="http://schemas.openxmlformats.org/officeDocument/2006/relationships/hyperlink" Target="http://intimetec.com" TargetMode="External"/><Relationship Id="rId683" Type="http://schemas.openxmlformats.org/officeDocument/2006/relationships/hyperlink" Target="http://phloz.com" TargetMode="External"/><Relationship Id="rId437" Type="http://schemas.openxmlformats.org/officeDocument/2006/relationships/hyperlink" Target="http://customerlabs.com" TargetMode="External"/><Relationship Id="rId679" Type="http://schemas.openxmlformats.org/officeDocument/2006/relationships/hyperlink" Target="http://ovative.com" TargetMode="External"/><Relationship Id="rId436" Type="http://schemas.openxmlformats.org/officeDocument/2006/relationships/hyperlink" Target="http://benly.ai" TargetMode="External"/><Relationship Id="rId678" Type="http://schemas.openxmlformats.org/officeDocument/2006/relationships/hyperlink" Target="http://outsourcey.com" TargetMode="External"/><Relationship Id="rId435" Type="http://schemas.openxmlformats.org/officeDocument/2006/relationships/hyperlink" Target="http://amazonaws.com" TargetMode="External"/><Relationship Id="rId677" Type="http://schemas.openxmlformats.org/officeDocument/2006/relationships/hyperlink" Target="http://outreachz.com" TargetMode="External"/><Relationship Id="rId434" Type="http://schemas.openxmlformats.org/officeDocument/2006/relationships/hyperlink" Target="http://adrsta.ai" TargetMode="External"/><Relationship Id="rId676" Type="http://schemas.openxmlformats.org/officeDocument/2006/relationships/hyperlink" Target="http://outcomes.ae" TargetMode="External"/><Relationship Id="rId439" Type="http://schemas.openxmlformats.org/officeDocument/2006/relationships/hyperlink" Target="http://daviesmeyer.com" TargetMode="External"/><Relationship Id="rId438" Type="http://schemas.openxmlformats.org/officeDocument/2006/relationships/hyperlink" Target="http://dataintelo.com" TargetMode="External"/><Relationship Id="rId671" Type="http://schemas.openxmlformats.org/officeDocument/2006/relationships/hyperlink" Target="http://onely.com" TargetMode="External"/><Relationship Id="rId670" Type="http://schemas.openxmlformats.org/officeDocument/2006/relationships/hyperlink" Target="http://omc-uae.com" TargetMode="External"/><Relationship Id="rId433" Type="http://schemas.openxmlformats.org/officeDocument/2006/relationships/hyperlink" Target="http://stackadapt.com" TargetMode="External"/><Relationship Id="rId675" Type="http://schemas.openxmlformats.org/officeDocument/2006/relationships/hyperlink" Target="http://orm-tech.com" TargetMode="External"/><Relationship Id="rId432" Type="http://schemas.openxmlformats.org/officeDocument/2006/relationships/hyperlink" Target="http://ronstudios.com" TargetMode="External"/><Relationship Id="rId674" Type="http://schemas.openxmlformats.org/officeDocument/2006/relationships/hyperlink" Target="http://orangemonke.com" TargetMode="External"/><Relationship Id="rId431" Type="http://schemas.openxmlformats.org/officeDocument/2006/relationships/hyperlink" Target="http://gitnux.org" TargetMode="External"/><Relationship Id="rId673" Type="http://schemas.openxmlformats.org/officeDocument/2006/relationships/hyperlink" Target="http://optivaal.com" TargetMode="External"/><Relationship Id="rId430" Type="http://schemas.openxmlformats.org/officeDocument/2006/relationships/hyperlink" Target="http://zyppy.com" TargetMode="External"/><Relationship Id="rId672" Type="http://schemas.openxmlformats.org/officeDocument/2006/relationships/hyperlink" Target="http://onetrust.co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clutch.co/ae/agencies/dubai" TargetMode="External"/><Relationship Id="rId391" Type="http://schemas.openxmlformats.org/officeDocument/2006/relationships/hyperlink" Target="http://arytech.com" TargetMode="External"/><Relationship Id="rId390" Type="http://schemas.openxmlformats.org/officeDocument/2006/relationships/hyperlink" Target="https://arytech.com/uae/services/ai-consulting-services/" TargetMode="External"/><Relationship Id="rId1" Type="http://schemas.openxmlformats.org/officeDocument/2006/relationships/hyperlink" Target="https://www.topdevelopers.co/directory/digital-marketing-agencies-in-uae" TargetMode="External"/><Relationship Id="rId2" Type="http://schemas.openxmlformats.org/officeDocument/2006/relationships/hyperlink" Target="http://topdevelopers.co" TargetMode="External"/><Relationship Id="rId3" Type="http://schemas.openxmlformats.org/officeDocument/2006/relationships/hyperlink" Target="https://www.pushgroup.ae/blog/top-9-geo-agencies-in-dubai" TargetMode="External"/><Relationship Id="rId4" Type="http://schemas.openxmlformats.org/officeDocument/2006/relationships/hyperlink" Target="http://pushgroup.ae" TargetMode="External"/><Relationship Id="rId2180" Type="http://schemas.openxmlformats.org/officeDocument/2006/relationships/hyperlink" Target="https://helio.ae/" TargetMode="External"/><Relationship Id="rId2181" Type="http://schemas.openxmlformats.org/officeDocument/2006/relationships/hyperlink" Target="http://helio.ae" TargetMode="External"/><Relationship Id="rId2182" Type="http://schemas.openxmlformats.org/officeDocument/2006/relationships/hyperlink" Target="https://www.hellopixels.com/analytics/" TargetMode="External"/><Relationship Id="rId2183" Type="http://schemas.openxmlformats.org/officeDocument/2006/relationships/hyperlink" Target="http://hellopixels.com" TargetMode="External"/><Relationship Id="rId9" Type="http://schemas.openxmlformats.org/officeDocument/2006/relationships/hyperlink" Target="https://digitalagencynetwork.com/agencies/dubai/" TargetMode="External"/><Relationship Id="rId385" Type="http://schemas.openxmlformats.org/officeDocument/2006/relationships/hyperlink" Target="http://semrush.com" TargetMode="External"/><Relationship Id="rId2184" Type="http://schemas.openxmlformats.org/officeDocument/2006/relationships/hyperlink" Target="https://www.henryharvin.com/blog/digital-marketing-agencies-dubai/" TargetMode="External"/><Relationship Id="rId384" Type="http://schemas.openxmlformats.org/officeDocument/2006/relationships/hyperlink" Target="https://agencies.semrush.com/list/smm/united-arab-emirates/" TargetMode="External"/><Relationship Id="rId2185" Type="http://schemas.openxmlformats.org/officeDocument/2006/relationships/hyperlink" Target="http://henryharvin.com" TargetMode="External"/><Relationship Id="rId383" Type="http://schemas.openxmlformats.org/officeDocument/2006/relationships/hyperlink" Target="http://semrush.com" TargetMode="External"/><Relationship Id="rId2186" Type="http://schemas.openxmlformats.org/officeDocument/2006/relationships/hyperlink" Target="https://www.heydigital.co/blog/saas-marketing-agencies" TargetMode="External"/><Relationship Id="rId382" Type="http://schemas.openxmlformats.org/officeDocument/2006/relationships/hyperlink" Target="https://agencies.semrush.com/list/ppc/united-arab-emirates/" TargetMode="External"/><Relationship Id="rId2187" Type="http://schemas.openxmlformats.org/officeDocument/2006/relationships/hyperlink" Target="http://heydigital.co" TargetMode="External"/><Relationship Id="rId5" Type="http://schemas.openxmlformats.org/officeDocument/2006/relationships/hyperlink" Target="https://www.wearetenet.com/blog/best-geo-services-in-dubai" TargetMode="External"/><Relationship Id="rId389" Type="http://schemas.openxmlformats.org/officeDocument/2006/relationships/hyperlink" Target="http://architecturaldigest.com" TargetMode="External"/><Relationship Id="rId2188" Type="http://schemas.openxmlformats.org/officeDocument/2006/relationships/hyperlink" Target="https://highbizz.co/" TargetMode="External"/><Relationship Id="rId6" Type="http://schemas.openxmlformats.org/officeDocument/2006/relationships/hyperlink" Target="http://wearetenet.com" TargetMode="External"/><Relationship Id="rId388" Type="http://schemas.openxmlformats.org/officeDocument/2006/relationships/hyperlink" Target="https://www.architecturaldigest.com/story/is-your-business-ready-for-the-ai-overview-era" TargetMode="External"/><Relationship Id="rId2189" Type="http://schemas.openxmlformats.org/officeDocument/2006/relationships/hyperlink" Target="http://highbizz.co" TargetMode="External"/><Relationship Id="rId7" Type="http://schemas.openxmlformats.org/officeDocument/2006/relationships/hyperlink" Target="https://waimhub.com/best-aeo-geo-agencies-dubai/" TargetMode="External"/><Relationship Id="rId387" Type="http://schemas.openxmlformats.org/officeDocument/2006/relationships/hyperlink" Target="http://alcazmedia.ae" TargetMode="External"/><Relationship Id="rId8" Type="http://schemas.openxmlformats.org/officeDocument/2006/relationships/hyperlink" Target="http://waimhub.com" TargetMode="External"/><Relationship Id="rId386" Type="http://schemas.openxmlformats.org/officeDocument/2006/relationships/hyperlink" Target="https://www.alcazmedia.ae/services/data-analytics-consulting-services-dubai" TargetMode="External"/><Relationship Id="rId381" Type="http://schemas.openxmlformats.org/officeDocument/2006/relationships/hyperlink" Target="http://webtonic.io" TargetMode="External"/><Relationship Id="rId380" Type="http://schemas.openxmlformats.org/officeDocument/2006/relationships/hyperlink" Target="https://www.webtonic.io/blog/best-social-media-agencies-dubai" TargetMode="External"/><Relationship Id="rId379" Type="http://schemas.openxmlformats.org/officeDocument/2006/relationships/hyperlink" Target="http://waimhub.com" TargetMode="External"/><Relationship Id="rId2170" Type="http://schemas.openxmlformats.org/officeDocument/2006/relationships/hyperlink" Target="https://www.gulftest.org/lift-inspection.html" TargetMode="External"/><Relationship Id="rId2171" Type="http://schemas.openxmlformats.org/officeDocument/2006/relationships/hyperlink" Target="http://gulftest.org" TargetMode="External"/><Relationship Id="rId2172" Type="http://schemas.openxmlformats.org/officeDocument/2006/relationships/hyperlink" Target="https://harisand.co/ae/digital-marketing-agency-in-abudhabi" TargetMode="External"/><Relationship Id="rId374" Type="http://schemas.openxmlformats.org/officeDocument/2006/relationships/hyperlink" Target="https://www.pushgroup.ae/blog/top-9-marketing-agencies-dubai" TargetMode="External"/><Relationship Id="rId2173" Type="http://schemas.openxmlformats.org/officeDocument/2006/relationships/hyperlink" Target="http://harisand.co" TargetMode="External"/><Relationship Id="rId373" Type="http://schemas.openxmlformats.org/officeDocument/2006/relationships/hyperlink" Target="https://www.pepper.inc/blog/best-geo-agencies-dubai-middle-east/" TargetMode="External"/><Relationship Id="rId2174" Type="http://schemas.openxmlformats.org/officeDocument/2006/relationships/hyperlink" Target="https://www.haus.io/" TargetMode="External"/><Relationship Id="rId372" Type="http://schemas.openxmlformats.org/officeDocument/2006/relationships/hyperlink" Target="http://morismedia.in" TargetMode="External"/><Relationship Id="rId2175" Type="http://schemas.openxmlformats.org/officeDocument/2006/relationships/hyperlink" Target="http://haus.io" TargetMode="External"/><Relationship Id="rId371" Type="http://schemas.openxmlformats.org/officeDocument/2006/relationships/hyperlink" Target="https://www.morismedia.in/united-arab-emirates-top-10-llm-ai-search-optimization-agency-for-corporate-consulting-in-2026" TargetMode="External"/><Relationship Id="rId2176" Type="http://schemas.openxmlformats.org/officeDocument/2006/relationships/hyperlink" Target="https://www.haus.io/article/meta-incrementality-testing" TargetMode="External"/><Relationship Id="rId378" Type="http://schemas.openxmlformats.org/officeDocument/2006/relationships/hyperlink" Target="https://waimhub.com/ai-digital-marketing-agency-dubai-guide/" TargetMode="External"/><Relationship Id="rId2177" Type="http://schemas.openxmlformats.org/officeDocument/2006/relationships/hyperlink" Target="http://haus.io" TargetMode="External"/><Relationship Id="rId377" Type="http://schemas.openxmlformats.org/officeDocument/2006/relationships/hyperlink" Target="http://techbullion.com" TargetMode="External"/><Relationship Id="rId2178" Type="http://schemas.openxmlformats.org/officeDocument/2006/relationships/hyperlink" Target="https://hawksem.com/blog/performance-marketing-agency-list/" TargetMode="External"/><Relationship Id="rId376" Type="http://schemas.openxmlformats.org/officeDocument/2006/relationships/hyperlink" Target="https://techbullion.com/top-creative-and-advertising-agencies-dubai-uae/" TargetMode="External"/><Relationship Id="rId2179" Type="http://schemas.openxmlformats.org/officeDocument/2006/relationships/hyperlink" Target="http://hawksem.com" TargetMode="External"/><Relationship Id="rId375" Type="http://schemas.openxmlformats.org/officeDocument/2006/relationships/hyperlink" Target="http://pushgroup.ae" TargetMode="External"/><Relationship Id="rId2190" Type="http://schemas.openxmlformats.org/officeDocument/2006/relationships/hyperlink" Target="https://www.hikmahaiagency.com/blog/aeo-services-dubai-2026" TargetMode="External"/><Relationship Id="rId2191" Type="http://schemas.openxmlformats.org/officeDocument/2006/relationships/hyperlink" Target="http://hikmahaiagency.com" TargetMode="External"/><Relationship Id="rId2192" Type="http://schemas.openxmlformats.org/officeDocument/2006/relationships/hyperlink" Target="https://www.hnlegal.ae/ai-legal-compliance-uae/" TargetMode="External"/><Relationship Id="rId2193" Type="http://schemas.openxmlformats.org/officeDocument/2006/relationships/hyperlink" Target="http://hnlegal.ae" TargetMode="External"/><Relationship Id="rId2194" Type="http://schemas.openxmlformats.org/officeDocument/2006/relationships/hyperlink" Target="https://www.hockeystack.com/blog-posts/best-marketing-attribution-software" TargetMode="External"/><Relationship Id="rId396" Type="http://schemas.openxmlformats.org/officeDocument/2006/relationships/hyperlink" Target="https://godigitalalpha.com/best-social-media-marketing-services-in-uae/" TargetMode="External"/><Relationship Id="rId2195" Type="http://schemas.openxmlformats.org/officeDocument/2006/relationships/hyperlink" Target="http://hockeystack.com" TargetMode="External"/><Relationship Id="rId395" Type="http://schemas.openxmlformats.org/officeDocument/2006/relationships/hyperlink" Target="http://designrush.com" TargetMode="External"/><Relationship Id="rId2196" Type="http://schemas.openxmlformats.org/officeDocument/2006/relationships/hyperlink" Target="https://hogi.ae/blog/top-10-branding-agencies-in-dubai/" TargetMode="External"/><Relationship Id="rId394" Type="http://schemas.openxmlformats.org/officeDocument/2006/relationships/hyperlink" Target="https://www.designrush.com/agency/digital-marketing/analytics" TargetMode="External"/><Relationship Id="rId2197" Type="http://schemas.openxmlformats.org/officeDocument/2006/relationships/hyperlink" Target="http://hogi.ae" TargetMode="External"/><Relationship Id="rId393" Type="http://schemas.openxmlformats.org/officeDocument/2006/relationships/hyperlink" Target="http://clutch.co" TargetMode="External"/><Relationship Id="rId2198" Type="http://schemas.openxmlformats.org/officeDocument/2006/relationships/hyperlink" Target="https://hookeddigital.net/best-digital-marketing-agencies-dubai/" TargetMode="External"/><Relationship Id="rId2199" Type="http://schemas.openxmlformats.org/officeDocument/2006/relationships/hyperlink" Target="http://hookeddigital.net" TargetMode="External"/><Relationship Id="rId399" Type="http://schemas.openxmlformats.org/officeDocument/2006/relationships/hyperlink" Target="http://innovatscale.ae" TargetMode="External"/><Relationship Id="rId398" Type="http://schemas.openxmlformats.org/officeDocument/2006/relationships/hyperlink" Target="https://innovatscale.ae/ai-consulting-uae/" TargetMode="External"/><Relationship Id="rId397" Type="http://schemas.openxmlformats.org/officeDocument/2006/relationships/hyperlink" Target="http://godigitalalpha.com" TargetMode="External"/><Relationship Id="rId1730" Type="http://schemas.openxmlformats.org/officeDocument/2006/relationships/hyperlink" Target="https://benly.ai/learn/ai-marketing/best-attribution-tools-2026" TargetMode="External"/><Relationship Id="rId1731" Type="http://schemas.openxmlformats.org/officeDocument/2006/relationships/hyperlink" Target="http://benly.ai" TargetMode="External"/><Relationship Id="rId1732" Type="http://schemas.openxmlformats.org/officeDocument/2006/relationships/hyperlink" Target="https://benly.ai/learn/ai-marketing/best-marketing-analytics-tools-2026" TargetMode="External"/><Relationship Id="rId1733" Type="http://schemas.openxmlformats.org/officeDocument/2006/relationships/hyperlink" Target="http://benly.ai" TargetMode="External"/><Relationship Id="rId1734" Type="http://schemas.openxmlformats.org/officeDocument/2006/relationships/hyperlink" Target="https://beomniscient.com/blog/best-ai-marketing-agencies/" TargetMode="External"/><Relationship Id="rId1735" Type="http://schemas.openxmlformats.org/officeDocument/2006/relationships/hyperlink" Target="http://beomniscient.com" TargetMode="External"/><Relationship Id="rId1736" Type="http://schemas.openxmlformats.org/officeDocument/2006/relationships/hyperlink" Target="https://beomniscient.com/blog/geo-agencies/" TargetMode="External"/><Relationship Id="rId1737" Type="http://schemas.openxmlformats.org/officeDocument/2006/relationships/hyperlink" Target="http://beomniscient.com" TargetMode="External"/><Relationship Id="rId1738" Type="http://schemas.openxmlformats.org/officeDocument/2006/relationships/hyperlink" Target="https://beomniscient.com/blog/growth-marketing-agency/" TargetMode="External"/><Relationship Id="rId1739" Type="http://schemas.openxmlformats.org/officeDocument/2006/relationships/hyperlink" Target="http://beomniscient.com" TargetMode="External"/><Relationship Id="rId1720" Type="http://schemas.openxmlformats.org/officeDocument/2006/relationships/hyperlink" Target="https://www.b2agency.com/ae/geo" TargetMode="External"/><Relationship Id="rId1721" Type="http://schemas.openxmlformats.org/officeDocument/2006/relationships/hyperlink" Target="http://b2agency.com" TargetMode="External"/><Relationship Id="rId1722" Type="http://schemas.openxmlformats.org/officeDocument/2006/relationships/hyperlink" Target="https://bambrick.com.au/ppc/google-display-ads/" TargetMode="External"/><Relationship Id="rId1723" Type="http://schemas.openxmlformats.org/officeDocument/2006/relationships/hyperlink" Target="http://bambrick.com.au" TargetMode="External"/><Relationship Id="rId1724" Type="http://schemas.openxmlformats.org/officeDocument/2006/relationships/hyperlink" Target="https://banibro.com/blog/erp-implementation-companies-in-dubai/" TargetMode="External"/><Relationship Id="rId1725" Type="http://schemas.openxmlformats.org/officeDocument/2006/relationships/hyperlink" Target="http://banibro.com" TargetMode="External"/><Relationship Id="rId1726" Type="http://schemas.openxmlformats.org/officeDocument/2006/relationships/hyperlink" Target="https://barchangroup.com/" TargetMode="External"/><Relationship Id="rId1727" Type="http://schemas.openxmlformats.org/officeDocument/2006/relationships/hyperlink" Target="http://barchangroup.com" TargetMode="External"/><Relationship Id="rId1728" Type="http://schemas.openxmlformats.org/officeDocument/2006/relationships/hyperlink" Target="https://basis.com/insights/the-top-5-advertising-agency-platforms-for-media-buying" TargetMode="External"/><Relationship Id="rId1729" Type="http://schemas.openxmlformats.org/officeDocument/2006/relationships/hyperlink" Target="http://basis.com" TargetMode="External"/><Relationship Id="rId1752" Type="http://schemas.openxmlformats.org/officeDocument/2006/relationships/hyperlink" Target="https://blog.intimetec.com/top-artificial-intelligence-companies" TargetMode="External"/><Relationship Id="rId1753" Type="http://schemas.openxmlformats.org/officeDocument/2006/relationships/hyperlink" Target="http://intimetec.com" TargetMode="External"/><Relationship Id="rId2600" Type="http://schemas.openxmlformats.org/officeDocument/2006/relationships/hyperlink" Target="http://canberra.edu.au" TargetMode="External"/><Relationship Id="rId1754" Type="http://schemas.openxmlformats.org/officeDocument/2006/relationships/hyperlink" Target="https://bluead.ae/" TargetMode="External"/><Relationship Id="rId2601" Type="http://schemas.openxmlformats.org/officeDocument/2006/relationships/hyperlink" Target="https://reshaped.io/" TargetMode="External"/><Relationship Id="rId1755" Type="http://schemas.openxmlformats.org/officeDocument/2006/relationships/hyperlink" Target="http://bluead.ae" TargetMode="External"/><Relationship Id="rId2602" Type="http://schemas.openxmlformats.org/officeDocument/2006/relationships/hyperlink" Target="http://reshaped.io" TargetMode="External"/><Relationship Id="rId1756" Type="http://schemas.openxmlformats.org/officeDocument/2006/relationships/hyperlink" Target="https://www.bluebeetle.ae/blog/how-a-digital-marketing-agency-in-dubai-should-prepare-for-ai-search" TargetMode="External"/><Relationship Id="rId2603" Type="http://schemas.openxmlformats.org/officeDocument/2006/relationships/hyperlink" Target="https://rhblake.com/best-generative-engine-optimization-geo-agencies-2025-edition/" TargetMode="External"/><Relationship Id="rId1757" Type="http://schemas.openxmlformats.org/officeDocument/2006/relationships/hyperlink" Target="http://bluebeetle.ae" TargetMode="External"/><Relationship Id="rId2604" Type="http://schemas.openxmlformats.org/officeDocument/2006/relationships/hyperlink" Target="http://rhblake.com" TargetMode="External"/><Relationship Id="rId1758" Type="http://schemas.openxmlformats.org/officeDocument/2006/relationships/hyperlink" Target="https://bountyhunter.agency/blog/best-saas-marketing-attribution-tools/" TargetMode="External"/><Relationship Id="rId2605" Type="http://schemas.openxmlformats.org/officeDocument/2006/relationships/hyperlink" Target="https://rhillane.com/en-ae/marketing/digital-marketing-agency-dubai/" TargetMode="External"/><Relationship Id="rId1759" Type="http://schemas.openxmlformats.org/officeDocument/2006/relationships/hyperlink" Target="https://www.brandedagency.com/blog/top-digital-marketing-agencies" TargetMode="External"/><Relationship Id="rId2606" Type="http://schemas.openxmlformats.org/officeDocument/2006/relationships/hyperlink" Target="http://rhillane.com" TargetMode="External"/><Relationship Id="rId808" Type="http://schemas.openxmlformats.org/officeDocument/2006/relationships/hyperlink" Target="http://aliseoservices.com" TargetMode="External"/><Relationship Id="rId2607" Type="http://schemas.openxmlformats.org/officeDocument/2006/relationships/hyperlink" Target="https://rix-digital.com/" TargetMode="External"/><Relationship Id="rId807" Type="http://schemas.openxmlformats.org/officeDocument/2006/relationships/hyperlink" Target="https://aliseoservices.com/services/ai-seo-services-uae/" TargetMode="External"/><Relationship Id="rId2608" Type="http://schemas.openxmlformats.org/officeDocument/2006/relationships/hyperlink" Target="http://rix-digital.com" TargetMode="External"/><Relationship Id="rId806" Type="http://schemas.openxmlformats.org/officeDocument/2006/relationships/hyperlink" Target="http://abmediaco.com" TargetMode="External"/><Relationship Id="rId2609" Type="http://schemas.openxmlformats.org/officeDocument/2006/relationships/hyperlink" Target="https://roashack.com/blog/incrementality-testing-playbook/" TargetMode="External"/><Relationship Id="rId805" Type="http://schemas.openxmlformats.org/officeDocument/2006/relationships/hyperlink" Target="https://abmediaco.com/performance-marketing-agency-in-dubai/" TargetMode="External"/><Relationship Id="rId809" Type="http://schemas.openxmlformats.org/officeDocument/2006/relationships/hyperlink" Target="https://www.baselinemix.com/" TargetMode="External"/><Relationship Id="rId800" Type="http://schemas.openxmlformats.org/officeDocument/2006/relationships/hyperlink" Target="http://sortlist.com" TargetMode="External"/><Relationship Id="rId804" Type="http://schemas.openxmlformats.org/officeDocument/2006/relationships/hyperlink" Target="http://thedigitalelevator.com" TargetMode="External"/><Relationship Id="rId803" Type="http://schemas.openxmlformats.org/officeDocument/2006/relationships/hyperlink" Target="https://thedigitalelevator.com/blog/best-generative-engine-optimization-geo-agencies/" TargetMode="External"/><Relationship Id="rId802" Type="http://schemas.openxmlformats.org/officeDocument/2006/relationships/hyperlink" Target="http://superside.com" TargetMode="External"/><Relationship Id="rId801" Type="http://schemas.openxmlformats.org/officeDocument/2006/relationships/hyperlink" Target="https://www.superside.com/blog/design-agencies-dubai" TargetMode="External"/><Relationship Id="rId1750" Type="http://schemas.openxmlformats.org/officeDocument/2006/relationships/hyperlink" Target="https://blog.buildbetter.ai/best-agency-inc-alternatives-in-2026-ai-customer-success-tools/" TargetMode="External"/><Relationship Id="rId1751" Type="http://schemas.openxmlformats.org/officeDocument/2006/relationships/hyperlink" Target="http://buildbetter.ai" TargetMode="External"/><Relationship Id="rId1741" Type="http://schemas.openxmlformats.org/officeDocument/2006/relationships/hyperlink" Target="http://bestanswerengineoptimizationservices.com" TargetMode="External"/><Relationship Id="rId1742" Type="http://schemas.openxmlformats.org/officeDocument/2006/relationships/hyperlink" Target="https://www.bicommunications.ae/blog/best-facebook-marketing-agencies-dubai/" TargetMode="External"/><Relationship Id="rId1743" Type="http://schemas.openxmlformats.org/officeDocument/2006/relationships/hyperlink" Target="http://bicommunications.ae" TargetMode="External"/><Relationship Id="rId1744" Type="http://schemas.openxmlformats.org/officeDocument/2006/relationships/hyperlink" Target="https://www.bicommunications.ae/blog/best-seo-companies-in-dubai/" TargetMode="External"/><Relationship Id="rId1745" Type="http://schemas.openxmlformats.org/officeDocument/2006/relationships/hyperlink" Target="http://bicommunications.ae" TargetMode="External"/><Relationship Id="rId1746" Type="http://schemas.openxmlformats.org/officeDocument/2006/relationships/hyperlink" Target="https://www.bicommunications.ae/ppc-services-dubai/" TargetMode="External"/><Relationship Id="rId1747" Type="http://schemas.openxmlformats.org/officeDocument/2006/relationships/hyperlink" Target="http://bicommunications.ae" TargetMode="External"/><Relationship Id="rId1748" Type="http://schemas.openxmlformats.org/officeDocument/2006/relationships/hyperlink" Target="https://bird.ae/telecoms/" TargetMode="External"/><Relationship Id="rId1749" Type="http://schemas.openxmlformats.org/officeDocument/2006/relationships/hyperlink" Target="http://bird.ae" TargetMode="External"/><Relationship Id="rId1740" Type="http://schemas.openxmlformats.org/officeDocument/2006/relationships/hyperlink" Target="https://bestanswerengineoptimizationservices.com/" TargetMode="External"/><Relationship Id="rId1710" Type="http://schemas.openxmlformats.org/officeDocument/2006/relationships/hyperlink" Target="https://www.avaus.com/blog/how-media-agencies-can-utilize-first-party-data-to-drive-better-results/" TargetMode="External"/><Relationship Id="rId1711" Type="http://schemas.openxmlformats.org/officeDocument/2006/relationships/hyperlink" Target="http://avaus.com" TargetMode="External"/><Relationship Id="rId1712" Type="http://schemas.openxmlformats.org/officeDocument/2006/relationships/hyperlink" Target="https://www.awesomic.com/blog/full-service-creative-agencies" TargetMode="External"/><Relationship Id="rId1713" Type="http://schemas.openxmlformats.org/officeDocument/2006/relationships/hyperlink" Target="http://awesomic.com" TargetMode="External"/><Relationship Id="rId1714" Type="http://schemas.openxmlformats.org/officeDocument/2006/relationships/hyperlink" Target="https://www.axios.com/2026/07/15/uae-ai-government-app-tamm" TargetMode="External"/><Relationship Id="rId1715" Type="http://schemas.openxmlformats.org/officeDocument/2006/relationships/hyperlink" Target="http://axios.com" TargetMode="External"/><Relationship Id="rId1716" Type="http://schemas.openxmlformats.org/officeDocument/2006/relationships/hyperlink" Target="https://www.axios.com/2026/07/16/geo-communications-marketing-strategy" TargetMode="External"/><Relationship Id="rId1717" Type="http://schemas.openxmlformats.org/officeDocument/2006/relationships/hyperlink" Target="http://axios.com" TargetMode="External"/><Relationship Id="rId1718" Type="http://schemas.openxmlformats.org/officeDocument/2006/relationships/hyperlink" Target="https://ayaigen.com/" TargetMode="External"/><Relationship Id="rId1719" Type="http://schemas.openxmlformats.org/officeDocument/2006/relationships/hyperlink" Target="http://ayaigen.com" TargetMode="External"/><Relationship Id="rId1700" Type="http://schemas.openxmlformats.org/officeDocument/2006/relationships/hyperlink" Target="https://www.attributionapp.com/plans/agency-partners/" TargetMode="External"/><Relationship Id="rId1701" Type="http://schemas.openxmlformats.org/officeDocument/2006/relationships/hyperlink" Target="http://attributionapp.com" TargetMode="External"/><Relationship Id="rId1702" Type="http://schemas.openxmlformats.org/officeDocument/2006/relationships/hyperlink" Target="https://www.attributionapp.com/solution-b2c/" TargetMode="External"/><Relationship Id="rId1703" Type="http://schemas.openxmlformats.org/officeDocument/2006/relationships/hyperlink" Target="http://attributionapp.com" TargetMode="External"/><Relationship Id="rId1704" Type="http://schemas.openxmlformats.org/officeDocument/2006/relationships/hyperlink" Target="https://au.linkedin.com/in/rami-alcheikh" TargetMode="External"/><Relationship Id="rId1705" Type="http://schemas.openxmlformats.org/officeDocument/2006/relationships/hyperlink" Target="http://linkedin.com" TargetMode="External"/><Relationship Id="rId1706" Type="http://schemas.openxmlformats.org/officeDocument/2006/relationships/hyperlink" Target="https://audigent.com/caseStudies/" TargetMode="External"/><Relationship Id="rId1707" Type="http://schemas.openxmlformats.org/officeDocument/2006/relationships/hyperlink" Target="http://audigent.com" TargetMode="External"/><Relationship Id="rId1708" Type="http://schemas.openxmlformats.org/officeDocument/2006/relationships/hyperlink" Target="https://www.avanade.com/en-ae/insights/generative-ai-readiness-report/organizational-ai-readiness" TargetMode="External"/><Relationship Id="rId1709" Type="http://schemas.openxmlformats.org/officeDocument/2006/relationships/hyperlink" Target="http://avanade.com" TargetMode="External"/><Relationship Id="rId40" Type="http://schemas.openxmlformats.org/officeDocument/2006/relationships/hyperlink" Target="https://c2cmedia.ae/blog/best-social-media-agencies-in-dubai/" TargetMode="External"/><Relationship Id="rId1334" Type="http://schemas.openxmlformats.org/officeDocument/2006/relationships/hyperlink" Target="http://fusepointinsights.com" TargetMode="External"/><Relationship Id="rId2665" Type="http://schemas.openxmlformats.org/officeDocument/2006/relationships/hyperlink" Target="https://seosherpa.com/top-seo-companies-dubai/" TargetMode="External"/><Relationship Id="rId1335" Type="http://schemas.openxmlformats.org/officeDocument/2006/relationships/hyperlink" Target="https://geoq.ai/" TargetMode="External"/><Relationship Id="rId2666" Type="http://schemas.openxmlformats.org/officeDocument/2006/relationships/hyperlink" Target="http://seosherpa.com" TargetMode="External"/><Relationship Id="rId42" Type="http://schemas.openxmlformats.org/officeDocument/2006/relationships/hyperlink" Target="https://www.designrush.com/agency/ad-agencies/ae" TargetMode="External"/><Relationship Id="rId1336" Type="http://schemas.openxmlformats.org/officeDocument/2006/relationships/hyperlink" Target="http://geoq.ai" TargetMode="External"/><Relationship Id="rId2667" Type="http://schemas.openxmlformats.org/officeDocument/2006/relationships/hyperlink" Target="https://seospecialist.framer.ai/blog-post/top-seo-specialists-in-germany" TargetMode="External"/><Relationship Id="rId41" Type="http://schemas.openxmlformats.org/officeDocument/2006/relationships/hyperlink" Target="http://c2cmedia.ae" TargetMode="External"/><Relationship Id="rId1337" Type="http://schemas.openxmlformats.org/officeDocument/2006/relationships/hyperlink" Target="https://getrecast.com/experimentation/" TargetMode="External"/><Relationship Id="rId2668" Type="http://schemas.openxmlformats.org/officeDocument/2006/relationships/hyperlink" Target="http://framer.ai" TargetMode="External"/><Relationship Id="rId44" Type="http://schemas.openxmlformats.org/officeDocument/2006/relationships/hyperlink" Target="https://www.digitalgravity.ae/blog/best-ai-marketing-agencies/" TargetMode="External"/><Relationship Id="rId1338" Type="http://schemas.openxmlformats.org/officeDocument/2006/relationships/hyperlink" Target="http://getrecast.com" TargetMode="External"/><Relationship Id="rId2669" Type="http://schemas.openxmlformats.org/officeDocument/2006/relationships/hyperlink" Target="https://www.seoworks.com/lists/top-b2b-geo-and-aeo-agencies/" TargetMode="External"/><Relationship Id="rId43" Type="http://schemas.openxmlformats.org/officeDocument/2006/relationships/hyperlink" Target="http://designrush.com" TargetMode="External"/><Relationship Id="rId1339" Type="http://schemas.openxmlformats.org/officeDocument/2006/relationships/hyperlink" Target="https://www.globalmediainsight.com/ai-seo-services/" TargetMode="External"/><Relationship Id="rId46" Type="http://schemas.openxmlformats.org/officeDocument/2006/relationships/hyperlink" Target="https://hypebox.me/blog/articles/top-10-uae-marketing-agencies" TargetMode="External"/><Relationship Id="rId45" Type="http://schemas.openxmlformats.org/officeDocument/2006/relationships/hyperlink" Target="http://digitalgravity.ae" TargetMode="External"/><Relationship Id="rId745" Type="http://schemas.openxmlformats.org/officeDocument/2006/relationships/hyperlink" Target="https://www.boostmylocalbusiness.ai/" TargetMode="External"/><Relationship Id="rId744" Type="http://schemas.openxmlformats.org/officeDocument/2006/relationships/hyperlink" Target="http://beontop.ae" TargetMode="External"/><Relationship Id="rId743" Type="http://schemas.openxmlformats.org/officeDocument/2006/relationships/hyperlink" Target="https://www.beontop.ae/google-partner/" TargetMode="External"/><Relationship Id="rId742" Type="http://schemas.openxmlformats.org/officeDocument/2006/relationships/hyperlink" Target="http://auge10x.com" TargetMode="External"/><Relationship Id="rId749" Type="http://schemas.openxmlformats.org/officeDocument/2006/relationships/hyperlink" Target="https://cosmopole.com/services/generative-engine-optimisation-geo/" TargetMode="External"/><Relationship Id="rId748" Type="http://schemas.openxmlformats.org/officeDocument/2006/relationships/hyperlink" Target="http://consultancy-me.com" TargetMode="External"/><Relationship Id="rId747" Type="http://schemas.openxmlformats.org/officeDocument/2006/relationships/hyperlink" Target="https://www.consultancy-me.com/rankings/top-consulting-firms-in-the-middle-east-by-area-of-expertise/ai-genai" TargetMode="External"/><Relationship Id="rId746" Type="http://schemas.openxmlformats.org/officeDocument/2006/relationships/hyperlink" Target="http://boostmylocalbusiness.ai" TargetMode="External"/><Relationship Id="rId48" Type="http://schemas.openxmlformats.org/officeDocument/2006/relationships/hyperlink" Target="https://ititans.com/blog/leading-digital-marketing-agencies-in-uae/" TargetMode="External"/><Relationship Id="rId47" Type="http://schemas.openxmlformats.org/officeDocument/2006/relationships/hyperlink" Target="http://hypebox.me" TargetMode="External"/><Relationship Id="rId49" Type="http://schemas.openxmlformats.org/officeDocument/2006/relationships/hyperlink" Target="http://ititans.com" TargetMode="External"/><Relationship Id="rId2660" Type="http://schemas.openxmlformats.org/officeDocument/2006/relationships/hyperlink" Target="http://seosandwitch.com" TargetMode="External"/><Relationship Id="rId741" Type="http://schemas.openxmlformats.org/officeDocument/2006/relationships/hyperlink" Target="https://auge10x.com/" TargetMode="External"/><Relationship Id="rId1330" Type="http://schemas.openxmlformats.org/officeDocument/2006/relationships/hyperlink" Target="http://forbesberry.com" TargetMode="External"/><Relationship Id="rId2661" Type="http://schemas.openxmlformats.org/officeDocument/2006/relationships/hyperlink" Target="https://seosherpa.com/ae-en/services/cro/" TargetMode="External"/><Relationship Id="rId740" Type="http://schemas.openxmlformats.org/officeDocument/2006/relationships/hyperlink" Target="http://aidatalizer.com" TargetMode="External"/><Relationship Id="rId1331" Type="http://schemas.openxmlformats.org/officeDocument/2006/relationships/hyperlink" Target="https://www.ft.com/content/ac672f97-a603-4c56-afa3-4a5273d45674" TargetMode="External"/><Relationship Id="rId2662" Type="http://schemas.openxmlformats.org/officeDocument/2006/relationships/hyperlink" Target="http://seosherpa.com" TargetMode="External"/><Relationship Id="rId1332" Type="http://schemas.openxmlformats.org/officeDocument/2006/relationships/hyperlink" Target="http://ft.com" TargetMode="External"/><Relationship Id="rId2663" Type="http://schemas.openxmlformats.org/officeDocument/2006/relationships/hyperlink" Target="https://seosherpa.com/locations/dubai/" TargetMode="External"/><Relationship Id="rId1333" Type="http://schemas.openxmlformats.org/officeDocument/2006/relationships/hyperlink" Target="https://fusepointinsights.com/service/incrementality-experiments/" TargetMode="External"/><Relationship Id="rId2664" Type="http://schemas.openxmlformats.org/officeDocument/2006/relationships/hyperlink" Target="http://seosherpa.com" TargetMode="External"/><Relationship Id="rId1323" Type="http://schemas.openxmlformats.org/officeDocument/2006/relationships/hyperlink" Target="http://eightysixmedia.ae" TargetMode="External"/><Relationship Id="rId2654" Type="http://schemas.openxmlformats.org/officeDocument/2006/relationships/hyperlink" Target="http://seodiscovery.com" TargetMode="External"/><Relationship Id="rId1324" Type="http://schemas.openxmlformats.org/officeDocument/2006/relationships/hyperlink" Target="https://emblixsolutions.ae/google-ads-services-agency-in-dubai/" TargetMode="External"/><Relationship Id="rId2655" Type="http://schemas.openxmlformats.org/officeDocument/2006/relationships/hyperlink" Target="https://seodxb.com/" TargetMode="External"/><Relationship Id="rId31" Type="http://schemas.openxmlformats.org/officeDocument/2006/relationships/hyperlink" Target="http://c2cmedia.ae" TargetMode="External"/><Relationship Id="rId1325" Type="http://schemas.openxmlformats.org/officeDocument/2006/relationships/hyperlink" Target="http://emblixsolutions.ae" TargetMode="External"/><Relationship Id="rId2656" Type="http://schemas.openxmlformats.org/officeDocument/2006/relationships/hyperlink" Target="http://seodxb.com" TargetMode="External"/><Relationship Id="rId30" Type="http://schemas.openxmlformats.org/officeDocument/2006/relationships/hyperlink" Target="https://c2cmedia.ae/services/performance-marketing/" TargetMode="External"/><Relationship Id="rId1326" Type="http://schemas.openxmlformats.org/officeDocument/2006/relationships/hyperlink" Target="https://www.emotedigital.ae/digital-marketing-agency-dubai/google-partner/" TargetMode="External"/><Relationship Id="rId2657" Type="http://schemas.openxmlformats.org/officeDocument/2006/relationships/hyperlink" Target="https://seoindiaonline.com/top-aeo-answer-engine-optimization-agencies/" TargetMode="External"/><Relationship Id="rId33" Type="http://schemas.openxmlformats.org/officeDocument/2006/relationships/hyperlink" Target="http://bicommunications.ae" TargetMode="External"/><Relationship Id="rId1327" Type="http://schemas.openxmlformats.org/officeDocument/2006/relationships/hyperlink" Target="http://emotedigital.ae" TargetMode="External"/><Relationship Id="rId2658" Type="http://schemas.openxmlformats.org/officeDocument/2006/relationships/hyperlink" Target="http://seoindiaonline.com" TargetMode="External"/><Relationship Id="rId32" Type="http://schemas.openxmlformats.org/officeDocument/2006/relationships/hyperlink" Target="https://www.bicommunications.ae/blog/best-ppc-agencies-uae/" TargetMode="External"/><Relationship Id="rId1328" Type="http://schemas.openxmlformats.org/officeDocument/2006/relationships/hyperlink" Target="https://www.fieldtrip.agency/post/top-geo-agencies" TargetMode="External"/><Relationship Id="rId2659" Type="http://schemas.openxmlformats.org/officeDocument/2006/relationships/hyperlink" Target="https://seosandwitch.com/aeo-geo-marketing-agencies/" TargetMode="External"/><Relationship Id="rId35" Type="http://schemas.openxmlformats.org/officeDocument/2006/relationships/hyperlink" Target="http://digitalagencynetwork.com" TargetMode="External"/><Relationship Id="rId1329" Type="http://schemas.openxmlformats.org/officeDocument/2006/relationships/hyperlink" Target="https://forbesberry.com/" TargetMode="External"/><Relationship Id="rId34" Type="http://schemas.openxmlformats.org/officeDocument/2006/relationships/hyperlink" Target="https://digitalagencynetwork.com/agencies/dubai/ai-marketing/" TargetMode="External"/><Relationship Id="rId739" Type="http://schemas.openxmlformats.org/officeDocument/2006/relationships/hyperlink" Target="https://aidatalizer.com/blog/best-marketing-agency-in-dubai-2026/" TargetMode="External"/><Relationship Id="rId734" Type="http://schemas.openxmlformats.org/officeDocument/2006/relationships/hyperlink" Target="http://waimhub.com" TargetMode="External"/><Relationship Id="rId733" Type="http://schemas.openxmlformats.org/officeDocument/2006/relationships/hyperlink" Target="https://waimhub.com/aeo-agency-dubai-guide/" TargetMode="External"/><Relationship Id="rId732" Type="http://schemas.openxmlformats.org/officeDocument/2006/relationships/hyperlink" Target="http://truenorthmarketing.ae" TargetMode="External"/><Relationship Id="rId731" Type="http://schemas.openxmlformats.org/officeDocument/2006/relationships/hyperlink" Target="https://www.truenorthmarketing.ae/en" TargetMode="External"/><Relationship Id="rId738" Type="http://schemas.openxmlformats.org/officeDocument/2006/relationships/hyperlink" Target="http://webtonic.io" TargetMode="External"/><Relationship Id="rId737" Type="http://schemas.openxmlformats.org/officeDocument/2006/relationships/hyperlink" Target="https://www.webtonic.io/blog/best-ppc-agencies-dubai" TargetMode="External"/><Relationship Id="rId736" Type="http://schemas.openxmlformats.org/officeDocument/2006/relationships/hyperlink" Target="http://wearetenet.com" TargetMode="External"/><Relationship Id="rId735" Type="http://schemas.openxmlformats.org/officeDocument/2006/relationships/hyperlink" Target="https://www.wearetenet.com/blog/best-ai-seo-agencies" TargetMode="External"/><Relationship Id="rId37" Type="http://schemas.openxmlformats.org/officeDocument/2006/relationships/hyperlink" Target="http://sortlist.com" TargetMode="External"/><Relationship Id="rId36" Type="http://schemas.openxmlformats.org/officeDocument/2006/relationships/hyperlink" Target="https://www.sortlist.com/s/paid-media/dubai-ae" TargetMode="External"/><Relationship Id="rId39" Type="http://schemas.openxmlformats.org/officeDocument/2006/relationships/hyperlink" Target="http://marketing-agency-dubai.com" TargetMode="External"/><Relationship Id="rId38" Type="http://schemas.openxmlformats.org/officeDocument/2006/relationships/hyperlink" Target="https://marketing-agency-dubai.com/dubai/marketing-analytics-companies" TargetMode="External"/><Relationship Id="rId730" Type="http://schemas.openxmlformats.org/officeDocument/2006/relationships/hyperlink" Target="http://google.com" TargetMode="External"/><Relationship Id="rId2650" Type="http://schemas.openxmlformats.org/officeDocument/2006/relationships/hyperlink" Target="http://segwise.ai" TargetMode="External"/><Relationship Id="rId1320" Type="http://schemas.openxmlformats.org/officeDocument/2006/relationships/hyperlink" Target="https://easyinsights.ai/blog/first-party-data-activation-platforms/" TargetMode="External"/><Relationship Id="rId2651" Type="http://schemas.openxmlformats.org/officeDocument/2006/relationships/hyperlink" Target="https://www.semfirms.com/uae/dubai/display-advertising-firms?page=0" TargetMode="External"/><Relationship Id="rId1321" Type="http://schemas.openxmlformats.org/officeDocument/2006/relationships/hyperlink" Target="http://easyinsights.ai" TargetMode="External"/><Relationship Id="rId2652" Type="http://schemas.openxmlformats.org/officeDocument/2006/relationships/hyperlink" Target="http://semfirms.com" TargetMode="External"/><Relationship Id="rId1322" Type="http://schemas.openxmlformats.org/officeDocument/2006/relationships/hyperlink" Target="https://www.eightysixmedia.ae/" TargetMode="External"/><Relationship Id="rId2653" Type="http://schemas.openxmlformats.org/officeDocument/2006/relationships/hyperlink" Target="https://www.seodiscovery.com/blog/best-generative-engine-optimisation-agencies/" TargetMode="External"/><Relationship Id="rId1356" Type="http://schemas.openxmlformats.org/officeDocument/2006/relationships/hyperlink" Target="http://growthspreeofficial.com" TargetMode="External"/><Relationship Id="rId2203" Type="http://schemas.openxmlformats.org/officeDocument/2006/relationships/hyperlink" Target="https://www.housesofgrowth.com/post/aeo-agencies" TargetMode="External"/><Relationship Id="rId2687" Type="http://schemas.openxmlformats.org/officeDocument/2006/relationships/hyperlink" Target="https://skai.io/blog/incrementality-testing-vs-a-b-testing/" TargetMode="External"/><Relationship Id="rId1357" Type="http://schemas.openxmlformats.org/officeDocument/2006/relationships/hyperlink" Target="https://www.hemodata.me/ai-consultancy-and-readiness/" TargetMode="External"/><Relationship Id="rId2204" Type="http://schemas.openxmlformats.org/officeDocument/2006/relationships/hyperlink" Target="http://housesofgrowth.com" TargetMode="External"/><Relationship Id="rId2688" Type="http://schemas.openxmlformats.org/officeDocument/2006/relationships/hyperlink" Target="http://skai.io" TargetMode="External"/><Relationship Id="rId20" Type="http://schemas.openxmlformats.org/officeDocument/2006/relationships/hyperlink" Target="http://clutch.co" TargetMode="External"/><Relationship Id="rId1358" Type="http://schemas.openxmlformats.org/officeDocument/2006/relationships/hyperlink" Target="http://hemodata.me" TargetMode="External"/><Relationship Id="rId2205" Type="http://schemas.openxmlformats.org/officeDocument/2006/relationships/hyperlink" Target="https://humanise.world/blog/first-party-data-activation" TargetMode="External"/><Relationship Id="rId2689" Type="http://schemas.openxmlformats.org/officeDocument/2006/relationships/hyperlink" Target="https://skai.io/blog/retail-media-incrementality/" TargetMode="External"/><Relationship Id="rId1359" Type="http://schemas.openxmlformats.org/officeDocument/2006/relationships/hyperlink" Target="https://hikemytraffic.com/ppc-agencies-in-uae/" TargetMode="External"/><Relationship Id="rId2206" Type="http://schemas.openxmlformats.org/officeDocument/2006/relationships/hyperlink" Target="https://www.hunchads.com/blog/incrementality-testing-on-meta" TargetMode="External"/><Relationship Id="rId22" Type="http://schemas.openxmlformats.org/officeDocument/2006/relationships/hyperlink" Target="https://agencies.semrush.com/list/dubai/" TargetMode="External"/><Relationship Id="rId2207" Type="http://schemas.openxmlformats.org/officeDocument/2006/relationships/hyperlink" Target="http://hunchads.com" TargetMode="External"/><Relationship Id="rId21" Type="http://schemas.openxmlformats.org/officeDocument/2006/relationships/hyperlink" Target="https://growthhackers.digital/best-performance-marketing-agencies-in-uae/" TargetMode="External"/><Relationship Id="rId2208" Type="http://schemas.openxmlformats.org/officeDocument/2006/relationships/hyperlink" Target="https://hypebox.me/blog/articles/top-content-creation-agency-in-lebanon" TargetMode="External"/><Relationship Id="rId24" Type="http://schemas.openxmlformats.org/officeDocument/2006/relationships/hyperlink" Target="https://www.sortlist.com/s/marketing-analytics/dubai-ae" TargetMode="External"/><Relationship Id="rId2209" Type="http://schemas.openxmlformats.org/officeDocument/2006/relationships/hyperlink" Target="http://hypebox.me" TargetMode="External"/><Relationship Id="rId23" Type="http://schemas.openxmlformats.org/officeDocument/2006/relationships/hyperlink" Target="http://semrush.com" TargetMode="External"/><Relationship Id="rId767" Type="http://schemas.openxmlformats.org/officeDocument/2006/relationships/hyperlink" Target="https://www.entasher.com/ae/s/geo-companies/" TargetMode="External"/><Relationship Id="rId766" Type="http://schemas.openxmlformats.org/officeDocument/2006/relationships/hyperlink" Target="http://effective.ae" TargetMode="External"/><Relationship Id="rId765" Type="http://schemas.openxmlformats.org/officeDocument/2006/relationships/hyperlink" Target="https://effective.ae/advertising-agency/" TargetMode="External"/><Relationship Id="rId764" Type="http://schemas.openxmlformats.org/officeDocument/2006/relationships/hyperlink" Target="http://edvido.ae" TargetMode="External"/><Relationship Id="rId769" Type="http://schemas.openxmlformats.org/officeDocument/2006/relationships/hyperlink" Target="https://gcctechgroup.com/aeo-agency-in-dubai/" TargetMode="External"/><Relationship Id="rId768" Type="http://schemas.openxmlformats.org/officeDocument/2006/relationships/hyperlink" Target="http://entasher.com" TargetMode="External"/><Relationship Id="rId26" Type="http://schemas.openxmlformats.org/officeDocument/2006/relationships/hyperlink" Target="https://www.bicommunications.ae/blog/best-google-ads-agencies-uae/" TargetMode="External"/><Relationship Id="rId25" Type="http://schemas.openxmlformats.org/officeDocument/2006/relationships/hyperlink" Target="http://sortlist.com" TargetMode="External"/><Relationship Id="rId2680" Type="http://schemas.openxmlformats.org/officeDocument/2006/relationships/hyperlink" Target="http://shichifukutekx.ae" TargetMode="External"/><Relationship Id="rId28" Type="http://schemas.openxmlformats.org/officeDocument/2006/relationships/hyperlink" Target="https://www.sortlist.com/s/paid-media/united-arab-emirates-ae" TargetMode="External"/><Relationship Id="rId1350" Type="http://schemas.openxmlformats.org/officeDocument/2006/relationships/hyperlink" Target="http://google.com" TargetMode="External"/><Relationship Id="rId2681" Type="http://schemas.openxmlformats.org/officeDocument/2006/relationships/hyperlink" Target="https://www.signatureglobalmedia.com/programmatic-ads" TargetMode="External"/><Relationship Id="rId27" Type="http://schemas.openxmlformats.org/officeDocument/2006/relationships/hyperlink" Target="http://bicommunications.ae" TargetMode="External"/><Relationship Id="rId1351" Type="http://schemas.openxmlformats.org/officeDocument/2006/relationships/hyperlink" Target="https://govanator.com/best-social-media-marketing-services-in-dubai/" TargetMode="External"/><Relationship Id="rId2682" Type="http://schemas.openxmlformats.org/officeDocument/2006/relationships/hyperlink" Target="http://signatureglobalmedia.com" TargetMode="External"/><Relationship Id="rId763" Type="http://schemas.openxmlformats.org/officeDocument/2006/relationships/hyperlink" Target="https://www.edvido.ae/media-planning-agencies" TargetMode="External"/><Relationship Id="rId1352" Type="http://schemas.openxmlformats.org/officeDocument/2006/relationships/hyperlink" Target="http://govanator.com" TargetMode="External"/><Relationship Id="rId2683" Type="http://schemas.openxmlformats.org/officeDocument/2006/relationships/hyperlink" Target="https://www.silverbackstrategies.com/services/measurement/incrementality-testing/" TargetMode="External"/><Relationship Id="rId29" Type="http://schemas.openxmlformats.org/officeDocument/2006/relationships/hyperlink" Target="http://sortlist.com" TargetMode="External"/><Relationship Id="rId762" Type="http://schemas.openxmlformats.org/officeDocument/2006/relationships/hyperlink" Target="http://edelman.ae" TargetMode="External"/><Relationship Id="rId1353" Type="http://schemas.openxmlformats.org/officeDocument/2006/relationships/hyperlink" Target="https://www.gravitybase.ai/services/ai-and-ml-consulting/" TargetMode="External"/><Relationship Id="rId2200" Type="http://schemas.openxmlformats.org/officeDocument/2006/relationships/hyperlink" Target="https://hop.rocks/services/growth-strategy-and-intelligence/" TargetMode="External"/><Relationship Id="rId2684" Type="http://schemas.openxmlformats.org/officeDocument/2006/relationships/hyperlink" Target="http://silverbackstrategies.com" TargetMode="External"/><Relationship Id="rId761" Type="http://schemas.openxmlformats.org/officeDocument/2006/relationships/hyperlink" Target="https://www.edelman.ae/expertise/measurement-analytics" TargetMode="External"/><Relationship Id="rId1354" Type="http://schemas.openxmlformats.org/officeDocument/2006/relationships/hyperlink" Target="http://gravitybase.ai" TargetMode="External"/><Relationship Id="rId2201" Type="http://schemas.openxmlformats.org/officeDocument/2006/relationships/hyperlink" Target="https://www.hostino.ae/ai-geo-agency-ajman/" TargetMode="External"/><Relationship Id="rId2685" Type="http://schemas.openxmlformats.org/officeDocument/2006/relationships/hyperlink" Target="https://simplicitymedia.com/services/measurement-optimization/" TargetMode="External"/><Relationship Id="rId760" Type="http://schemas.openxmlformats.org/officeDocument/2006/relationships/hyperlink" Target="http://digitalnexa.com" TargetMode="External"/><Relationship Id="rId1355" Type="http://schemas.openxmlformats.org/officeDocument/2006/relationships/hyperlink" Target="https://www.growthspreeofficial.com/blogs/top-6-ai-powered-b2b-saas-marketing-agencies-in-the-united-states-2026" TargetMode="External"/><Relationship Id="rId2202" Type="http://schemas.openxmlformats.org/officeDocument/2006/relationships/hyperlink" Target="http://hostino.ae" TargetMode="External"/><Relationship Id="rId2686" Type="http://schemas.openxmlformats.org/officeDocument/2006/relationships/hyperlink" Target="http://simplicitymedia.com" TargetMode="External"/><Relationship Id="rId1345" Type="http://schemas.openxmlformats.org/officeDocument/2006/relationships/hyperlink" Target="https://www.goodfirms.co/advertising-companies/creative/dubai" TargetMode="External"/><Relationship Id="rId2676" Type="http://schemas.openxmlformats.org/officeDocument/2006/relationships/hyperlink" Target="http://shazzco.com" TargetMode="External"/><Relationship Id="rId1346" Type="http://schemas.openxmlformats.org/officeDocument/2006/relationships/hyperlink" Target="http://goodfirms.co" TargetMode="External"/><Relationship Id="rId2677" Type="http://schemas.openxmlformats.org/officeDocument/2006/relationships/hyperlink" Target="https://shichifukutekx.ae/services/ai-tech-consulting-strategic-ai-adoption/" TargetMode="External"/><Relationship Id="rId1347" Type="http://schemas.openxmlformats.org/officeDocument/2006/relationships/hyperlink" Target="https://www.goodfirms.co/directory/country/top-digital-marketing-companies/social-media-marketing/uae" TargetMode="External"/><Relationship Id="rId2678" Type="http://schemas.openxmlformats.org/officeDocument/2006/relationships/hyperlink" Target="http://shichifukutekx.ae" TargetMode="External"/><Relationship Id="rId1348" Type="http://schemas.openxmlformats.org/officeDocument/2006/relationships/hyperlink" Target="http://goodfirms.co" TargetMode="External"/><Relationship Id="rId2679" Type="http://schemas.openxmlformats.org/officeDocument/2006/relationships/hyperlink" Target="https://shichifukutekx.ae/services/industry-specific-ai-consulting-solutions/" TargetMode="External"/><Relationship Id="rId11" Type="http://schemas.openxmlformats.org/officeDocument/2006/relationships/hyperlink" Target="https://www.digitalgravity.ae/blog/top-answer-engine-optimization-aeo-agencies-in-dubai/" TargetMode="External"/><Relationship Id="rId1349" Type="http://schemas.openxmlformats.org/officeDocument/2006/relationships/hyperlink" Target="https://www.google.com/ads/publisher/partners/work-with-a-partner/" TargetMode="External"/><Relationship Id="rId10" Type="http://schemas.openxmlformats.org/officeDocument/2006/relationships/hyperlink" Target="http://digitalagencynetwork.com" TargetMode="External"/><Relationship Id="rId13" Type="http://schemas.openxmlformats.org/officeDocument/2006/relationships/hyperlink" Target="https://www.phable.io/top-creative-agencies/top-10-creative-agencies-operating-in-the-uae" TargetMode="External"/><Relationship Id="rId12" Type="http://schemas.openxmlformats.org/officeDocument/2006/relationships/hyperlink" Target="http://digitalgravity.ae" TargetMode="External"/><Relationship Id="rId756" Type="http://schemas.openxmlformats.org/officeDocument/2006/relationships/hyperlink" Target="http://digitalimpressions.ae" TargetMode="External"/><Relationship Id="rId755" Type="http://schemas.openxmlformats.org/officeDocument/2006/relationships/hyperlink" Target="https://digitalimpressions.ae/blog/best-performance-marketing-agency-in-dubai-a-complete-guide-for-businesses/" TargetMode="External"/><Relationship Id="rId754" Type="http://schemas.openxmlformats.org/officeDocument/2006/relationships/hyperlink" Target="http://decisionfoundry.com" TargetMode="External"/><Relationship Id="rId753" Type="http://schemas.openxmlformats.org/officeDocument/2006/relationships/hyperlink" Target="https://www.decisionfoundry.com/marketing-measurement-analytics-services/" TargetMode="External"/><Relationship Id="rId759" Type="http://schemas.openxmlformats.org/officeDocument/2006/relationships/hyperlink" Target="https://www.digitalnexa.com/digital-marketing-agency-dubai" TargetMode="External"/><Relationship Id="rId758" Type="http://schemas.openxmlformats.org/officeDocument/2006/relationships/hyperlink" Target="http://digitalmediasapiens.com" TargetMode="External"/><Relationship Id="rId757" Type="http://schemas.openxmlformats.org/officeDocument/2006/relationships/hyperlink" Target="https://digitalmediasapiens.com/top-10-digital-agencies-in-dubai/" TargetMode="External"/><Relationship Id="rId15" Type="http://schemas.openxmlformats.org/officeDocument/2006/relationships/hyperlink" Target="https://www.housesofgrowth.com/post/ai-marketing-agencies-in-the-uae" TargetMode="External"/><Relationship Id="rId14" Type="http://schemas.openxmlformats.org/officeDocument/2006/relationships/hyperlink" Target="http://phable.io" TargetMode="External"/><Relationship Id="rId17" Type="http://schemas.openxmlformats.org/officeDocument/2006/relationships/hyperlink" Target="https://clutch.co/ae/agencies" TargetMode="External"/><Relationship Id="rId2670" Type="http://schemas.openxmlformats.org/officeDocument/2006/relationships/hyperlink" Target="http://seoworks.com" TargetMode="External"/><Relationship Id="rId16" Type="http://schemas.openxmlformats.org/officeDocument/2006/relationships/hyperlink" Target="http://housesofgrowth.com" TargetMode="External"/><Relationship Id="rId1340" Type="http://schemas.openxmlformats.org/officeDocument/2006/relationships/hyperlink" Target="http://globalmediainsight.com" TargetMode="External"/><Relationship Id="rId2671" Type="http://schemas.openxmlformats.org/officeDocument/2006/relationships/hyperlink" Target="https://shakostats.com/" TargetMode="External"/><Relationship Id="rId19" Type="http://schemas.openxmlformats.org/officeDocument/2006/relationships/hyperlink" Target="https://clutch.co/ae/agencies/digital-marketing" TargetMode="External"/><Relationship Id="rId752" Type="http://schemas.openxmlformats.org/officeDocument/2006/relationships/hyperlink" Target="http://datatrust.ae" TargetMode="External"/><Relationship Id="rId1341" Type="http://schemas.openxmlformats.org/officeDocument/2006/relationships/hyperlink" Target="https://www.globalmediainsight.com/generative-engine-optimization-services/" TargetMode="External"/><Relationship Id="rId2672" Type="http://schemas.openxmlformats.org/officeDocument/2006/relationships/hyperlink" Target="http://shakostats.com" TargetMode="External"/><Relationship Id="rId18" Type="http://schemas.openxmlformats.org/officeDocument/2006/relationships/hyperlink" Target="http://clutch.co" TargetMode="External"/><Relationship Id="rId751" Type="http://schemas.openxmlformats.org/officeDocument/2006/relationships/hyperlink" Target="https://www.datatrust.ae/" TargetMode="External"/><Relationship Id="rId1342" Type="http://schemas.openxmlformats.org/officeDocument/2006/relationships/hyperlink" Target="http://globalmediainsight.com" TargetMode="External"/><Relationship Id="rId2673" Type="http://schemas.openxmlformats.org/officeDocument/2006/relationships/hyperlink" Target="https://www.sharjahcustoms.gov.ae/en/AEO" TargetMode="External"/><Relationship Id="rId750" Type="http://schemas.openxmlformats.org/officeDocument/2006/relationships/hyperlink" Target="http://cosmopole.com" TargetMode="External"/><Relationship Id="rId1343" Type="http://schemas.openxmlformats.org/officeDocument/2006/relationships/hyperlink" Target="https://www.globalmediainsight.com/geo-targeting-seo/" TargetMode="External"/><Relationship Id="rId2674" Type="http://schemas.openxmlformats.org/officeDocument/2006/relationships/hyperlink" Target="http://sharjahcustoms.gov.ae" TargetMode="External"/><Relationship Id="rId1344" Type="http://schemas.openxmlformats.org/officeDocument/2006/relationships/hyperlink" Target="http://globalmediainsight.com" TargetMode="External"/><Relationship Id="rId2675" Type="http://schemas.openxmlformats.org/officeDocument/2006/relationships/hyperlink" Target="https://shazzco.com/adradar" TargetMode="External"/><Relationship Id="rId84" Type="http://schemas.openxmlformats.org/officeDocument/2006/relationships/hyperlink" Target="https://kineticcs.com/ai-consulting-services-in-dubai-kinetic-consultancy/" TargetMode="External"/><Relationship Id="rId1774" Type="http://schemas.openxmlformats.org/officeDocument/2006/relationships/hyperlink" Target="http://brandstory.ae" TargetMode="External"/><Relationship Id="rId2621" Type="http://schemas.openxmlformats.org/officeDocument/2006/relationships/hyperlink" Target="https://roq.ad/" TargetMode="External"/><Relationship Id="rId83" Type="http://schemas.openxmlformats.org/officeDocument/2006/relationships/hyperlink" Target="http://eseospace.com" TargetMode="External"/><Relationship Id="rId1775" Type="http://schemas.openxmlformats.org/officeDocument/2006/relationships/hyperlink" Target="https://brandsurge.ae/services/conversion-rate-optimization" TargetMode="External"/><Relationship Id="rId2622" Type="http://schemas.openxmlformats.org/officeDocument/2006/relationships/hyperlink" Target="http://roq.ad" TargetMode="External"/><Relationship Id="rId86" Type="http://schemas.openxmlformats.org/officeDocument/2006/relationships/hyperlink" Target="https://www.mcsaatchiperformance.com/dubai/" TargetMode="External"/><Relationship Id="rId1776" Type="http://schemas.openxmlformats.org/officeDocument/2006/relationships/hyperlink" Target="http://brandsurge.ae" TargetMode="External"/><Relationship Id="rId2623" Type="http://schemas.openxmlformats.org/officeDocument/2006/relationships/hyperlink" Target="https://www.royex.ae/blog/top-20-seo-agencies-in-dubai-2026-updated-list/" TargetMode="External"/><Relationship Id="rId85" Type="http://schemas.openxmlformats.org/officeDocument/2006/relationships/hyperlink" Target="http://kineticcs.com" TargetMode="External"/><Relationship Id="rId1777" Type="http://schemas.openxmlformats.org/officeDocument/2006/relationships/hyperlink" Target="https://brutal-simplicity-of-thought.com/about.html" TargetMode="External"/><Relationship Id="rId2624" Type="http://schemas.openxmlformats.org/officeDocument/2006/relationships/hyperlink" Target="http://royex.ae" TargetMode="External"/><Relationship Id="rId88" Type="http://schemas.openxmlformats.org/officeDocument/2006/relationships/hyperlink" Target="https://www.solved6.com/blogs/best-digital-marketing-agencies-dubai-2026-report" TargetMode="External"/><Relationship Id="rId1778" Type="http://schemas.openxmlformats.org/officeDocument/2006/relationships/hyperlink" Target="http://brutal-simplicity-of-thought.com" TargetMode="External"/><Relationship Id="rId2625" Type="http://schemas.openxmlformats.org/officeDocument/2006/relationships/hyperlink" Target="https://rsxigital.com/ae/" TargetMode="External"/><Relationship Id="rId87" Type="http://schemas.openxmlformats.org/officeDocument/2006/relationships/hyperlink" Target="http://mcsaatchiperformance.com" TargetMode="External"/><Relationship Id="rId1779" Type="http://schemas.openxmlformats.org/officeDocument/2006/relationships/hyperlink" Target="https://business.adobe.com/au/blog/basics/marketing-attribution" TargetMode="External"/><Relationship Id="rId2626" Type="http://schemas.openxmlformats.org/officeDocument/2006/relationships/hyperlink" Target="http://rsxigital.com" TargetMode="External"/><Relationship Id="rId2627" Type="http://schemas.openxmlformats.org/officeDocument/2006/relationships/hyperlink" Target="https://www.ruleranalytics.com/data-driven-attribution/" TargetMode="External"/><Relationship Id="rId89" Type="http://schemas.openxmlformats.org/officeDocument/2006/relationships/hyperlink" Target="http://solved6.com" TargetMode="External"/><Relationship Id="rId2628" Type="http://schemas.openxmlformats.org/officeDocument/2006/relationships/hyperlink" Target="http://ruleranalytics.com" TargetMode="External"/><Relationship Id="rId709" Type="http://schemas.openxmlformats.org/officeDocument/2006/relationships/hyperlink" Target="https://nomadx.ae/services/" TargetMode="External"/><Relationship Id="rId2629" Type="http://schemas.openxmlformats.org/officeDocument/2006/relationships/hyperlink" Target="https://sa.linkedin.com/in/edouard-daou" TargetMode="External"/><Relationship Id="rId708" Type="http://schemas.openxmlformats.org/officeDocument/2006/relationships/hyperlink" Target="http://idhlagency.com" TargetMode="External"/><Relationship Id="rId707" Type="http://schemas.openxmlformats.org/officeDocument/2006/relationships/hyperlink" Target="https://www.idhlagency.com/digital-marketing/measurement-attribution" TargetMode="External"/><Relationship Id="rId706" Type="http://schemas.openxmlformats.org/officeDocument/2006/relationships/hyperlink" Target="http://ichelonconsulting.com" TargetMode="External"/><Relationship Id="rId80" Type="http://schemas.openxmlformats.org/officeDocument/2006/relationships/hyperlink" Target="https://byteeit.com/blog/best-google-partners-in-uae" TargetMode="External"/><Relationship Id="rId82" Type="http://schemas.openxmlformats.org/officeDocument/2006/relationships/hyperlink" Target="https://eseospace.com/blog/best-ai-seo-consultants-dubai-2026/" TargetMode="External"/><Relationship Id="rId81" Type="http://schemas.openxmlformats.org/officeDocument/2006/relationships/hyperlink" Target="http://byteeit.com" TargetMode="External"/><Relationship Id="rId701" Type="http://schemas.openxmlformats.org/officeDocument/2006/relationships/hyperlink" Target="https://www.google.com/partners/" TargetMode="External"/><Relationship Id="rId700" Type="http://schemas.openxmlformats.org/officeDocument/2006/relationships/hyperlink" Target="http://goodfirms.co" TargetMode="External"/><Relationship Id="rId705" Type="http://schemas.openxmlformats.org/officeDocument/2006/relationships/hyperlink" Target="https://ichelonconsulting.com/ai-agency-uae" TargetMode="External"/><Relationship Id="rId704" Type="http://schemas.openxmlformats.org/officeDocument/2006/relationships/hyperlink" Target="http://hikemytraffic.com" TargetMode="External"/><Relationship Id="rId703" Type="http://schemas.openxmlformats.org/officeDocument/2006/relationships/hyperlink" Target="https://hikemytraffic.com/best-ai-digital-marketing-agency-in-dubai/" TargetMode="External"/><Relationship Id="rId702" Type="http://schemas.openxmlformats.org/officeDocument/2006/relationships/hyperlink" Target="http://google.com" TargetMode="External"/><Relationship Id="rId1770" Type="http://schemas.openxmlformats.org/officeDocument/2006/relationships/hyperlink" Target="http://brandstory.ae" TargetMode="External"/><Relationship Id="rId1771" Type="http://schemas.openxmlformats.org/officeDocument/2006/relationships/hyperlink" Target="https://www.brandstory.ae/marketing-performance-reporting-abu-dhabi/" TargetMode="External"/><Relationship Id="rId1772" Type="http://schemas.openxmlformats.org/officeDocument/2006/relationships/hyperlink" Target="http://brandstory.ae" TargetMode="External"/><Relationship Id="rId1773" Type="http://schemas.openxmlformats.org/officeDocument/2006/relationships/hyperlink" Target="https://www.brandstory.ae/marketing-performance-reporting-services-in-ajman/" TargetMode="External"/><Relationship Id="rId2620" Type="http://schemas.openxmlformats.org/officeDocument/2006/relationships/hyperlink" Target="http://ronstudios.com" TargetMode="External"/><Relationship Id="rId73" Type="http://schemas.openxmlformats.org/officeDocument/2006/relationships/hyperlink" Target="http://bicommunications.ae" TargetMode="External"/><Relationship Id="rId1763" Type="http://schemas.openxmlformats.org/officeDocument/2006/relationships/hyperlink" Target="https://www.brandstory.ae/ai-seo-agency-in-dubai-uae/" TargetMode="External"/><Relationship Id="rId2610" Type="http://schemas.openxmlformats.org/officeDocument/2006/relationships/hyperlink" Target="http://roashack.com" TargetMode="External"/><Relationship Id="rId72" Type="http://schemas.openxmlformats.org/officeDocument/2006/relationships/hyperlink" Target="https://www.bicommunications.ae/blog/best-social-media-marketing-agencies-uae/" TargetMode="External"/><Relationship Id="rId1764" Type="http://schemas.openxmlformats.org/officeDocument/2006/relationships/hyperlink" Target="http://brandstory.ae" TargetMode="External"/><Relationship Id="rId2611" Type="http://schemas.openxmlformats.org/officeDocument/2006/relationships/hyperlink" Target="https://roasifymedia.com/" TargetMode="External"/><Relationship Id="rId75" Type="http://schemas.openxmlformats.org/officeDocument/2006/relationships/hyperlink" Target="http://hashtag-me.com" TargetMode="External"/><Relationship Id="rId1765" Type="http://schemas.openxmlformats.org/officeDocument/2006/relationships/hyperlink" Target="https://www.brandstory.ae/blogs/digital-marketing-agency-in-abu-dhabi-2026/" TargetMode="External"/><Relationship Id="rId2612" Type="http://schemas.openxmlformats.org/officeDocument/2006/relationships/hyperlink" Target="http://roasifymedia.com" TargetMode="External"/><Relationship Id="rId74" Type="http://schemas.openxmlformats.org/officeDocument/2006/relationships/hyperlink" Target="https://hashtag-me.com/services/social-media-agency-paid-social/" TargetMode="External"/><Relationship Id="rId1766" Type="http://schemas.openxmlformats.org/officeDocument/2006/relationships/hyperlink" Target="http://brandstory.ae" TargetMode="External"/><Relationship Id="rId2613" Type="http://schemas.openxmlformats.org/officeDocument/2006/relationships/hyperlink" Target="https://www.rockerbox.com/faq/what-is-a-geo-lift-test" TargetMode="External"/><Relationship Id="rId77" Type="http://schemas.openxmlformats.org/officeDocument/2006/relationships/hyperlink" Target="http://theuaeblog.com" TargetMode="External"/><Relationship Id="rId1767" Type="http://schemas.openxmlformats.org/officeDocument/2006/relationships/hyperlink" Target="https://www.brandstory.ae/industries/b2b-conversion-rate-optimization-dubai-uae/" TargetMode="External"/><Relationship Id="rId2614" Type="http://schemas.openxmlformats.org/officeDocument/2006/relationships/hyperlink" Target="http://rockerbox.com" TargetMode="External"/><Relationship Id="rId76" Type="http://schemas.openxmlformats.org/officeDocument/2006/relationships/hyperlink" Target="https://theuaeblog.com/work/top-10-marketing-analytics-agencies-in-the-uae/" TargetMode="External"/><Relationship Id="rId1768" Type="http://schemas.openxmlformats.org/officeDocument/2006/relationships/hyperlink" Target="http://brandstory.ae" TargetMode="External"/><Relationship Id="rId2615" Type="http://schemas.openxmlformats.org/officeDocument/2006/relationships/hyperlink" Target="https://www.rockerbox.com/testing" TargetMode="External"/><Relationship Id="rId79" Type="http://schemas.openxmlformats.org/officeDocument/2006/relationships/hyperlink" Target="http://applabx.com" TargetMode="External"/><Relationship Id="rId1769" Type="http://schemas.openxmlformats.org/officeDocument/2006/relationships/hyperlink" Target="https://www.brandstory.ae/industries/e-commerce-performance-marketing-agency-in-dubai-uae/" TargetMode="External"/><Relationship Id="rId2616" Type="http://schemas.openxmlformats.org/officeDocument/2006/relationships/hyperlink" Target="http://rockerbox.com" TargetMode="External"/><Relationship Id="rId78" Type="http://schemas.openxmlformats.org/officeDocument/2006/relationships/hyperlink" Target="https://blog.applabx.com/top-10-geo-agencies-in-the-united-arab-emirates-uae-in-2026/" TargetMode="External"/><Relationship Id="rId2617" Type="http://schemas.openxmlformats.org/officeDocument/2006/relationships/hyperlink" Target="https://roirevolution.com/blog/incrementality-testing-to-guide-better-marketing-decisions/" TargetMode="External"/><Relationship Id="rId2618" Type="http://schemas.openxmlformats.org/officeDocument/2006/relationships/hyperlink" Target="http://roirevolution.com" TargetMode="External"/><Relationship Id="rId2619" Type="http://schemas.openxmlformats.org/officeDocument/2006/relationships/hyperlink" Target="https://www.ronstudios.com/digital-marketing-dubai" TargetMode="External"/><Relationship Id="rId71" Type="http://schemas.openxmlformats.org/officeDocument/2006/relationships/hyperlink" Target="http://apptunix.ae" TargetMode="External"/><Relationship Id="rId70" Type="http://schemas.openxmlformats.org/officeDocument/2006/relationships/hyperlink" Target="https://www.apptunix.ae/digital-marketing-agency-dubai-uae/" TargetMode="External"/><Relationship Id="rId1760" Type="http://schemas.openxmlformats.org/officeDocument/2006/relationships/hyperlink" Target="http://brandedagency.com" TargetMode="External"/><Relationship Id="rId1761" Type="http://schemas.openxmlformats.org/officeDocument/2006/relationships/hyperlink" Target="https://www.brandstory.ae/" TargetMode="External"/><Relationship Id="rId1762" Type="http://schemas.openxmlformats.org/officeDocument/2006/relationships/hyperlink" Target="http://brandstory.ae" TargetMode="External"/><Relationship Id="rId62" Type="http://schemas.openxmlformats.org/officeDocument/2006/relationships/hyperlink" Target="https://www.housesofgrowth.com/post/growth-marketing-agencies-in-the-uae" TargetMode="External"/><Relationship Id="rId1312" Type="http://schemas.openxmlformats.org/officeDocument/2006/relationships/hyperlink" Target="https://www.drivix.io/" TargetMode="External"/><Relationship Id="rId1796" Type="http://schemas.openxmlformats.org/officeDocument/2006/relationships/hyperlink" Target="http://campaignme.com" TargetMode="External"/><Relationship Id="rId2643" Type="http://schemas.openxmlformats.org/officeDocument/2006/relationships/hyperlink" Target="https://segmentstream.com/glossary/incrementality-testing-vs-media-mix-modelling" TargetMode="External"/><Relationship Id="rId61" Type="http://schemas.openxmlformats.org/officeDocument/2006/relationships/hyperlink" Target="http://sortlist.com" TargetMode="External"/><Relationship Id="rId1313" Type="http://schemas.openxmlformats.org/officeDocument/2006/relationships/hyperlink" Target="http://drivix.io" TargetMode="External"/><Relationship Id="rId1797" Type="http://schemas.openxmlformats.org/officeDocument/2006/relationships/hyperlink" Target="https://campaignme.com/from-personalisation-to-prediction/" TargetMode="External"/><Relationship Id="rId2644" Type="http://schemas.openxmlformats.org/officeDocument/2006/relationships/hyperlink" Target="http://segmentstream.com" TargetMode="External"/><Relationship Id="rId64" Type="http://schemas.openxmlformats.org/officeDocument/2006/relationships/hyperlink" Target="https://www.spiderworks.ae/blog/digital-marketing-agencies-in-dubai-uae" TargetMode="External"/><Relationship Id="rId1314" Type="http://schemas.openxmlformats.org/officeDocument/2006/relationships/hyperlink" Target="https://dss-ai.com/what-uae-industries-need-from-a-digital-marketing-agency-to-stay-competitive-in-2026/" TargetMode="External"/><Relationship Id="rId1798" Type="http://schemas.openxmlformats.org/officeDocument/2006/relationships/hyperlink" Target="http://campaignme.com" TargetMode="External"/><Relationship Id="rId2645" Type="http://schemas.openxmlformats.org/officeDocument/2006/relationships/hyperlink" Target="https://segmentstream.com/measurement-engine/incrementality" TargetMode="External"/><Relationship Id="rId63" Type="http://schemas.openxmlformats.org/officeDocument/2006/relationships/hyperlink" Target="http://housesofgrowth.com" TargetMode="External"/><Relationship Id="rId1315" Type="http://schemas.openxmlformats.org/officeDocument/2006/relationships/hyperlink" Target="http://dss-ai.com" TargetMode="External"/><Relationship Id="rId1799" Type="http://schemas.openxmlformats.org/officeDocument/2006/relationships/hyperlink" Target="https://campaignme.com/publicis-groupes-performics-secures-gmp-partner-reseller-status/" TargetMode="External"/><Relationship Id="rId2646" Type="http://schemas.openxmlformats.org/officeDocument/2006/relationships/hyperlink" Target="http://segmentstream.com" TargetMode="External"/><Relationship Id="rId66" Type="http://schemas.openxmlformats.org/officeDocument/2006/relationships/hyperlink" Target="https://techbullion.com/best-aeo-agency-in-dubai-2026-how-to-choose-and-the-top-options-compared/" TargetMode="External"/><Relationship Id="rId1316" Type="http://schemas.openxmlformats.org/officeDocument/2006/relationships/hyperlink" Target="https://dynamictech.ae/digital-marketing-agency-abu-dhabi/" TargetMode="External"/><Relationship Id="rId2647" Type="http://schemas.openxmlformats.org/officeDocument/2006/relationships/hyperlink" Target="https://segmentstream.com/solutions/incrementality-testing" TargetMode="External"/><Relationship Id="rId65" Type="http://schemas.openxmlformats.org/officeDocument/2006/relationships/hyperlink" Target="http://spiderworks.ae" TargetMode="External"/><Relationship Id="rId1317" Type="http://schemas.openxmlformats.org/officeDocument/2006/relationships/hyperlink" Target="http://dynamictech.ae" TargetMode="External"/><Relationship Id="rId2648" Type="http://schemas.openxmlformats.org/officeDocument/2006/relationships/hyperlink" Target="http://segmentstream.com" TargetMode="External"/><Relationship Id="rId68" Type="http://schemas.openxmlformats.org/officeDocument/2006/relationships/hyperlink" Target="https://agencies.semrush.com/list/advertising/dubai/" TargetMode="External"/><Relationship Id="rId1318" Type="http://schemas.openxmlformats.org/officeDocument/2006/relationships/hyperlink" Target="https://e-cens.com/solutions/google-marketing-platform/" TargetMode="External"/><Relationship Id="rId2649" Type="http://schemas.openxmlformats.org/officeDocument/2006/relationships/hyperlink" Target="https://segwise.ai/blog/ad-creative-testing-strategies-guide" TargetMode="External"/><Relationship Id="rId67" Type="http://schemas.openxmlformats.org/officeDocument/2006/relationships/hyperlink" Target="http://techbullion.com" TargetMode="External"/><Relationship Id="rId1319" Type="http://schemas.openxmlformats.org/officeDocument/2006/relationships/hyperlink" Target="http://e-cens.com" TargetMode="External"/><Relationship Id="rId729" Type="http://schemas.openxmlformats.org/officeDocument/2006/relationships/hyperlink" Target="https://support.google.com/tagmanager/answer/7237700?hl=en-GB" TargetMode="External"/><Relationship Id="rId728" Type="http://schemas.openxmlformats.org/officeDocument/2006/relationships/hyperlink" Target="http://spiderworks.ae" TargetMode="External"/><Relationship Id="rId60" Type="http://schemas.openxmlformats.org/officeDocument/2006/relationships/hyperlink" Target="https://www.sortlist.com/s/marketing-analytics/united-arab-emirates-ae" TargetMode="External"/><Relationship Id="rId723" Type="http://schemas.openxmlformats.org/officeDocument/2006/relationships/hyperlink" Target="https://www.sortlist.com/s/display-advertising/dubai-ae?page=2" TargetMode="External"/><Relationship Id="rId722" Type="http://schemas.openxmlformats.org/officeDocument/2006/relationships/hyperlink" Target="http://sortlist.com" TargetMode="External"/><Relationship Id="rId721" Type="http://schemas.openxmlformats.org/officeDocument/2006/relationships/hyperlink" Target="https://www.sortlist.com/s/billboard-advertising/united-arab-emirates-ae" TargetMode="External"/><Relationship Id="rId720" Type="http://schemas.openxmlformats.org/officeDocument/2006/relationships/hyperlink" Target="http://socialchameleon.com" TargetMode="External"/><Relationship Id="rId727" Type="http://schemas.openxmlformats.org/officeDocument/2006/relationships/hyperlink" Target="https://www.spiderworks.ae/google-ads" TargetMode="External"/><Relationship Id="rId726" Type="http://schemas.openxmlformats.org/officeDocument/2006/relationships/hyperlink" Target="http://spiderworks.ae" TargetMode="External"/><Relationship Id="rId725" Type="http://schemas.openxmlformats.org/officeDocument/2006/relationships/hyperlink" Target="https://www.spiderworks.ae/blog/google-premier-partner-agencies-in-dubai" TargetMode="External"/><Relationship Id="rId724" Type="http://schemas.openxmlformats.org/officeDocument/2006/relationships/hyperlink" Target="http://sortlist.com" TargetMode="External"/><Relationship Id="rId69" Type="http://schemas.openxmlformats.org/officeDocument/2006/relationships/hyperlink" Target="http://semrush.com" TargetMode="External"/><Relationship Id="rId1790" Type="http://schemas.openxmlformats.org/officeDocument/2006/relationships/hyperlink" Target="http://businessofapps.com" TargetMode="External"/><Relationship Id="rId1791" Type="http://schemas.openxmlformats.org/officeDocument/2006/relationships/hyperlink" Target="https://buyradar.ai/services/agency-services/" TargetMode="External"/><Relationship Id="rId1792" Type="http://schemas.openxmlformats.org/officeDocument/2006/relationships/hyperlink" Target="http://buyradar.ai" TargetMode="External"/><Relationship Id="rId1793" Type="http://schemas.openxmlformats.org/officeDocument/2006/relationships/hyperlink" Target="https://www.c3metrics.com/c3metrics-solutions" TargetMode="External"/><Relationship Id="rId2640" Type="http://schemas.openxmlformats.org/officeDocument/2006/relationships/hyperlink" Target="http://segmentstream.com" TargetMode="External"/><Relationship Id="rId1310" Type="http://schemas.openxmlformats.org/officeDocument/2006/relationships/hyperlink" Target="https://directiveconsulting.com/blog/top-performance-marketing-agencies/" TargetMode="External"/><Relationship Id="rId1794" Type="http://schemas.openxmlformats.org/officeDocument/2006/relationships/hyperlink" Target="http://c3metrics.com" TargetMode="External"/><Relationship Id="rId2641" Type="http://schemas.openxmlformats.org/officeDocument/2006/relationships/hyperlink" Target="https://segmentstream.com/glossary/incrementality-testing" TargetMode="External"/><Relationship Id="rId1311" Type="http://schemas.openxmlformats.org/officeDocument/2006/relationships/hyperlink" Target="http://directiveconsulting.com" TargetMode="External"/><Relationship Id="rId1795" Type="http://schemas.openxmlformats.org/officeDocument/2006/relationships/hyperlink" Target="https://campaignme.com/agency/chain-reaction/" TargetMode="External"/><Relationship Id="rId2642" Type="http://schemas.openxmlformats.org/officeDocument/2006/relationships/hyperlink" Target="http://segmentstream.com" TargetMode="External"/><Relationship Id="rId51" Type="http://schemas.openxmlformats.org/officeDocument/2006/relationships/hyperlink" Target="http://globalmediainsight.com" TargetMode="External"/><Relationship Id="rId1301" Type="http://schemas.openxmlformats.org/officeDocument/2006/relationships/hyperlink" Target="http://digital-agency.ae" TargetMode="External"/><Relationship Id="rId1785" Type="http://schemas.openxmlformats.org/officeDocument/2006/relationships/hyperlink" Target="https://www.businessinsider.com/ai-search-reshapes-seo-fueling-geo-gold-rush-2025-11" TargetMode="External"/><Relationship Id="rId2632" Type="http://schemas.openxmlformats.org/officeDocument/2006/relationships/hyperlink" Target="http://sacscreativemedia.com" TargetMode="External"/><Relationship Id="rId50" Type="http://schemas.openxmlformats.org/officeDocument/2006/relationships/hyperlink" Target="https://www.globalmediainsight.com/blog/digital-marketing-companies-dubai/" TargetMode="External"/><Relationship Id="rId1302" Type="http://schemas.openxmlformats.org/officeDocument/2006/relationships/hyperlink" Target="https://www.digitalarabia.ae/top-performance-marketing-companies-dubai" TargetMode="External"/><Relationship Id="rId1786" Type="http://schemas.openxmlformats.org/officeDocument/2006/relationships/hyperlink" Target="http://businessinsider.com" TargetMode="External"/><Relationship Id="rId2633" Type="http://schemas.openxmlformats.org/officeDocument/2006/relationships/hyperlink" Target="https://www.sapience.ae/primary-research-services-in-dubai-uae/" TargetMode="External"/><Relationship Id="rId53" Type="http://schemas.openxmlformats.org/officeDocument/2006/relationships/hyperlink" Target="http://thehovi.com" TargetMode="External"/><Relationship Id="rId1303" Type="http://schemas.openxmlformats.org/officeDocument/2006/relationships/hyperlink" Target="http://digitalarabia.ae" TargetMode="External"/><Relationship Id="rId1787" Type="http://schemas.openxmlformats.org/officeDocument/2006/relationships/hyperlink" Target="https://www.businessofapps.com/marketplace/ai-marketing/" TargetMode="External"/><Relationship Id="rId2634" Type="http://schemas.openxmlformats.org/officeDocument/2006/relationships/hyperlink" Target="http://sapience.ae" TargetMode="External"/><Relationship Id="rId52" Type="http://schemas.openxmlformats.org/officeDocument/2006/relationships/hyperlink" Target="https://thehovi.com/blog/agency-insights/top-10-digital-marketing-agencies-dubai-2026" TargetMode="External"/><Relationship Id="rId1304" Type="http://schemas.openxmlformats.org/officeDocument/2006/relationships/hyperlink" Target="https://digitalmediasapiens.com/top-10-digital-marketing-agencies-in-dubai/" TargetMode="External"/><Relationship Id="rId1788" Type="http://schemas.openxmlformats.org/officeDocument/2006/relationships/hyperlink" Target="http://businessofapps.com" TargetMode="External"/><Relationship Id="rId2635" Type="http://schemas.openxmlformats.org/officeDocument/2006/relationships/hyperlink" Target="https://www.sapience.ae/uae-and-gcc-consumer-survey-insights/" TargetMode="External"/><Relationship Id="rId55" Type="http://schemas.openxmlformats.org/officeDocument/2006/relationships/hyperlink" Target="http://phable.io" TargetMode="External"/><Relationship Id="rId1305" Type="http://schemas.openxmlformats.org/officeDocument/2006/relationships/hyperlink" Target="http://digitalmediasapiens.com" TargetMode="External"/><Relationship Id="rId1789" Type="http://schemas.openxmlformats.org/officeDocument/2006/relationships/hyperlink" Target="https://www.businessofapps.com/marketplace/growth-marketing/" TargetMode="External"/><Relationship Id="rId2636" Type="http://schemas.openxmlformats.org/officeDocument/2006/relationships/hyperlink" Target="http://sapience.ae" TargetMode="External"/><Relationship Id="rId54" Type="http://schemas.openxmlformats.org/officeDocument/2006/relationships/hyperlink" Target="https://www.phable.io/top-creative-agencies/top-10-creative-agencies-in-the-middle-east-2025" TargetMode="External"/><Relationship Id="rId1306" Type="http://schemas.openxmlformats.org/officeDocument/2006/relationships/hyperlink" Target="https://digitalmediasapiens.com/top-15-digital-marketing-agencies-in-dubai-your-ultimate-guide-to-finding-the-right-partner/" TargetMode="External"/><Relationship Id="rId2637" Type="http://schemas.openxmlformats.org/officeDocument/2006/relationships/hyperlink" Target="https://www.searchbloom.com/strategy/best-ai-seo-agency-companies-services-usa/" TargetMode="External"/><Relationship Id="rId57" Type="http://schemas.openxmlformats.org/officeDocument/2006/relationships/hyperlink" Target="http://reddit.com" TargetMode="External"/><Relationship Id="rId1307" Type="http://schemas.openxmlformats.org/officeDocument/2006/relationships/hyperlink" Target="http://digitalmediasapiens.com" TargetMode="External"/><Relationship Id="rId2638" Type="http://schemas.openxmlformats.org/officeDocument/2006/relationships/hyperlink" Target="http://searchbloom.com" TargetMode="External"/><Relationship Id="rId56" Type="http://schemas.openxmlformats.org/officeDocument/2006/relationships/hyperlink" Target="https://www.reddit.com/r/UAE/comments/1gt9dr2/which_is_the_best_performance_marketing_agency_in/" TargetMode="External"/><Relationship Id="rId1308" Type="http://schemas.openxmlformats.org/officeDocument/2006/relationships/hyperlink" Target="https://digitaloasisae.com/advertising-agencies-in-dubai-media-city/" TargetMode="External"/><Relationship Id="rId2639" Type="http://schemas.openxmlformats.org/officeDocument/2006/relationships/hyperlink" Target="https://segmentstream.com/blog/articles/measured-com-alternatives" TargetMode="External"/><Relationship Id="rId1309" Type="http://schemas.openxmlformats.org/officeDocument/2006/relationships/hyperlink" Target="http://digitaloasisae.com" TargetMode="External"/><Relationship Id="rId719" Type="http://schemas.openxmlformats.org/officeDocument/2006/relationships/hyperlink" Target="https://socialchameleon.com/blog/top-25-digital-marketing-agencies-in-the-uae/" TargetMode="External"/><Relationship Id="rId718" Type="http://schemas.openxmlformats.org/officeDocument/2006/relationships/hyperlink" Target="http://seotechexperts.ae" TargetMode="External"/><Relationship Id="rId717" Type="http://schemas.openxmlformats.org/officeDocument/2006/relationships/hyperlink" Target="https://www.seotechexperts.ae/" TargetMode="External"/><Relationship Id="rId712" Type="http://schemas.openxmlformats.org/officeDocument/2006/relationships/hyperlink" Target="http://reddit.com" TargetMode="External"/><Relationship Id="rId711" Type="http://schemas.openxmlformats.org/officeDocument/2006/relationships/hyperlink" Target="https://www.reddit.com/r/uaemarketing/comments/1m9pccx/top_rated_generative_engine_optimization_geo/" TargetMode="External"/><Relationship Id="rId710" Type="http://schemas.openxmlformats.org/officeDocument/2006/relationships/hyperlink" Target="http://nomadx.ae" TargetMode="External"/><Relationship Id="rId716" Type="http://schemas.openxmlformats.org/officeDocument/2006/relationships/hyperlink" Target="http://searchengineoptimization.ae" TargetMode="External"/><Relationship Id="rId715" Type="http://schemas.openxmlformats.org/officeDocument/2006/relationships/hyperlink" Target="https://searchengineoptimization.ae/ai-seo" TargetMode="External"/><Relationship Id="rId714" Type="http://schemas.openxmlformats.org/officeDocument/2006/relationships/hyperlink" Target="http://s360digital.com" TargetMode="External"/><Relationship Id="rId713" Type="http://schemas.openxmlformats.org/officeDocument/2006/relationships/hyperlink" Target="https://s360digital.com/capabilities/data/incrementality-testing/" TargetMode="External"/><Relationship Id="rId59" Type="http://schemas.openxmlformats.org/officeDocument/2006/relationships/hyperlink" Target="http://sortlist.com" TargetMode="External"/><Relationship Id="rId58" Type="http://schemas.openxmlformats.org/officeDocument/2006/relationships/hyperlink" Target="https://www.sortlist.com/s/display-advertising/dubai-ae" TargetMode="External"/><Relationship Id="rId1780" Type="http://schemas.openxmlformats.org/officeDocument/2006/relationships/hyperlink" Target="http://adobe.com" TargetMode="External"/><Relationship Id="rId1781" Type="http://schemas.openxmlformats.org/officeDocument/2006/relationships/hyperlink" Target="https://business.google.com/in/think/marketing-strategies/incrementality-testing/" TargetMode="External"/><Relationship Id="rId1782" Type="http://schemas.openxmlformats.org/officeDocument/2006/relationships/hyperlink" Target="http://google.com" TargetMode="External"/><Relationship Id="rId1783" Type="http://schemas.openxmlformats.org/officeDocument/2006/relationships/hyperlink" Target="https://www.businessinsider.com/ai-adoption-strategies-companies-2026-7" TargetMode="External"/><Relationship Id="rId2630" Type="http://schemas.openxmlformats.org/officeDocument/2006/relationships/hyperlink" Target="http://linkedin.com" TargetMode="External"/><Relationship Id="rId1300" Type="http://schemas.openxmlformats.org/officeDocument/2006/relationships/hyperlink" Target="https://digital-agency.ae/analytics" TargetMode="External"/><Relationship Id="rId1784" Type="http://schemas.openxmlformats.org/officeDocument/2006/relationships/hyperlink" Target="http://businessinsider.com" TargetMode="External"/><Relationship Id="rId2631" Type="http://schemas.openxmlformats.org/officeDocument/2006/relationships/hyperlink" Target="https://sacscreativemedia.com/top-creative-agency-in-uae-unleash-with-sacs-creative-media/" TargetMode="External"/><Relationship Id="rId2269" Type="http://schemas.openxmlformats.org/officeDocument/2006/relationships/hyperlink" Target="https://info.measured.com/media-mix-modeling-demo" TargetMode="External"/><Relationship Id="rId349" Type="http://schemas.openxmlformats.org/officeDocument/2006/relationships/hyperlink" Target="https://www.designrush.com/agency/creative-agencies/ae/dubai" TargetMode="External"/><Relationship Id="rId348" Type="http://schemas.openxmlformats.org/officeDocument/2006/relationships/hyperlink" Target="http://cometly.com" TargetMode="External"/><Relationship Id="rId347" Type="http://schemas.openxmlformats.org/officeDocument/2006/relationships/hyperlink" Target="https://www.cometly.com/post/marketing-attribution-tools-for-agencies" TargetMode="External"/><Relationship Id="rId346" Type="http://schemas.openxmlformats.org/officeDocument/2006/relationships/hyperlink" Target="http://amraandelma.com" TargetMode="External"/><Relationship Id="rId2260" Type="http://schemas.openxmlformats.org/officeDocument/2006/relationships/hyperlink" Target="http://incubeta.com" TargetMode="External"/><Relationship Id="rId341" Type="http://schemas.openxmlformats.org/officeDocument/2006/relationships/hyperlink" Target="https://udjat.ae/ai-marketing-agency-uae/" TargetMode="External"/><Relationship Id="rId2261" Type="http://schemas.openxmlformats.org/officeDocument/2006/relationships/hyperlink" Target="https://www.influencer-hero.com/blogs/top-social-media-agencies-in-munich" TargetMode="External"/><Relationship Id="rId340" Type="http://schemas.openxmlformats.org/officeDocument/2006/relationships/hyperlink" Target="http://sortlist.com" TargetMode="External"/><Relationship Id="rId2262" Type="http://schemas.openxmlformats.org/officeDocument/2006/relationships/hyperlink" Target="http://influencer-hero.com" TargetMode="External"/><Relationship Id="rId2263" Type="http://schemas.openxmlformats.org/officeDocument/2006/relationships/hyperlink" Target="https://influencermarketinghub.com/ai-marketing-agencies/" TargetMode="External"/><Relationship Id="rId2264" Type="http://schemas.openxmlformats.org/officeDocument/2006/relationships/hyperlink" Target="http://influencermarketinghub.com" TargetMode="External"/><Relationship Id="rId345" Type="http://schemas.openxmlformats.org/officeDocument/2006/relationships/hyperlink" Target="https://www.amraandelma.com/marketing-agencies-in-the-united-arab-emirates/" TargetMode="External"/><Relationship Id="rId2265" Type="http://schemas.openxmlformats.org/officeDocument/2006/relationships/hyperlink" Target="https://influencermarketinghub.com/best-ai-agents-for-influencer-marketing/" TargetMode="External"/><Relationship Id="rId344" Type="http://schemas.openxmlformats.org/officeDocument/2006/relationships/hyperlink" Target="http://zainlee.com" TargetMode="External"/><Relationship Id="rId2266" Type="http://schemas.openxmlformats.org/officeDocument/2006/relationships/hyperlink" Target="http://influencermarketinghub.com" TargetMode="External"/><Relationship Id="rId343" Type="http://schemas.openxmlformats.org/officeDocument/2006/relationships/hyperlink" Target="https://zainlee.com/ai-geo-services-uae" TargetMode="External"/><Relationship Id="rId2267" Type="http://schemas.openxmlformats.org/officeDocument/2006/relationships/hyperlink" Target="https://influencermarketinghub.com/performance-marketing-agencies/" TargetMode="External"/><Relationship Id="rId342" Type="http://schemas.openxmlformats.org/officeDocument/2006/relationships/hyperlink" Target="http://udjat.ae" TargetMode="External"/><Relationship Id="rId2268" Type="http://schemas.openxmlformats.org/officeDocument/2006/relationships/hyperlink" Target="http://influencermarketinghub.com" TargetMode="External"/><Relationship Id="rId2258" Type="http://schemas.openxmlformats.org/officeDocument/2006/relationships/hyperlink" Target="http://incubeta.com" TargetMode="External"/><Relationship Id="rId2259" Type="http://schemas.openxmlformats.org/officeDocument/2006/relationships/hyperlink" Target="https://incubeta.com/solutions/" TargetMode="External"/><Relationship Id="rId338" Type="http://schemas.openxmlformats.org/officeDocument/2006/relationships/hyperlink" Target="http://sortlist.com" TargetMode="External"/><Relationship Id="rId337" Type="http://schemas.openxmlformats.org/officeDocument/2006/relationships/hyperlink" Target="https://www.sortlist.com/advertising/united-arab-emirates-ae" TargetMode="External"/><Relationship Id="rId336" Type="http://schemas.openxmlformats.org/officeDocument/2006/relationships/hyperlink" Target="http://semrush.com" TargetMode="External"/><Relationship Id="rId335" Type="http://schemas.openxmlformats.org/officeDocument/2006/relationships/hyperlink" Target="https://www.semrush.com/agencies/list/display-advertising/dubai/" TargetMode="External"/><Relationship Id="rId339" Type="http://schemas.openxmlformats.org/officeDocument/2006/relationships/hyperlink" Target="https://www.sortlist.com/s/creative/dubai-ae" TargetMode="External"/><Relationship Id="rId330" Type="http://schemas.openxmlformats.org/officeDocument/2006/relationships/hyperlink" Target="http://list-of-digital-marketing-companies-in-dubai.com" TargetMode="External"/><Relationship Id="rId2250" Type="http://schemas.openxmlformats.org/officeDocument/2006/relationships/hyperlink" Target="http://inbeat.co" TargetMode="External"/><Relationship Id="rId2251" Type="http://schemas.openxmlformats.org/officeDocument/2006/relationships/hyperlink" Target="https://www.incrmntal.com/" TargetMode="External"/><Relationship Id="rId2252" Type="http://schemas.openxmlformats.org/officeDocument/2006/relationships/hyperlink" Target="http://incrmntal.com" TargetMode="External"/><Relationship Id="rId2253" Type="http://schemas.openxmlformats.org/officeDocument/2006/relationships/hyperlink" Target="https://www.incrmntal.com/faq/what-is-incrementality-testing" TargetMode="External"/><Relationship Id="rId334" Type="http://schemas.openxmlformats.org/officeDocument/2006/relationships/hyperlink" Target="http://sellforte.com" TargetMode="External"/><Relationship Id="rId2254" Type="http://schemas.openxmlformats.org/officeDocument/2006/relationships/hyperlink" Target="http://incrmntal.com" TargetMode="External"/><Relationship Id="rId333" Type="http://schemas.openxmlformats.org/officeDocument/2006/relationships/hyperlink" Target="https://sellforte.com/blog/best-incrementality-testing-tools" TargetMode="External"/><Relationship Id="rId2255" Type="http://schemas.openxmlformats.org/officeDocument/2006/relationships/hyperlink" Target="https://www.incrmntal.com/geolift" TargetMode="External"/><Relationship Id="rId332" Type="http://schemas.openxmlformats.org/officeDocument/2006/relationships/hyperlink" Target="http://promoguy.nl" TargetMode="External"/><Relationship Id="rId2256" Type="http://schemas.openxmlformats.org/officeDocument/2006/relationships/hyperlink" Target="http://incrmntal.com" TargetMode="External"/><Relationship Id="rId331" Type="http://schemas.openxmlformats.org/officeDocument/2006/relationships/hyperlink" Target="https://promoguy.nl/blog/2026/02/12/incrementality-testing-for-marketing-promotion/" TargetMode="External"/><Relationship Id="rId2257" Type="http://schemas.openxmlformats.org/officeDocument/2006/relationships/hyperlink" Target="https://incubeta.com/capabilities/marketing-intelligence/" TargetMode="External"/><Relationship Id="rId370" Type="http://schemas.openxmlformats.org/officeDocument/2006/relationships/hyperlink" Target="https://mobian.studio/ai-consulting-companies-uae/" TargetMode="External"/><Relationship Id="rId369" Type="http://schemas.openxmlformats.org/officeDocument/2006/relationships/hyperlink" Target="http://mintdigitalsolutions.ae" TargetMode="External"/><Relationship Id="rId368" Type="http://schemas.openxmlformats.org/officeDocument/2006/relationships/hyperlink" Target="https://mintdigitalsolutions.ae/performance-marketing/" TargetMode="External"/><Relationship Id="rId2280" Type="http://schemas.openxmlformats.org/officeDocument/2006/relationships/hyperlink" Target="http://instagram.com" TargetMode="External"/><Relationship Id="rId2281" Type="http://schemas.openxmlformats.org/officeDocument/2006/relationships/hyperlink" Target="https://www.intellectyx.com/ai-agent-development-companies-in-usa/" TargetMode="External"/><Relationship Id="rId2282" Type="http://schemas.openxmlformats.org/officeDocument/2006/relationships/hyperlink" Target="http://intellectyx.com" TargetMode="External"/><Relationship Id="rId363" Type="http://schemas.openxmlformats.org/officeDocument/2006/relationships/hyperlink" Target="https://inbeat.agency/blog/best-social-media-agencies-dubai" TargetMode="External"/><Relationship Id="rId2283" Type="http://schemas.openxmlformats.org/officeDocument/2006/relationships/hyperlink" Target="https://www.jafza.ae/" TargetMode="External"/><Relationship Id="rId362" Type="http://schemas.openxmlformats.org/officeDocument/2006/relationships/hyperlink" Target="https://inbeat.agency/blog/best-google-ads-agencies-dubai" TargetMode="External"/><Relationship Id="rId2284" Type="http://schemas.openxmlformats.org/officeDocument/2006/relationships/hyperlink" Target="http://jafza.ae" TargetMode="External"/><Relationship Id="rId361" Type="http://schemas.openxmlformats.org/officeDocument/2006/relationships/hyperlink" Target="http://hikemytraffic.com" TargetMode="External"/><Relationship Id="rId2285" Type="http://schemas.openxmlformats.org/officeDocument/2006/relationships/hyperlink" Target="https://jasadvertising.com/" TargetMode="External"/><Relationship Id="rId360" Type="http://schemas.openxmlformats.org/officeDocument/2006/relationships/hyperlink" Target="https://hikemytraffic.com/ai-social-media-marketing-agencies-in-dubai/" TargetMode="External"/><Relationship Id="rId2286" Type="http://schemas.openxmlformats.org/officeDocument/2006/relationships/hyperlink" Target="http://jasadvertising.com" TargetMode="External"/><Relationship Id="rId367" Type="http://schemas.openxmlformats.org/officeDocument/2006/relationships/hyperlink" Target="http://leo9studio.com" TargetMode="External"/><Relationship Id="rId2287" Type="http://schemas.openxmlformats.org/officeDocument/2006/relationships/hyperlink" Target="https://jjagency.co/" TargetMode="External"/><Relationship Id="rId366" Type="http://schemas.openxmlformats.org/officeDocument/2006/relationships/hyperlink" Target="https://leo9studio.com/blog/best-creative-advertising-agencies-dubai/" TargetMode="External"/><Relationship Id="rId2288" Type="http://schemas.openxmlformats.org/officeDocument/2006/relationships/hyperlink" Target="http://jjagency.co" TargetMode="External"/><Relationship Id="rId365" Type="http://schemas.openxmlformats.org/officeDocument/2006/relationships/hyperlink" Target="http://lapaone.com" TargetMode="External"/><Relationship Id="rId2289" Type="http://schemas.openxmlformats.org/officeDocument/2006/relationships/hyperlink" Target="https://www.kantar.com/Locations/United-Arab-Emirates" TargetMode="External"/><Relationship Id="rId364" Type="http://schemas.openxmlformats.org/officeDocument/2006/relationships/hyperlink" Target="https://www.lapaone.com/creative-design-agencies-dubai/" TargetMode="External"/><Relationship Id="rId95" Type="http://schemas.openxmlformats.org/officeDocument/2006/relationships/hyperlink" Target="https://salesbox.ai/blog/top-geo-companies-dubai-2026/" TargetMode="External"/><Relationship Id="rId94" Type="http://schemas.openxmlformats.org/officeDocument/2006/relationships/hyperlink" Target="https://oski.site/blog/sales-and-marketing-analytics-companies-uae/" TargetMode="External"/><Relationship Id="rId97" Type="http://schemas.openxmlformats.org/officeDocument/2006/relationships/hyperlink" Target="https://www.bicommunications.ae/blog/best-digital-marketing-agencies-uae/" TargetMode="External"/><Relationship Id="rId96" Type="http://schemas.openxmlformats.org/officeDocument/2006/relationships/hyperlink" Target="http://salesbox.ai" TargetMode="External"/><Relationship Id="rId99" Type="http://schemas.openxmlformats.org/officeDocument/2006/relationships/hyperlink" Target="https://clutch.co/ae/consulting/ai/dubai" TargetMode="External"/><Relationship Id="rId98" Type="http://schemas.openxmlformats.org/officeDocument/2006/relationships/hyperlink" Target="http://bicommunications.ae" TargetMode="External"/><Relationship Id="rId91" Type="http://schemas.openxmlformats.org/officeDocument/2006/relationships/hyperlink" Target="http://semrush.com" TargetMode="External"/><Relationship Id="rId90" Type="http://schemas.openxmlformats.org/officeDocument/2006/relationships/hyperlink" Target="https://agencies.semrush.com/list/ai-optimization/dubai/" TargetMode="External"/><Relationship Id="rId93" Type="http://schemas.openxmlformats.org/officeDocument/2006/relationships/hyperlink" Target="http://digitalmediasapiens.com" TargetMode="External"/><Relationship Id="rId92" Type="http://schemas.openxmlformats.org/officeDocument/2006/relationships/hyperlink" Target="https://digitalmediasapiens.com/best-aeo-agency-dubai/" TargetMode="External"/><Relationship Id="rId359" Type="http://schemas.openxmlformats.org/officeDocument/2006/relationships/hyperlink" Target="https://www.hammerhead.global/blogs/top-10-advertising-companies-in-dubai-uae-guide" TargetMode="External"/><Relationship Id="rId358" Type="http://schemas.openxmlformats.org/officeDocument/2006/relationships/hyperlink" Target="http://diuna.ae" TargetMode="External"/><Relationship Id="rId357" Type="http://schemas.openxmlformats.org/officeDocument/2006/relationships/hyperlink" Target="https://www.diuna.ae/" TargetMode="External"/><Relationship Id="rId2270" Type="http://schemas.openxmlformats.org/officeDocument/2006/relationships/hyperlink" Target="http://measured.com" TargetMode="External"/><Relationship Id="rId2271" Type="http://schemas.openxmlformats.org/officeDocument/2006/relationships/hyperlink" Target="https://ingestlabs.com/mastering-first-party-data-activation/" TargetMode="External"/><Relationship Id="rId352" Type="http://schemas.openxmlformats.org/officeDocument/2006/relationships/hyperlink" Target="http://designrush.com" TargetMode="External"/><Relationship Id="rId2272" Type="http://schemas.openxmlformats.org/officeDocument/2006/relationships/hyperlink" Target="http://ingestlabs.com" TargetMode="External"/><Relationship Id="rId351" Type="http://schemas.openxmlformats.org/officeDocument/2006/relationships/hyperlink" Target="https://www.designrush.com/agency/paid-media-pay-per-click/ae" TargetMode="External"/><Relationship Id="rId2273" Type="http://schemas.openxmlformats.org/officeDocument/2006/relationships/hyperlink" Target="https://www.innofied.com/ai-integration-consulting-custom-vs-pre-built-tools-explained/" TargetMode="External"/><Relationship Id="rId350" Type="http://schemas.openxmlformats.org/officeDocument/2006/relationships/hyperlink" Target="http://designrush.com" TargetMode="External"/><Relationship Id="rId2274" Type="http://schemas.openxmlformats.org/officeDocument/2006/relationships/hyperlink" Target="http://innofied.com" TargetMode="External"/><Relationship Id="rId2275" Type="http://schemas.openxmlformats.org/officeDocument/2006/relationships/hyperlink" Target="https://www.instagram.com/reel/DEINQLyT2n8/" TargetMode="External"/><Relationship Id="rId356" Type="http://schemas.openxmlformats.org/officeDocument/2006/relationships/hyperlink" Target="http://digitalmarketingagency.ae" TargetMode="External"/><Relationship Id="rId2276" Type="http://schemas.openxmlformats.org/officeDocument/2006/relationships/hyperlink" Target="http://instagram.com" TargetMode="External"/><Relationship Id="rId355" Type="http://schemas.openxmlformats.org/officeDocument/2006/relationships/hyperlink" Target="https://www.digitalmarketingagency.ae/" TargetMode="External"/><Relationship Id="rId2277" Type="http://schemas.openxmlformats.org/officeDocument/2006/relationships/hyperlink" Target="https://www.instagram.com/reel/DHfu8Ezv3tV/" TargetMode="External"/><Relationship Id="rId354" Type="http://schemas.openxmlformats.org/officeDocument/2006/relationships/hyperlink" Target="http://digitalagencies.ae" TargetMode="External"/><Relationship Id="rId2278" Type="http://schemas.openxmlformats.org/officeDocument/2006/relationships/hyperlink" Target="http://instagram.com" TargetMode="External"/><Relationship Id="rId353" Type="http://schemas.openxmlformats.org/officeDocument/2006/relationships/hyperlink" Target="https://www.digitalagencies.ae/creative-agencies" TargetMode="External"/><Relationship Id="rId2279" Type="http://schemas.openxmlformats.org/officeDocument/2006/relationships/hyperlink" Target="https://www.instagram.com/vibemarketingtechfest/" TargetMode="External"/><Relationship Id="rId1378" Type="http://schemas.openxmlformats.org/officeDocument/2006/relationships/hyperlink" Target="http://itsaimarketing.com" TargetMode="External"/><Relationship Id="rId2225" Type="http://schemas.openxmlformats.org/officeDocument/2006/relationships/hyperlink" Target="http://idukki.io" TargetMode="External"/><Relationship Id="rId1379" Type="http://schemas.openxmlformats.org/officeDocument/2006/relationships/hyperlink" Target="https://www.kiwop.com/en/marketing-attribution" TargetMode="External"/><Relationship Id="rId2226" Type="http://schemas.openxmlformats.org/officeDocument/2006/relationships/hyperlink" Target="https://www.ie.edu/uncover-ie/the-big-six-agencies-marcom-ie-business-school/" TargetMode="External"/><Relationship Id="rId2227" Type="http://schemas.openxmlformats.org/officeDocument/2006/relationships/hyperlink" Target="http://ie.edu" TargetMode="External"/><Relationship Id="rId2228" Type="http://schemas.openxmlformats.org/officeDocument/2006/relationships/hyperlink" Target="https://ie.linkedin.com/company/acquisit-advertising?trk=ppro_cprof" TargetMode="External"/><Relationship Id="rId2229" Type="http://schemas.openxmlformats.org/officeDocument/2006/relationships/hyperlink" Target="http://linkedin.com" TargetMode="External"/><Relationship Id="rId305" Type="http://schemas.openxmlformats.org/officeDocument/2006/relationships/hyperlink" Target="https://clutch.co/ae/agencies/branding" TargetMode="External"/><Relationship Id="rId789" Type="http://schemas.openxmlformats.org/officeDocument/2006/relationships/hyperlink" Target="https://masterofcode.com/blog/ai-companies-in-dubai" TargetMode="External"/><Relationship Id="rId304" Type="http://schemas.openxmlformats.org/officeDocument/2006/relationships/hyperlink" Target="http://brandstory.ae" TargetMode="External"/><Relationship Id="rId788" Type="http://schemas.openxmlformats.org/officeDocument/2006/relationships/hyperlink" Target="http://linkedin.com" TargetMode="External"/><Relationship Id="rId303" Type="http://schemas.openxmlformats.org/officeDocument/2006/relationships/hyperlink" Target="https://www.brandstory.ae/marketing-analytics-agency-in-abu-dhabi/" TargetMode="External"/><Relationship Id="rId787" Type="http://schemas.openxmlformats.org/officeDocument/2006/relationships/hyperlink" Target="https://www.linkedin.com/posts/crystal-infoway_best-5-digital-marketing-agencies-in-uae-activity-7417873568446775297-9DW8" TargetMode="External"/><Relationship Id="rId302" Type="http://schemas.openxmlformats.org/officeDocument/2006/relationships/hyperlink" Target="http://brandburp.com" TargetMode="External"/><Relationship Id="rId786" Type="http://schemas.openxmlformats.org/officeDocument/2006/relationships/hyperlink" Target="http://linea-analytics.com" TargetMode="External"/><Relationship Id="rId309" Type="http://schemas.openxmlformats.org/officeDocument/2006/relationships/hyperlink" Target="https://clutch.co/ae/agencies/ppc/display" TargetMode="External"/><Relationship Id="rId308" Type="http://schemas.openxmlformats.org/officeDocument/2006/relationships/hyperlink" Target="http://clutch.co" TargetMode="External"/><Relationship Id="rId307" Type="http://schemas.openxmlformats.org/officeDocument/2006/relationships/hyperlink" Target="https://clutch.co/ae/agencies/media-buying/dubai" TargetMode="External"/><Relationship Id="rId306" Type="http://schemas.openxmlformats.org/officeDocument/2006/relationships/hyperlink" Target="http://clutch.co" TargetMode="External"/><Relationship Id="rId781" Type="http://schemas.openxmlformats.org/officeDocument/2006/relationships/hyperlink" Target="https://kvnpromos.ae/web-campaign-analytics/" TargetMode="External"/><Relationship Id="rId1370" Type="http://schemas.openxmlformats.org/officeDocument/2006/relationships/hyperlink" Target="http://incubeta.com" TargetMode="External"/><Relationship Id="rId780" Type="http://schemas.openxmlformats.org/officeDocument/2006/relationships/hyperlink" Target="http://kifconsultancy.com" TargetMode="External"/><Relationship Id="rId1371" Type="http://schemas.openxmlformats.org/officeDocument/2006/relationships/hyperlink" Target="https://www.ipsos.com/en-ae/abg-appoints-ipsos-partner-uae-cross-media-measurement-project" TargetMode="External"/><Relationship Id="rId1372" Type="http://schemas.openxmlformats.org/officeDocument/2006/relationships/hyperlink" Target="http://ipsos.com" TargetMode="External"/><Relationship Id="rId1373" Type="http://schemas.openxmlformats.org/officeDocument/2006/relationships/hyperlink" Target="https://www.itpro.com/business/business-strategy/ai-projects-are-stalling-at-mid-market-firms-google-cloud-and-accenture-want-to-solve-that" TargetMode="External"/><Relationship Id="rId2220" Type="http://schemas.openxmlformats.org/officeDocument/2006/relationships/hyperlink" Target="https://icoda.io/blog/best-pr-agencies-in-dubai/" TargetMode="External"/><Relationship Id="rId301" Type="http://schemas.openxmlformats.org/officeDocument/2006/relationships/hyperlink" Target="https://blog.brandburp.com/2026-top-10-ppc-agencies-in-dubai/" TargetMode="External"/><Relationship Id="rId785" Type="http://schemas.openxmlformats.org/officeDocument/2006/relationships/hyperlink" Target="https://linea-analytics.com/" TargetMode="External"/><Relationship Id="rId1374" Type="http://schemas.openxmlformats.org/officeDocument/2006/relationships/hyperlink" Target="http://itpro.com" TargetMode="External"/><Relationship Id="rId2221" Type="http://schemas.openxmlformats.org/officeDocument/2006/relationships/hyperlink" Target="http://icoda.io" TargetMode="External"/><Relationship Id="rId300" Type="http://schemas.openxmlformats.org/officeDocument/2006/relationships/hyperlink" Target="http://aiwatchmena.com" TargetMode="External"/><Relationship Id="rId784" Type="http://schemas.openxmlformats.org/officeDocument/2006/relationships/hyperlink" Target="http://leadsdubai.com" TargetMode="External"/><Relationship Id="rId1375" Type="http://schemas.openxmlformats.org/officeDocument/2006/relationships/hyperlink" Target="https://www.itpro.com/business/marketing-and-comms/will-a-generative-engine-optimization-manager-be-your-next-big-hire" TargetMode="External"/><Relationship Id="rId2222" Type="http://schemas.openxmlformats.org/officeDocument/2006/relationships/hyperlink" Target="https://icukonline.org/emerging-geo-experts-redefining-the-standards" TargetMode="External"/><Relationship Id="rId783" Type="http://schemas.openxmlformats.org/officeDocument/2006/relationships/hyperlink" Target="https://www.leadsdubai.com/faq-instagram-advertising-uae/" TargetMode="External"/><Relationship Id="rId1376" Type="http://schemas.openxmlformats.org/officeDocument/2006/relationships/hyperlink" Target="http://itpro.com" TargetMode="External"/><Relationship Id="rId2223" Type="http://schemas.openxmlformats.org/officeDocument/2006/relationships/hyperlink" Target="http://icukonline.org" TargetMode="External"/><Relationship Id="rId782" Type="http://schemas.openxmlformats.org/officeDocument/2006/relationships/hyperlink" Target="http://kvnpromos.ae" TargetMode="External"/><Relationship Id="rId1377" Type="http://schemas.openxmlformats.org/officeDocument/2006/relationships/hyperlink" Target="https://www.itsaimarketing.com/" TargetMode="External"/><Relationship Id="rId2224" Type="http://schemas.openxmlformats.org/officeDocument/2006/relationships/hyperlink" Target="https://idukki.io/blog/ugc-incrementality-testing-holdout" TargetMode="External"/><Relationship Id="rId1367" Type="http://schemas.openxmlformats.org/officeDocument/2006/relationships/hyperlink" Target="https://www.incrmntal.com/solutions/agencies" TargetMode="External"/><Relationship Id="rId2214" Type="http://schemas.openxmlformats.org/officeDocument/2006/relationships/hyperlink" Target="https://www.iamagazine.com/2026/05/04/what-agencies-got-right-with-ai-adoption-and-the-first-steps-they-took/" TargetMode="External"/><Relationship Id="rId2698" Type="http://schemas.openxmlformats.org/officeDocument/2006/relationships/hyperlink" Target="https://www.sociomark.ae/service/seo-agency-dubai" TargetMode="External"/><Relationship Id="rId1368" Type="http://schemas.openxmlformats.org/officeDocument/2006/relationships/hyperlink" Target="http://incrmntal.com" TargetMode="External"/><Relationship Id="rId2215" Type="http://schemas.openxmlformats.org/officeDocument/2006/relationships/hyperlink" Target="http://iamagazine.com" TargetMode="External"/><Relationship Id="rId2699" Type="http://schemas.openxmlformats.org/officeDocument/2006/relationships/hyperlink" Target="http://sociomark.ae" TargetMode="External"/><Relationship Id="rId1369" Type="http://schemas.openxmlformats.org/officeDocument/2006/relationships/hyperlink" Target="https://incubeta.com/" TargetMode="External"/><Relationship Id="rId2216" Type="http://schemas.openxmlformats.org/officeDocument/2006/relationships/hyperlink" Target="https://www.iasmedia.com/global-media-representation-uae/" TargetMode="External"/><Relationship Id="rId2217" Type="http://schemas.openxmlformats.org/officeDocument/2006/relationships/hyperlink" Target="http://iasmedia.com" TargetMode="External"/><Relationship Id="rId2218" Type="http://schemas.openxmlformats.org/officeDocument/2006/relationships/hyperlink" Target="https://www.iasmedia.com/top-digital-media-representation-agencies-uae/" TargetMode="External"/><Relationship Id="rId2219" Type="http://schemas.openxmlformats.org/officeDocument/2006/relationships/hyperlink" Target="http://iasmedia.com" TargetMode="External"/><Relationship Id="rId778" Type="http://schemas.openxmlformats.org/officeDocument/2006/relationships/hyperlink" Target="http://impressiondigital.com" TargetMode="External"/><Relationship Id="rId777" Type="http://schemas.openxmlformats.org/officeDocument/2006/relationships/hyperlink" Target="https://www.impressiondigital.com/media-solutions/measurement/" TargetMode="External"/><Relationship Id="rId776" Type="http://schemas.openxmlformats.org/officeDocument/2006/relationships/hyperlink" Target="http://houseoffix.com" TargetMode="External"/><Relationship Id="rId775" Type="http://schemas.openxmlformats.org/officeDocument/2006/relationships/hyperlink" Target="https://www.houseoffix.com/" TargetMode="External"/><Relationship Id="rId779" Type="http://schemas.openxmlformats.org/officeDocument/2006/relationships/hyperlink" Target="https://www.kifconsultancy.com/top-ai-consulting-firms-in-uae/" TargetMode="External"/><Relationship Id="rId770" Type="http://schemas.openxmlformats.org/officeDocument/2006/relationships/hyperlink" Target="http://gcctechgroup.com" TargetMode="External"/><Relationship Id="rId2690" Type="http://schemas.openxmlformats.org/officeDocument/2006/relationships/hyperlink" Target="http://skai.io" TargetMode="External"/><Relationship Id="rId1360" Type="http://schemas.openxmlformats.org/officeDocument/2006/relationships/hyperlink" Target="http://hikemytraffic.com" TargetMode="External"/><Relationship Id="rId2691" Type="http://schemas.openxmlformats.org/officeDocument/2006/relationships/hyperlink" Target="https://skillsheaven.org/measure-marketing-roi-in-uae/" TargetMode="External"/><Relationship Id="rId1361" Type="http://schemas.openxmlformats.org/officeDocument/2006/relationships/hyperlink" Target="https://www.houbaracomms.agency/" TargetMode="External"/><Relationship Id="rId2692" Type="http://schemas.openxmlformats.org/officeDocument/2006/relationships/hyperlink" Target="http://skillsheaven.org" TargetMode="External"/><Relationship Id="rId1362" Type="http://schemas.openxmlformats.org/officeDocument/2006/relationships/hyperlink" Target="https://www.housesofgrowth.com/post/aeo-agency" TargetMode="External"/><Relationship Id="rId2693" Type="http://schemas.openxmlformats.org/officeDocument/2006/relationships/hyperlink" Target="https://skyscale.com.au/blogs/best-aeo-agencies-melbourne-2025" TargetMode="External"/><Relationship Id="rId774" Type="http://schemas.openxmlformats.org/officeDocument/2006/relationships/hyperlink" Target="http://hostino.ae" TargetMode="External"/><Relationship Id="rId1363" Type="http://schemas.openxmlformats.org/officeDocument/2006/relationships/hyperlink" Target="http://housesofgrowth.com" TargetMode="External"/><Relationship Id="rId2210" Type="http://schemas.openxmlformats.org/officeDocument/2006/relationships/hyperlink" Target="https://hypebox.me/en-lb/blog/articles/top-10-boutique-creative-agencies-in-uae-2026" TargetMode="External"/><Relationship Id="rId2694" Type="http://schemas.openxmlformats.org/officeDocument/2006/relationships/hyperlink" Target="http://skyscale.com.au" TargetMode="External"/><Relationship Id="rId773" Type="http://schemas.openxmlformats.org/officeDocument/2006/relationships/hyperlink" Target="https://www.hostino.ae/ai-geo-agency-uae/" TargetMode="External"/><Relationship Id="rId1364" Type="http://schemas.openxmlformats.org/officeDocument/2006/relationships/hyperlink" Target="https://impactbbdo.com/about/" TargetMode="External"/><Relationship Id="rId2211" Type="http://schemas.openxmlformats.org/officeDocument/2006/relationships/hyperlink" Target="http://hypebox.me" TargetMode="External"/><Relationship Id="rId2695" Type="http://schemas.openxmlformats.org/officeDocument/2006/relationships/hyperlink" Target="https://slipstream.agency/" TargetMode="External"/><Relationship Id="rId772" Type="http://schemas.openxmlformats.org/officeDocument/2006/relationships/hyperlink" Target="http://goodtal.com" TargetMode="External"/><Relationship Id="rId1365" Type="http://schemas.openxmlformats.org/officeDocument/2006/relationships/hyperlink" Target="http://impactbbdo.com" TargetMode="External"/><Relationship Id="rId2212" Type="http://schemas.openxmlformats.org/officeDocument/2006/relationships/hyperlink" Target="https://hypebox.me/services/performance-marketing-2" TargetMode="External"/><Relationship Id="rId2696" Type="http://schemas.openxmlformats.org/officeDocument/2006/relationships/hyperlink" Target="https://smartgeoagency.com/" TargetMode="External"/><Relationship Id="rId771" Type="http://schemas.openxmlformats.org/officeDocument/2006/relationships/hyperlink" Target="https://www.goodtal.com/companies/advertising/ae" TargetMode="External"/><Relationship Id="rId1366" Type="http://schemas.openxmlformats.org/officeDocument/2006/relationships/hyperlink" Target="https://inbeat.agency/blog/top-content-creation-agencies-dubai" TargetMode="External"/><Relationship Id="rId2213" Type="http://schemas.openxmlformats.org/officeDocument/2006/relationships/hyperlink" Target="http://hypebox.me" TargetMode="External"/><Relationship Id="rId2697" Type="http://schemas.openxmlformats.org/officeDocument/2006/relationships/hyperlink" Target="http://smartgeoagency.com" TargetMode="External"/><Relationship Id="rId2247" Type="http://schemas.openxmlformats.org/officeDocument/2006/relationships/hyperlink" Target="https://inbeat.agency/blog/top-performance-creative-agencies" TargetMode="External"/><Relationship Id="rId2248" Type="http://schemas.openxmlformats.org/officeDocument/2006/relationships/hyperlink" Target="https://inbeat.agency/blog/top-user-acquisition-agencies" TargetMode="External"/><Relationship Id="rId2249" Type="http://schemas.openxmlformats.org/officeDocument/2006/relationships/hyperlink" Target="https://www.inbeat.co/articles/top-digital-marketing-agencies-dubai/" TargetMode="External"/><Relationship Id="rId327" Type="http://schemas.openxmlformats.org/officeDocument/2006/relationships/hyperlink" Target="https://www.linkedin.com/pulse/definitive-list-best-generative-engine-optimization-geo-agencies-svknc" TargetMode="External"/><Relationship Id="rId326" Type="http://schemas.openxmlformats.org/officeDocument/2006/relationships/hyperlink" Target="http://hikemytraffic.com" TargetMode="External"/><Relationship Id="rId325" Type="http://schemas.openxmlformats.org/officeDocument/2006/relationships/hyperlink" Target="https://hikemytraffic.com/ai-digital-marketing-companies-in-uae/" TargetMode="External"/><Relationship Id="rId324" Type="http://schemas.openxmlformats.org/officeDocument/2006/relationships/hyperlink" Target="http://havstrategy.com" TargetMode="External"/><Relationship Id="rId329" Type="http://schemas.openxmlformats.org/officeDocument/2006/relationships/hyperlink" Target="https://list-of-digital-marketing-companies-in-dubai.com/dubai/ai-marketing" TargetMode="External"/><Relationship Id="rId1390" Type="http://schemas.openxmlformats.org/officeDocument/2006/relationships/hyperlink" Target="http://linkedin.com" TargetMode="External"/><Relationship Id="rId328" Type="http://schemas.openxmlformats.org/officeDocument/2006/relationships/hyperlink" Target="http://linkedin.com" TargetMode="External"/><Relationship Id="rId1391" Type="http://schemas.openxmlformats.org/officeDocument/2006/relationships/hyperlink" Target="https://www.linkedin.com/pulse/top-branding-agencies-mena-best-middle-east-north-africa-firms-jgame" TargetMode="External"/><Relationship Id="rId1392" Type="http://schemas.openxmlformats.org/officeDocument/2006/relationships/hyperlink" Target="http://linkedin.com" TargetMode="External"/><Relationship Id="rId1393" Type="http://schemas.openxmlformats.org/officeDocument/2006/relationships/hyperlink" Target="https://www.loudface.co/blog/best-aeo-agencies-b2b-saas-2026" TargetMode="External"/><Relationship Id="rId2240" Type="http://schemas.openxmlformats.org/officeDocument/2006/relationships/hyperlink" Target="https://improvado.io/blog/incrementality-guide" TargetMode="External"/><Relationship Id="rId1394" Type="http://schemas.openxmlformats.org/officeDocument/2006/relationships/hyperlink" Target="http://loudface.co" TargetMode="External"/><Relationship Id="rId2241" Type="http://schemas.openxmlformats.org/officeDocument/2006/relationships/hyperlink" Target="http://improvado.io" TargetMode="External"/><Relationship Id="rId1395" Type="http://schemas.openxmlformats.org/officeDocument/2006/relationships/hyperlink" Target="https://lucidly.ae/blog/digital-marketing/top-digital-marketing-companies-dubai" TargetMode="External"/><Relationship Id="rId2242" Type="http://schemas.openxmlformats.org/officeDocument/2006/relationships/hyperlink" Target="https://in.linkedin.com/company/nexaai-co-in" TargetMode="External"/><Relationship Id="rId323" Type="http://schemas.openxmlformats.org/officeDocument/2006/relationships/hyperlink" Target="https://www.havstrategy.com/best-influencer-marketing-agency-in-uae/" TargetMode="External"/><Relationship Id="rId1396" Type="http://schemas.openxmlformats.org/officeDocument/2006/relationships/hyperlink" Target="http://lucidly.ae" TargetMode="External"/><Relationship Id="rId2243" Type="http://schemas.openxmlformats.org/officeDocument/2006/relationships/hyperlink" Target="http://linkedin.com" TargetMode="External"/><Relationship Id="rId322" Type="http://schemas.openxmlformats.org/officeDocument/2006/relationships/hyperlink" Target="http://goodfirms.co" TargetMode="External"/><Relationship Id="rId1397" Type="http://schemas.openxmlformats.org/officeDocument/2006/relationships/hyperlink" Target="https://lyxelandflamingo.com/blogs/full-funnel-marketing/incrementality-at-scale-designing-geo-experiments-for-enterprise-marketing/" TargetMode="External"/><Relationship Id="rId2244" Type="http://schemas.openxmlformats.org/officeDocument/2006/relationships/hyperlink" Target="https://inbeat.agency/blog/incrementality-testing" TargetMode="External"/><Relationship Id="rId321" Type="http://schemas.openxmlformats.org/officeDocument/2006/relationships/hyperlink" Target="https://www.goodfirms.co/big-data-analytics/uae" TargetMode="External"/><Relationship Id="rId1398" Type="http://schemas.openxmlformats.org/officeDocument/2006/relationships/hyperlink" Target="http://lyxelandflamingo.com" TargetMode="External"/><Relationship Id="rId2245" Type="http://schemas.openxmlformats.org/officeDocument/2006/relationships/hyperlink" Target="https://inbeat.agency/blog/top-creative-agencies" TargetMode="External"/><Relationship Id="rId320" Type="http://schemas.openxmlformats.org/officeDocument/2006/relationships/hyperlink" Target="http://goodfirms.co" TargetMode="External"/><Relationship Id="rId1399" Type="http://schemas.openxmlformats.org/officeDocument/2006/relationships/hyperlink" Target="https://macreativeag.com/digital-marketing/top-10-digital-marketing-agencies-dubai/" TargetMode="External"/><Relationship Id="rId2246" Type="http://schemas.openxmlformats.org/officeDocument/2006/relationships/hyperlink" Target="https://inbeat.agency/blog/top-media-buying-agencies" TargetMode="External"/><Relationship Id="rId1389" Type="http://schemas.openxmlformats.org/officeDocument/2006/relationships/hyperlink" Target="https://www.linkedin.com/pulse/best-10-ai-consulting-companies-dubai-uae-2025-ranjana-srivastava-2bstc" TargetMode="External"/><Relationship Id="rId2236" Type="http://schemas.openxmlformats.org/officeDocument/2006/relationships/hyperlink" Target="https://www.impressiondigital.com/generative-engine-optimisation-agency/" TargetMode="External"/><Relationship Id="rId2237" Type="http://schemas.openxmlformats.org/officeDocument/2006/relationships/hyperlink" Target="http://impressiondigital.com" TargetMode="External"/><Relationship Id="rId2238" Type="http://schemas.openxmlformats.org/officeDocument/2006/relationships/hyperlink" Target="https://improvado.io/blog/advanced-marketing-analytics-an-overview-of-the-top-techniques" TargetMode="External"/><Relationship Id="rId2239" Type="http://schemas.openxmlformats.org/officeDocument/2006/relationships/hyperlink" Target="http://improvado.io" TargetMode="External"/><Relationship Id="rId316" Type="http://schemas.openxmlformats.org/officeDocument/2006/relationships/hyperlink" Target="http://digital-qube.com" TargetMode="External"/><Relationship Id="rId315" Type="http://schemas.openxmlformats.org/officeDocument/2006/relationships/hyperlink" Target="https://www.digital-qube.com/" TargetMode="External"/><Relationship Id="rId799" Type="http://schemas.openxmlformats.org/officeDocument/2006/relationships/hyperlink" Target="https://www.sortlist.com/s/artificial-intelligence/united-arab-emirates-ae" TargetMode="External"/><Relationship Id="rId314" Type="http://schemas.openxmlformats.org/officeDocument/2006/relationships/hyperlink" Target="http://digiscorp.com" TargetMode="External"/><Relationship Id="rId798" Type="http://schemas.openxmlformats.org/officeDocument/2006/relationships/hyperlink" Target="http://rightsideup.com" TargetMode="External"/><Relationship Id="rId313" Type="http://schemas.openxmlformats.org/officeDocument/2006/relationships/hyperlink" Target="https://digiscorp.com/best-ai-consulting-companies-in-dubai/" TargetMode="External"/><Relationship Id="rId797" Type="http://schemas.openxmlformats.org/officeDocument/2006/relationships/hyperlink" Target="https://www.rightsideup.com/blog/guide-to-marketing-incrementality-testing" TargetMode="External"/><Relationship Id="rId319" Type="http://schemas.openxmlformats.org/officeDocument/2006/relationships/hyperlink" Target="https://www.goodfirms.co/advertising-companies/uae" TargetMode="External"/><Relationship Id="rId318" Type="http://schemas.openxmlformats.org/officeDocument/2006/relationships/hyperlink" Target="http://godigitalalpha.com" TargetMode="External"/><Relationship Id="rId317" Type="http://schemas.openxmlformats.org/officeDocument/2006/relationships/hyperlink" Target="https://godigitalalpha.com/best-performance-marketing-services-in-uae-2/" TargetMode="External"/><Relationship Id="rId1380" Type="http://schemas.openxmlformats.org/officeDocument/2006/relationships/hyperlink" Target="http://kiwop.com" TargetMode="External"/><Relationship Id="rId792" Type="http://schemas.openxmlformats.org/officeDocument/2006/relationships/hyperlink" Target="http://morismedia.in" TargetMode="External"/><Relationship Id="rId1381" Type="http://schemas.openxmlformats.org/officeDocument/2006/relationships/hyperlink" Target="https://konvergense.com/" TargetMode="External"/><Relationship Id="rId791" Type="http://schemas.openxmlformats.org/officeDocument/2006/relationships/hyperlink" Target="https://www.morismedia.in/united-arab-emirates-top-10-performance-marketing-agency-for-marketing-advertising-in-2026" TargetMode="External"/><Relationship Id="rId1382" Type="http://schemas.openxmlformats.org/officeDocument/2006/relationships/hyperlink" Target="http://konvergense.com" TargetMode="External"/><Relationship Id="rId790" Type="http://schemas.openxmlformats.org/officeDocument/2006/relationships/hyperlink" Target="http://masterofcode.com" TargetMode="External"/><Relationship Id="rId1383" Type="http://schemas.openxmlformats.org/officeDocument/2006/relationships/hyperlink" Target="https://konvergense.com/services/ai-automation-services/ai-consulting-and-strategy/" TargetMode="External"/><Relationship Id="rId2230" Type="http://schemas.openxmlformats.org/officeDocument/2006/relationships/hyperlink" Target="https://www.imanta.io/blog/imanta-e-cens-join-forces/" TargetMode="External"/><Relationship Id="rId1384" Type="http://schemas.openxmlformats.org/officeDocument/2006/relationships/hyperlink" Target="http://konvergense.com" TargetMode="External"/><Relationship Id="rId2231" Type="http://schemas.openxmlformats.org/officeDocument/2006/relationships/hyperlink" Target="http://imanta.io" TargetMode="External"/><Relationship Id="rId312" Type="http://schemas.openxmlformats.org/officeDocument/2006/relationships/hyperlink" Target="http://clutch.co" TargetMode="External"/><Relationship Id="rId796" Type="http://schemas.openxmlformats.org/officeDocument/2006/relationships/hyperlink" Target="http://reyson.ae" TargetMode="External"/><Relationship Id="rId1385" Type="http://schemas.openxmlformats.org/officeDocument/2006/relationships/hyperlink" Target="https://www.leadsdubai.com/outdoor-led-screen-outdoor-advertising/" TargetMode="External"/><Relationship Id="rId2232" Type="http://schemas.openxmlformats.org/officeDocument/2006/relationships/hyperlink" Target="https://imedia247.ae/" TargetMode="External"/><Relationship Id="rId311" Type="http://schemas.openxmlformats.org/officeDocument/2006/relationships/hyperlink" Target="https://clutch.co/ae/agencies/social-media-marketing" TargetMode="External"/><Relationship Id="rId795" Type="http://schemas.openxmlformats.org/officeDocument/2006/relationships/hyperlink" Target="https://www.reyson.ae/market-research-companies-in-dubai" TargetMode="External"/><Relationship Id="rId1386" Type="http://schemas.openxmlformats.org/officeDocument/2006/relationships/hyperlink" Target="http://leadsdubai.com" TargetMode="External"/><Relationship Id="rId2233" Type="http://schemas.openxmlformats.org/officeDocument/2006/relationships/hyperlink" Target="http://imedia247.ae" TargetMode="External"/><Relationship Id="rId310" Type="http://schemas.openxmlformats.org/officeDocument/2006/relationships/hyperlink" Target="http://clutch.co" TargetMode="External"/><Relationship Id="rId794" Type="http://schemas.openxmlformats.org/officeDocument/2006/relationships/hyperlink" Target="http://noirandblanco.com" TargetMode="External"/><Relationship Id="rId1387" Type="http://schemas.openxmlformats.org/officeDocument/2006/relationships/hyperlink" Target="https://liftlab.com/platform/unified-marketing-measurement/" TargetMode="External"/><Relationship Id="rId2234" Type="http://schemas.openxmlformats.org/officeDocument/2006/relationships/hyperlink" Target="https://impact.com/partnerships/incrementality-101-optimize-affiliate-partnerships/" TargetMode="External"/><Relationship Id="rId793" Type="http://schemas.openxmlformats.org/officeDocument/2006/relationships/hyperlink" Target="https://noirandblanco.com/best-digital-marketing-agencies-in-dubai/" TargetMode="External"/><Relationship Id="rId1388" Type="http://schemas.openxmlformats.org/officeDocument/2006/relationships/hyperlink" Target="http://liftlab.com" TargetMode="External"/><Relationship Id="rId2235" Type="http://schemas.openxmlformats.org/officeDocument/2006/relationships/hyperlink" Target="http://impact.com" TargetMode="External"/><Relationship Id="rId297" Type="http://schemas.openxmlformats.org/officeDocument/2006/relationships/hyperlink" Target="https://www.adbeacon.com/7-best-marketing-attribution-tools-compared-2026/" TargetMode="External"/><Relationship Id="rId296" Type="http://schemas.openxmlformats.org/officeDocument/2006/relationships/hyperlink" Target="http://aarmeh.ae" TargetMode="External"/><Relationship Id="rId295" Type="http://schemas.openxmlformats.org/officeDocument/2006/relationships/hyperlink" Target="https://www.aarmeh.ae/ai-consulting" TargetMode="External"/><Relationship Id="rId294" Type="http://schemas.openxmlformats.org/officeDocument/2006/relationships/hyperlink" Target="http://10seos.com" TargetMode="External"/><Relationship Id="rId299" Type="http://schemas.openxmlformats.org/officeDocument/2006/relationships/hyperlink" Target="https://aiwatchmena.com/analysis/top-geo-companies-gcc-2026.html" TargetMode="External"/><Relationship Id="rId298" Type="http://schemas.openxmlformats.org/officeDocument/2006/relationships/hyperlink" Target="http://adbeacon.com" TargetMode="External"/><Relationship Id="rId271" Type="http://schemas.openxmlformats.org/officeDocument/2006/relationships/hyperlink" Target="https://www.integrateitsolutions.com/abu-dhabi-geo.php" TargetMode="External"/><Relationship Id="rId270" Type="http://schemas.openxmlformats.org/officeDocument/2006/relationships/hyperlink" Target="http://digitalagencynetwork.com" TargetMode="External"/><Relationship Id="rId269" Type="http://schemas.openxmlformats.org/officeDocument/2006/relationships/hyperlink" Target="https://digitalagencynetwork.com/agencies/dubai/creative/" TargetMode="External"/><Relationship Id="rId264" Type="http://schemas.openxmlformats.org/officeDocument/2006/relationships/hyperlink" Target="http://wisoftsolutions.com" TargetMode="External"/><Relationship Id="rId263" Type="http://schemas.openxmlformats.org/officeDocument/2006/relationships/hyperlink" Target="https://www.wisoftsolutions.com/services/performance-marketing-agency" TargetMode="External"/><Relationship Id="rId262" Type="http://schemas.openxmlformats.org/officeDocument/2006/relationships/hyperlink" Target="https://valors.agency/best-influencer-marketing-agencies-uae" TargetMode="External"/><Relationship Id="rId261" Type="http://schemas.openxmlformats.org/officeDocument/2006/relationships/hyperlink" Target="http://sortlist.com" TargetMode="External"/><Relationship Id="rId268" Type="http://schemas.openxmlformats.org/officeDocument/2006/relationships/hyperlink" Target="http://bestdigitalagency.in" TargetMode="External"/><Relationship Id="rId267" Type="http://schemas.openxmlformats.org/officeDocument/2006/relationships/hyperlink" Target="https://bestdigitalagency.in/best-performance-marketing-agencies-uae/" TargetMode="External"/><Relationship Id="rId266" Type="http://schemas.openxmlformats.org/officeDocument/2006/relationships/hyperlink" Target="http://aimarketingpro.ae" TargetMode="External"/><Relationship Id="rId265" Type="http://schemas.openxmlformats.org/officeDocument/2006/relationships/hyperlink" Target="https://aimarketingpro.ae/" TargetMode="External"/><Relationship Id="rId260" Type="http://schemas.openxmlformats.org/officeDocument/2006/relationships/hyperlink" Target="https://www.sortlist.com/advertising/dubai-ae" TargetMode="External"/><Relationship Id="rId259" Type="http://schemas.openxmlformats.org/officeDocument/2006/relationships/hyperlink" Target="http://prism-me.com" TargetMode="External"/><Relationship Id="rId258" Type="http://schemas.openxmlformats.org/officeDocument/2006/relationships/hyperlink" Target="https://www.prism-me.com/" TargetMode="External"/><Relationship Id="rId2290" Type="http://schemas.openxmlformats.org/officeDocument/2006/relationships/hyperlink" Target="http://kantar.com" TargetMode="External"/><Relationship Id="rId2291" Type="http://schemas.openxmlformats.org/officeDocument/2006/relationships/hyperlink" Target="https://kb.triplewhale.com/en/articles/12441418-incrementality" TargetMode="External"/><Relationship Id="rId2292" Type="http://schemas.openxmlformats.org/officeDocument/2006/relationships/hyperlink" Target="http://triplewhale.com" TargetMode="External"/><Relationship Id="rId2293" Type="http://schemas.openxmlformats.org/officeDocument/2006/relationships/hyperlink" Target="https://kenzadvertising.com/" TargetMode="External"/><Relationship Id="rId253" Type="http://schemas.openxmlformats.org/officeDocument/2006/relationships/hyperlink" Target="http://ensun.io" TargetMode="External"/><Relationship Id="rId2294" Type="http://schemas.openxmlformats.org/officeDocument/2006/relationships/hyperlink" Target="http://kenzadvertising.com" TargetMode="External"/><Relationship Id="rId252" Type="http://schemas.openxmlformats.org/officeDocument/2006/relationships/hyperlink" Target="https://ensun.io/search/marketing-analytics/united-arab-emirates" TargetMode="External"/><Relationship Id="rId2295" Type="http://schemas.openxmlformats.org/officeDocument/2006/relationships/hyperlink" Target="https://www.keplergrp.com/expertise/generative-engine-optimization-the-future-of-digital-visibility" TargetMode="External"/><Relationship Id="rId251" Type="http://schemas.openxmlformats.org/officeDocument/2006/relationships/hyperlink" Target="http://digitalagencynetwork.com" TargetMode="External"/><Relationship Id="rId2296" Type="http://schemas.openxmlformats.org/officeDocument/2006/relationships/hyperlink" Target="http://keplergrp.com" TargetMode="External"/><Relationship Id="rId250" Type="http://schemas.openxmlformats.org/officeDocument/2006/relationships/hyperlink" Target="https://digitalagencynetwork.com/agencies/dubai/geo/" TargetMode="External"/><Relationship Id="rId2297" Type="http://schemas.openxmlformats.org/officeDocument/2006/relationships/hyperlink" Target="https://www.keyade.com/en/" TargetMode="External"/><Relationship Id="rId257" Type="http://schemas.openxmlformats.org/officeDocument/2006/relationships/hyperlink" Target="http://mystrika.com" TargetMode="External"/><Relationship Id="rId2298" Type="http://schemas.openxmlformats.org/officeDocument/2006/relationships/hyperlink" Target="http://keyade.com" TargetMode="External"/><Relationship Id="rId256" Type="http://schemas.openxmlformats.org/officeDocument/2006/relationships/hyperlink" Target="https://mystrika.com/directory/agencies/top/data-analytics-in-country-united-arab-emirates" TargetMode="External"/><Relationship Id="rId2299" Type="http://schemas.openxmlformats.org/officeDocument/2006/relationships/hyperlink" Target="https://www.kifconsultancy.com/ai-adoption/" TargetMode="External"/><Relationship Id="rId255" Type="http://schemas.openxmlformats.org/officeDocument/2006/relationships/hyperlink" Target="http://havstrategy.com" TargetMode="External"/><Relationship Id="rId254" Type="http://schemas.openxmlformats.org/officeDocument/2006/relationships/hyperlink" Target="https://www.havstrategy.com/best-performance-marketing-agency-in-uae/" TargetMode="External"/><Relationship Id="rId293" Type="http://schemas.openxmlformats.org/officeDocument/2006/relationships/hyperlink" Target="https://www.10seos.com/ae/display-advertising-companies-in-dubai-uae?page=3" TargetMode="External"/><Relationship Id="rId292" Type="http://schemas.openxmlformats.org/officeDocument/2006/relationships/hyperlink" Target="http://avixa.org" TargetMode="External"/><Relationship Id="rId291" Type="http://schemas.openxmlformats.org/officeDocument/2006/relationships/hyperlink" Target="https://xchange.avixa.org/posts/top-5-digital-marketing-agencies-in-uae-2026" TargetMode="External"/><Relationship Id="rId290" Type="http://schemas.openxmlformats.org/officeDocument/2006/relationships/hyperlink" Target="http://toprankedworld.com" TargetMode="External"/><Relationship Id="rId286" Type="http://schemas.openxmlformats.org/officeDocument/2006/relationships/hyperlink" Target="http://nomadx.ae" TargetMode="External"/><Relationship Id="rId285" Type="http://schemas.openxmlformats.org/officeDocument/2006/relationships/hyperlink" Target="https://nomadx.ae/ai-consulting-uae/" TargetMode="External"/><Relationship Id="rId284" Type="http://schemas.openxmlformats.org/officeDocument/2006/relationships/hyperlink" Target="http://clutch.co" TargetMode="External"/><Relationship Id="rId283" Type="http://schemas.openxmlformats.org/officeDocument/2006/relationships/hyperlink" Target="https://clutch.co/ae/agencies/social-media-marketing/dubai" TargetMode="External"/><Relationship Id="rId289" Type="http://schemas.openxmlformats.org/officeDocument/2006/relationships/hyperlink" Target="https://toprankedworld.com/top-performance-marketing-agencies-in-uae/" TargetMode="External"/><Relationship Id="rId288" Type="http://schemas.openxmlformats.org/officeDocument/2006/relationships/hyperlink" Target="https://oski.site/blog/ai-consulting-companies-uae/" TargetMode="External"/><Relationship Id="rId287" Type="http://schemas.openxmlformats.org/officeDocument/2006/relationships/hyperlink" Target="https://www.octopusmarketing.agency/digital-marketing/analytics-and-cro/a-b-testing-agency-service/" TargetMode="External"/><Relationship Id="rId282" Type="http://schemas.openxmlformats.org/officeDocument/2006/relationships/hyperlink" Target="http://astudio.ae" TargetMode="External"/><Relationship Id="rId281" Type="http://schemas.openxmlformats.org/officeDocument/2006/relationships/hyperlink" Target="https://www.astudio.ae/creative-digital-agency/uae/" TargetMode="External"/><Relationship Id="rId280" Type="http://schemas.openxmlformats.org/officeDocument/2006/relationships/hyperlink" Target="http://adbeacon.com" TargetMode="External"/><Relationship Id="rId275" Type="http://schemas.openxmlformats.org/officeDocument/2006/relationships/hyperlink" Target="https://www.sortlist.com/l/united-arab-emirates-ae" TargetMode="External"/><Relationship Id="rId274" Type="http://schemas.openxmlformats.org/officeDocument/2006/relationships/hyperlink" Target="http://prismads.com" TargetMode="External"/><Relationship Id="rId273" Type="http://schemas.openxmlformats.org/officeDocument/2006/relationships/hyperlink" Target="https://www.prismads.com/" TargetMode="External"/><Relationship Id="rId272" Type="http://schemas.openxmlformats.org/officeDocument/2006/relationships/hyperlink" Target="http://integrateitsolutions.com" TargetMode="External"/><Relationship Id="rId279" Type="http://schemas.openxmlformats.org/officeDocument/2006/relationships/hyperlink" Target="https://www.adbeacon.com/19-best-marketing-attribution-software-solutions-in-2026/" TargetMode="External"/><Relationship Id="rId278" Type="http://schemas.openxmlformats.org/officeDocument/2006/relationships/hyperlink" Target="http://sortlist.com" TargetMode="External"/><Relationship Id="rId277" Type="http://schemas.openxmlformats.org/officeDocument/2006/relationships/hyperlink" Target="https://www.sortlist.com/social-media/dubai-ae" TargetMode="External"/><Relationship Id="rId276" Type="http://schemas.openxmlformats.org/officeDocument/2006/relationships/hyperlink" Target="http://sortlist.com" TargetMode="External"/><Relationship Id="rId1851" Type="http://schemas.openxmlformats.org/officeDocument/2006/relationships/hyperlink" Target="https://www.cometly.com/post/incrementality-measurement-tool" TargetMode="External"/><Relationship Id="rId1852" Type="http://schemas.openxmlformats.org/officeDocument/2006/relationships/hyperlink" Target="http://cometly.com" TargetMode="External"/><Relationship Id="rId1853" Type="http://schemas.openxmlformats.org/officeDocument/2006/relationships/hyperlink" Target="https://www.cometly.com/post/incrementality-testing-for-paid-advertising" TargetMode="External"/><Relationship Id="rId2700" Type="http://schemas.openxmlformats.org/officeDocument/2006/relationships/hyperlink" Target="https://www.socotec-middleeast.com/our-services/geotechnical-engineering" TargetMode="External"/><Relationship Id="rId1854" Type="http://schemas.openxmlformats.org/officeDocument/2006/relationships/hyperlink" Target="http://cometly.com" TargetMode="External"/><Relationship Id="rId2701" Type="http://schemas.openxmlformats.org/officeDocument/2006/relationships/hyperlink" Target="http://socotec-middleeast.com" TargetMode="External"/><Relationship Id="rId1855" Type="http://schemas.openxmlformats.org/officeDocument/2006/relationships/hyperlink" Target="https://commonthreadco.com/blogs/coachs-corner/how-to-measure-incrementality-in-ecommerce-the-framework-behind-3b-in-revenue" TargetMode="External"/><Relationship Id="rId2702" Type="http://schemas.openxmlformats.org/officeDocument/2006/relationships/hyperlink" Target="https://soho-aimarketing.com/" TargetMode="External"/><Relationship Id="rId1856" Type="http://schemas.openxmlformats.org/officeDocument/2006/relationships/hyperlink" Target="http://commonthreadco.com" TargetMode="External"/><Relationship Id="rId2703" Type="http://schemas.openxmlformats.org/officeDocument/2006/relationships/hyperlink" Target="http://soho-aimarketing.com" TargetMode="External"/><Relationship Id="rId1857" Type="http://schemas.openxmlformats.org/officeDocument/2006/relationships/hyperlink" Target="https://communicateonline.me/news/great-marketing-business-minds-uae-returns-for-fourth-edition-in-dubai/" TargetMode="External"/><Relationship Id="rId2704" Type="http://schemas.openxmlformats.org/officeDocument/2006/relationships/hyperlink" Target="https://solanalytics.com/insights-research-analytics/" TargetMode="External"/><Relationship Id="rId1858" Type="http://schemas.openxmlformats.org/officeDocument/2006/relationships/hyperlink" Target="http://communicateonline.me" TargetMode="External"/><Relationship Id="rId2705" Type="http://schemas.openxmlformats.org/officeDocument/2006/relationships/hyperlink" Target="http://solanalytics.com" TargetMode="External"/><Relationship Id="rId1859" Type="http://schemas.openxmlformats.org/officeDocument/2006/relationships/hyperlink" Target="https://communicateonline.me/news/trkkn-mena-awarded-google-marketing-platform-certification-reseller-status/" TargetMode="External"/><Relationship Id="rId2706" Type="http://schemas.openxmlformats.org/officeDocument/2006/relationships/hyperlink" Target="https://www.solulab.com/ai-readiness-dubai-businesses/" TargetMode="External"/><Relationship Id="rId2707" Type="http://schemas.openxmlformats.org/officeDocument/2006/relationships/hyperlink" Target="http://solulab.com" TargetMode="External"/><Relationship Id="rId2708" Type="http://schemas.openxmlformats.org/officeDocument/2006/relationships/hyperlink" Target="https://www.sortlist.com/advertising/abu-dhabi-ae" TargetMode="External"/><Relationship Id="rId2709" Type="http://schemas.openxmlformats.org/officeDocument/2006/relationships/hyperlink" Target="http://sortlist.com" TargetMode="External"/><Relationship Id="rId1850" Type="http://schemas.openxmlformats.org/officeDocument/2006/relationships/hyperlink" Target="http://cometly.com" TargetMode="External"/><Relationship Id="rId1840" Type="http://schemas.openxmlformats.org/officeDocument/2006/relationships/hyperlink" Target="http://clutch.co" TargetMode="External"/><Relationship Id="rId1841" Type="http://schemas.openxmlformats.org/officeDocument/2006/relationships/hyperlink" Target="https://clutch.co/agencies/performance-marketing" TargetMode="External"/><Relationship Id="rId1842" Type="http://schemas.openxmlformats.org/officeDocument/2006/relationships/hyperlink" Target="http://clutch.co" TargetMode="External"/><Relationship Id="rId1843" Type="http://schemas.openxmlformats.org/officeDocument/2006/relationships/hyperlink" Target="https://www.codeandco.ae/display-advertising-planning" TargetMode="External"/><Relationship Id="rId1844" Type="http://schemas.openxmlformats.org/officeDocument/2006/relationships/hyperlink" Target="http://codeandco.ae" TargetMode="External"/><Relationship Id="rId1845" Type="http://schemas.openxmlformats.org/officeDocument/2006/relationships/hyperlink" Target="https://cofes.com/performance-marketing-agency/" TargetMode="External"/><Relationship Id="rId1846" Type="http://schemas.openxmlformats.org/officeDocument/2006/relationships/hyperlink" Target="http://cofes.com" TargetMode="External"/><Relationship Id="rId1847" Type="http://schemas.openxmlformats.org/officeDocument/2006/relationships/hyperlink" Target="https://www.cometly.com/post/agency-marketing-attribution-tools" TargetMode="External"/><Relationship Id="rId1848" Type="http://schemas.openxmlformats.org/officeDocument/2006/relationships/hyperlink" Target="http://cometly.com" TargetMode="External"/><Relationship Id="rId1849" Type="http://schemas.openxmlformats.org/officeDocument/2006/relationships/hyperlink" Target="https://www.cometly.com/post/first-party-data-tracking-solutions" TargetMode="External"/><Relationship Id="rId1873" Type="http://schemas.openxmlformats.org/officeDocument/2006/relationships/hyperlink" Target="https://creativemediahouse.ae/" TargetMode="External"/><Relationship Id="rId2720" Type="http://schemas.openxmlformats.org/officeDocument/2006/relationships/hyperlink" Target="https://www.sortlist.com/s/creative/abu-dhabi-ae" TargetMode="External"/><Relationship Id="rId1874" Type="http://schemas.openxmlformats.org/officeDocument/2006/relationships/hyperlink" Target="http://creativemediahouse.ae" TargetMode="External"/><Relationship Id="rId2721" Type="http://schemas.openxmlformats.org/officeDocument/2006/relationships/hyperlink" Target="http://sortlist.com" TargetMode="External"/><Relationship Id="rId1875" Type="http://schemas.openxmlformats.org/officeDocument/2006/relationships/hyperlink" Target="https://creativemediahouse.ae/how-to-choose-the-best-ai-seo-digital-marketing-agency-in-dubai/" TargetMode="External"/><Relationship Id="rId2722" Type="http://schemas.openxmlformats.org/officeDocument/2006/relationships/hyperlink" Target="https://www.sortlist.com/s/paid-media/beirut-beirut" TargetMode="External"/><Relationship Id="rId1876" Type="http://schemas.openxmlformats.org/officeDocument/2006/relationships/hyperlink" Target="http://creativemediahouse.ae" TargetMode="External"/><Relationship Id="rId2723" Type="http://schemas.openxmlformats.org/officeDocument/2006/relationships/hyperlink" Target="http://sortlist.com" TargetMode="External"/><Relationship Id="rId1877" Type="http://schemas.openxmlformats.org/officeDocument/2006/relationships/hyperlink" Target="https://www.creativezone.ae/events/uae-scaling-secrets-how-top-founders-succeed/" TargetMode="External"/><Relationship Id="rId2724" Type="http://schemas.openxmlformats.org/officeDocument/2006/relationships/hyperlink" Target="https://www.sortlist.com/s/performance-marketing/india-in" TargetMode="External"/><Relationship Id="rId1878" Type="http://schemas.openxmlformats.org/officeDocument/2006/relationships/hyperlink" Target="http://creativezone.ae" TargetMode="External"/><Relationship Id="rId2725" Type="http://schemas.openxmlformats.org/officeDocument/2006/relationships/hyperlink" Target="http://sortlist.com" TargetMode="External"/><Relationship Id="rId1879" Type="http://schemas.openxmlformats.org/officeDocument/2006/relationships/hyperlink" Target="https://crunchsolutions.ae/" TargetMode="External"/><Relationship Id="rId2726" Type="http://schemas.openxmlformats.org/officeDocument/2006/relationships/hyperlink" Target="https://www.sortlist.com/seo/united-arab-emirates-ae" TargetMode="External"/><Relationship Id="rId2727" Type="http://schemas.openxmlformats.org/officeDocument/2006/relationships/hyperlink" Target="http://sortlist.com" TargetMode="External"/><Relationship Id="rId2728" Type="http://schemas.openxmlformats.org/officeDocument/2006/relationships/hyperlink" Target="https://www.sortlist.com/social-media-optimization" TargetMode="External"/><Relationship Id="rId2729" Type="http://schemas.openxmlformats.org/officeDocument/2006/relationships/hyperlink" Target="http://sortlist.com" TargetMode="External"/><Relationship Id="rId1870" Type="http://schemas.openxmlformats.org/officeDocument/2006/relationships/hyperlink" Target="http://crawlbrains.ae" TargetMode="External"/><Relationship Id="rId1871" Type="http://schemas.openxmlformats.org/officeDocument/2006/relationships/hyperlink" Target="https://www.creativebroadcast.ae/" TargetMode="External"/><Relationship Id="rId1872" Type="http://schemas.openxmlformats.org/officeDocument/2006/relationships/hyperlink" Target="http://creativebroadcast.ae" TargetMode="External"/><Relationship Id="rId1862" Type="http://schemas.openxmlformats.org/officeDocument/2006/relationships/hyperlink" Target="http://competenza.ae" TargetMode="External"/><Relationship Id="rId1863" Type="http://schemas.openxmlformats.org/officeDocument/2006/relationships/hyperlink" Target="https://comtask.net/services/ai-consulting-gcc/" TargetMode="External"/><Relationship Id="rId2710" Type="http://schemas.openxmlformats.org/officeDocument/2006/relationships/hyperlink" Target="https://www.sortlist.com/advertising/algeria-dz" TargetMode="External"/><Relationship Id="rId1864" Type="http://schemas.openxmlformats.org/officeDocument/2006/relationships/hyperlink" Target="http://comtask.net" TargetMode="External"/><Relationship Id="rId2711" Type="http://schemas.openxmlformats.org/officeDocument/2006/relationships/hyperlink" Target="http://sortlist.com" TargetMode="External"/><Relationship Id="rId1865" Type="http://schemas.openxmlformats.org/officeDocument/2006/relationships/hyperlink" Target="https://cornerstonecontent.com/best-answer-engine-optimization-aeo-agencies/" TargetMode="External"/><Relationship Id="rId2712" Type="http://schemas.openxmlformats.org/officeDocument/2006/relationships/hyperlink" Target="https://www.sortlist.com/media-planning/abu-dhabi-ae" TargetMode="External"/><Relationship Id="rId1866" Type="http://schemas.openxmlformats.org/officeDocument/2006/relationships/hyperlink" Target="http://cornerstonecontent.com" TargetMode="External"/><Relationship Id="rId2713" Type="http://schemas.openxmlformats.org/officeDocument/2006/relationships/hyperlink" Target="http://sortlist.com" TargetMode="External"/><Relationship Id="rId1867" Type="http://schemas.openxmlformats.org/officeDocument/2006/relationships/hyperlink" Target="https://crawlbrains.ae/ai-optimization-services-dubai/" TargetMode="External"/><Relationship Id="rId2714" Type="http://schemas.openxmlformats.org/officeDocument/2006/relationships/hyperlink" Target="https://www.sortlist.com/media-planning/united-arab-emirates-ae" TargetMode="External"/><Relationship Id="rId1868" Type="http://schemas.openxmlformats.org/officeDocument/2006/relationships/hyperlink" Target="http://crawlbrains.ae" TargetMode="External"/><Relationship Id="rId2715" Type="http://schemas.openxmlformats.org/officeDocument/2006/relationships/hyperlink" Target="http://sortlist.com" TargetMode="External"/><Relationship Id="rId1869" Type="http://schemas.openxmlformats.org/officeDocument/2006/relationships/hyperlink" Target="https://crawlbrains.ae/geo-services-company-dubai/" TargetMode="External"/><Relationship Id="rId2716" Type="http://schemas.openxmlformats.org/officeDocument/2006/relationships/hyperlink" Target="https://www.sortlist.com/s/artificial-intelligence/abu-dhabi-ae" TargetMode="External"/><Relationship Id="rId2717" Type="http://schemas.openxmlformats.org/officeDocument/2006/relationships/hyperlink" Target="http://sortlist.com" TargetMode="External"/><Relationship Id="rId2718" Type="http://schemas.openxmlformats.org/officeDocument/2006/relationships/hyperlink" Target="https://www.sortlist.com/s/artificial-intelligence/dubai-ae" TargetMode="External"/><Relationship Id="rId2719" Type="http://schemas.openxmlformats.org/officeDocument/2006/relationships/hyperlink" Target="http://sortlist.com" TargetMode="External"/><Relationship Id="rId1860" Type="http://schemas.openxmlformats.org/officeDocument/2006/relationships/hyperlink" Target="http://communicateonline.me" TargetMode="External"/><Relationship Id="rId1861" Type="http://schemas.openxmlformats.org/officeDocument/2006/relationships/hyperlink" Target="https://competenza.ae/blog/top-10-best-software-development-companies-in-uae/" TargetMode="External"/><Relationship Id="rId1810" Type="http://schemas.openxmlformats.org/officeDocument/2006/relationships/hyperlink" Target="http://circana.com" TargetMode="External"/><Relationship Id="rId1811" Type="http://schemas.openxmlformats.org/officeDocument/2006/relationships/hyperlink" Target="https://clicksgeek.com/best-marketing-agency-for-roi/" TargetMode="External"/><Relationship Id="rId1812" Type="http://schemas.openxmlformats.org/officeDocument/2006/relationships/hyperlink" Target="http://clicksgeek.com" TargetMode="External"/><Relationship Id="rId1813" Type="http://schemas.openxmlformats.org/officeDocument/2006/relationships/hyperlink" Target="https://clicksgeek.com/best-roi-digital-marketing-agencies/" TargetMode="External"/><Relationship Id="rId1814" Type="http://schemas.openxmlformats.org/officeDocument/2006/relationships/hyperlink" Target="http://clicksgeek.com" TargetMode="External"/><Relationship Id="rId1815" Type="http://schemas.openxmlformats.org/officeDocument/2006/relationships/hyperlink" Target="https://clicksgeek.com/best-roi-focused-marketing-agencies/" TargetMode="External"/><Relationship Id="rId1816" Type="http://schemas.openxmlformats.org/officeDocument/2006/relationships/hyperlink" Target="http://clicksgeek.com" TargetMode="External"/><Relationship Id="rId1817" Type="http://schemas.openxmlformats.org/officeDocument/2006/relationships/hyperlink" Target="https://clicksgeek.com/best-roi-focused-marketing-agency/" TargetMode="External"/><Relationship Id="rId1818" Type="http://schemas.openxmlformats.org/officeDocument/2006/relationships/hyperlink" Target="http://clicksgeek.com" TargetMode="External"/><Relationship Id="rId1819" Type="http://schemas.openxmlformats.org/officeDocument/2006/relationships/hyperlink" Target="https://clicksgeek.com/best-roi-marketing-agencies/" TargetMode="External"/><Relationship Id="rId1800" Type="http://schemas.openxmlformats.org/officeDocument/2006/relationships/hyperlink" Target="http://campaignme.com" TargetMode="External"/><Relationship Id="rId1801" Type="http://schemas.openxmlformats.org/officeDocument/2006/relationships/hyperlink" Target="https://cassandra.app/platform" TargetMode="External"/><Relationship Id="rId1802" Type="http://schemas.openxmlformats.org/officeDocument/2006/relationships/hyperlink" Target="https://ccagency.ae/" TargetMode="External"/><Relationship Id="rId1803" Type="http://schemas.openxmlformats.org/officeDocument/2006/relationships/hyperlink" Target="http://ccagency.ae" TargetMode="External"/><Relationship Id="rId1804" Type="http://schemas.openxmlformats.org/officeDocument/2006/relationships/hyperlink" Target="https://centrus.digital/blog/best-digital-marketing-agency/" TargetMode="External"/><Relationship Id="rId1805" Type="http://schemas.openxmlformats.org/officeDocument/2006/relationships/hyperlink" Target="https://www.chooseoxygen.ae/services/ai-consulting?hsLang=en-gb" TargetMode="External"/><Relationship Id="rId1806" Type="http://schemas.openxmlformats.org/officeDocument/2006/relationships/hyperlink" Target="http://chooseoxygen.ae" TargetMode="External"/><Relationship Id="rId1807" Type="http://schemas.openxmlformats.org/officeDocument/2006/relationships/hyperlink" Target="https://cieden.com/ai-strategy-consulting" TargetMode="External"/><Relationship Id="rId1808" Type="http://schemas.openxmlformats.org/officeDocument/2006/relationships/hyperlink" Target="http://cieden.com" TargetMode="External"/><Relationship Id="rId1809" Type="http://schemas.openxmlformats.org/officeDocument/2006/relationships/hyperlink" Target="https://www.circana.com/liquid-mix" TargetMode="External"/><Relationship Id="rId1830" Type="http://schemas.openxmlformats.org/officeDocument/2006/relationships/hyperlink" Target="http://clutch.co" TargetMode="External"/><Relationship Id="rId1831" Type="http://schemas.openxmlformats.org/officeDocument/2006/relationships/hyperlink" Target="https://clutch.co/ae/agencies/ppc/google-adwords/dubai" TargetMode="External"/><Relationship Id="rId1832" Type="http://schemas.openxmlformats.org/officeDocument/2006/relationships/hyperlink" Target="http://clutch.co" TargetMode="External"/><Relationship Id="rId1833" Type="http://schemas.openxmlformats.org/officeDocument/2006/relationships/hyperlink" Target="https://clutch.co/ae/agencies/social-media-marketing/dubai?page=21" TargetMode="External"/><Relationship Id="rId1834" Type="http://schemas.openxmlformats.org/officeDocument/2006/relationships/hyperlink" Target="http://clutch.co" TargetMode="External"/><Relationship Id="rId1835" Type="http://schemas.openxmlformats.org/officeDocument/2006/relationships/hyperlink" Target="https://clutch.co/ae/agencies/social-media-marketing/influencer/dubai" TargetMode="External"/><Relationship Id="rId1836" Type="http://schemas.openxmlformats.org/officeDocument/2006/relationships/hyperlink" Target="http://clutch.co" TargetMode="External"/><Relationship Id="rId1837" Type="http://schemas.openxmlformats.org/officeDocument/2006/relationships/hyperlink" Target="https://clutch.co/ae/consulting/ai/strategy/dubai" TargetMode="External"/><Relationship Id="rId1838" Type="http://schemas.openxmlformats.org/officeDocument/2006/relationships/hyperlink" Target="http://clutch.co" TargetMode="External"/><Relationship Id="rId1839" Type="http://schemas.openxmlformats.org/officeDocument/2006/relationships/hyperlink" Target="https://clutch.co/agencies/media-buying/ooh" TargetMode="External"/><Relationship Id="rId1820" Type="http://schemas.openxmlformats.org/officeDocument/2006/relationships/hyperlink" Target="http://clicksgeek.com" TargetMode="External"/><Relationship Id="rId1821" Type="http://schemas.openxmlformats.org/officeDocument/2006/relationships/hyperlink" Target="https://clickworkzz.com/" TargetMode="External"/><Relationship Id="rId1822" Type="http://schemas.openxmlformats.org/officeDocument/2006/relationships/hyperlink" Target="http://clickworkzz.com" TargetMode="External"/><Relationship Id="rId1823" Type="http://schemas.openxmlformats.org/officeDocument/2006/relationships/hyperlink" Target="https://www.cloud6.ae/blogs/top-seo-agencies-in-dubai" TargetMode="External"/><Relationship Id="rId1824" Type="http://schemas.openxmlformats.org/officeDocument/2006/relationships/hyperlink" Target="http://cloud6.ae" TargetMode="External"/><Relationship Id="rId1825" Type="http://schemas.openxmlformats.org/officeDocument/2006/relationships/hyperlink" Target="https://clutch.co/ae/agencies/content-marketing" TargetMode="External"/><Relationship Id="rId1826" Type="http://schemas.openxmlformats.org/officeDocument/2006/relationships/hyperlink" Target="http://clutch.co" TargetMode="External"/><Relationship Id="rId1827" Type="http://schemas.openxmlformats.org/officeDocument/2006/relationships/hyperlink" Target="https://clutch.co/ae/agencies/digital-marketing?page=10" TargetMode="External"/><Relationship Id="rId1828" Type="http://schemas.openxmlformats.org/officeDocument/2006/relationships/hyperlink" Target="http://clutch.co" TargetMode="External"/><Relationship Id="rId1829" Type="http://schemas.openxmlformats.org/officeDocument/2006/relationships/hyperlink" Target="https://clutch.co/ae/agencies/digital-marketing?page=29" TargetMode="External"/><Relationship Id="rId1455" Type="http://schemas.openxmlformats.org/officeDocument/2006/relationships/hyperlink" Target="https://rocketium.ai/academy/all/ai-tools-scaling-creative-production" TargetMode="External"/><Relationship Id="rId2302" Type="http://schemas.openxmlformats.org/officeDocument/2006/relationships/hyperlink" Target="http://kineticcs.com" TargetMode="External"/><Relationship Id="rId2786" Type="http://schemas.openxmlformats.org/officeDocument/2006/relationships/hyperlink" Target="http://thebestgeo.com" TargetMode="External"/><Relationship Id="rId1456" Type="http://schemas.openxmlformats.org/officeDocument/2006/relationships/hyperlink" Target="http://rocketium.ai" TargetMode="External"/><Relationship Id="rId2303" Type="http://schemas.openxmlformats.org/officeDocument/2006/relationships/hyperlink" Target="https://www.kochava.com/" TargetMode="External"/><Relationship Id="rId2787" Type="http://schemas.openxmlformats.org/officeDocument/2006/relationships/hyperlink" Target="https://thebrandberries.com/performics-me-secures-google-marketing-platform-partner-reseller-status-in-mena/" TargetMode="External"/><Relationship Id="rId1457" Type="http://schemas.openxmlformats.org/officeDocument/2006/relationships/hyperlink" Target="https://runtime-solutions.ae/ar/top-20-performance-marketing-agencies-in-dubai-2024/" TargetMode="External"/><Relationship Id="rId2304" Type="http://schemas.openxmlformats.org/officeDocument/2006/relationships/hyperlink" Target="http://kochava.com" TargetMode="External"/><Relationship Id="rId2788" Type="http://schemas.openxmlformats.org/officeDocument/2006/relationships/hyperlink" Target="http://thebrandberries.com" TargetMode="External"/><Relationship Id="rId1458" Type="http://schemas.openxmlformats.org/officeDocument/2006/relationships/hyperlink" Target="http://runtime-solutions.ae" TargetMode="External"/><Relationship Id="rId2305" Type="http://schemas.openxmlformats.org/officeDocument/2006/relationships/hyperlink" Target="https://www.kochava.com/product/marketing-mix-modeling/" TargetMode="External"/><Relationship Id="rId2789" Type="http://schemas.openxmlformats.org/officeDocument/2006/relationships/hyperlink" Target="https://thebrandcall.com/" TargetMode="External"/><Relationship Id="rId1459" Type="http://schemas.openxmlformats.org/officeDocument/2006/relationships/hyperlink" Target="https://www.rzlt.io/blog/best-ai-marketing-agencies-in-2026-the-definitive-guide-by-specialty" TargetMode="External"/><Relationship Id="rId2306" Type="http://schemas.openxmlformats.org/officeDocument/2006/relationships/hyperlink" Target="http://kochava.com" TargetMode="External"/><Relationship Id="rId2307" Type="http://schemas.openxmlformats.org/officeDocument/2006/relationships/hyperlink" Target="https://konvergense.com/best-selling-ai-automation-agents/" TargetMode="External"/><Relationship Id="rId2308" Type="http://schemas.openxmlformats.org/officeDocument/2006/relationships/hyperlink" Target="http://konvergense.com" TargetMode="External"/><Relationship Id="rId2309" Type="http://schemas.openxmlformats.org/officeDocument/2006/relationships/hyperlink" Target="https://konvergense.com/digital-marketing-strategy-uae-gcc/" TargetMode="External"/><Relationship Id="rId629" Type="http://schemas.openxmlformats.org/officeDocument/2006/relationships/hyperlink" Target="https://www.incrementors.com/digital-marketing-agency-dubai-uae/" TargetMode="External"/><Relationship Id="rId624" Type="http://schemas.openxmlformats.org/officeDocument/2006/relationships/hyperlink" Target="https://ensun.io/search/geospatial-gis/united-arab-emirates" TargetMode="External"/><Relationship Id="rId623" Type="http://schemas.openxmlformats.org/officeDocument/2006/relationships/hyperlink" Target="http://digitalnexa.com" TargetMode="External"/><Relationship Id="rId622" Type="http://schemas.openxmlformats.org/officeDocument/2006/relationships/hyperlink" Target="https://www.digitalnexa.com/digital-performance-marketing-agency-services" TargetMode="External"/><Relationship Id="rId621" Type="http://schemas.openxmlformats.org/officeDocument/2006/relationships/hyperlink" Target="http://designrush.com" TargetMode="External"/><Relationship Id="rId628" Type="http://schemas.openxmlformats.org/officeDocument/2006/relationships/hyperlink" Target="https://inbeat.agency/blog/best-digital-marketing-agencies-abu-dhabi" TargetMode="External"/><Relationship Id="rId627" Type="http://schemas.openxmlformats.org/officeDocument/2006/relationships/hyperlink" Target="http://geoagency.net" TargetMode="External"/><Relationship Id="rId626" Type="http://schemas.openxmlformats.org/officeDocument/2006/relationships/hyperlink" Target="https://www.geoagency.net/" TargetMode="External"/><Relationship Id="rId625" Type="http://schemas.openxmlformats.org/officeDocument/2006/relationships/hyperlink" Target="http://ensun.io" TargetMode="External"/><Relationship Id="rId2780" Type="http://schemas.openxmlformats.org/officeDocument/2006/relationships/hyperlink" Target="http://thatware.co" TargetMode="External"/><Relationship Id="rId1450" Type="http://schemas.openxmlformats.org/officeDocument/2006/relationships/hyperlink" Target="http://reddit.com" TargetMode="External"/><Relationship Id="rId2781" Type="http://schemas.openxmlformats.org/officeDocument/2006/relationships/hyperlink" Target="https://thatware.co/top-10-geo-companies-in-gcc/" TargetMode="External"/><Relationship Id="rId620" Type="http://schemas.openxmlformats.org/officeDocument/2006/relationships/hyperlink" Target="https://www.designrush.com/agency/digital-marketing/ae/dubai" TargetMode="External"/><Relationship Id="rId1451" Type="http://schemas.openxmlformats.org/officeDocument/2006/relationships/hyperlink" Target="https://www.reddit.com/r/aeo/comments/1twcbr2/best_aeo_agency_guide_what_to_look_for_in_an/" TargetMode="External"/><Relationship Id="rId2782" Type="http://schemas.openxmlformats.org/officeDocument/2006/relationships/hyperlink" Target="http://thatware.co" TargetMode="External"/><Relationship Id="rId1452" Type="http://schemas.openxmlformats.org/officeDocument/2006/relationships/hyperlink" Target="http://reddit.com" TargetMode="External"/><Relationship Id="rId2783" Type="http://schemas.openxmlformats.org/officeDocument/2006/relationships/hyperlink" Target="https://www.theaeoagency.io/" TargetMode="External"/><Relationship Id="rId1453" Type="http://schemas.openxmlformats.org/officeDocument/2006/relationships/hyperlink" Target="https://www.revlift.co/aeo-agency" TargetMode="External"/><Relationship Id="rId2300" Type="http://schemas.openxmlformats.org/officeDocument/2006/relationships/hyperlink" Target="http://kifconsultancy.com" TargetMode="External"/><Relationship Id="rId2784" Type="http://schemas.openxmlformats.org/officeDocument/2006/relationships/hyperlink" Target="http://theaeoagency.io" TargetMode="External"/><Relationship Id="rId1454" Type="http://schemas.openxmlformats.org/officeDocument/2006/relationships/hyperlink" Target="http://revlift.co" TargetMode="External"/><Relationship Id="rId2301" Type="http://schemas.openxmlformats.org/officeDocument/2006/relationships/hyperlink" Target="https://kineticcs.com/" TargetMode="External"/><Relationship Id="rId2785" Type="http://schemas.openxmlformats.org/officeDocument/2006/relationships/hyperlink" Target="https://thebestgeo.com/" TargetMode="External"/><Relationship Id="rId1444" Type="http://schemas.openxmlformats.org/officeDocument/2006/relationships/hyperlink" Target="http://proplexads.com" TargetMode="External"/><Relationship Id="rId2775" Type="http://schemas.openxmlformats.org/officeDocument/2006/relationships/hyperlink" Target="https://www.tekrevol.com/blogs/best-ai-consulting-companies-in-dubai-uae/" TargetMode="External"/><Relationship Id="rId1445" Type="http://schemas.openxmlformats.org/officeDocument/2006/relationships/hyperlink" Target="https://pulseo.ae/en/performance-marketing-agency-al-ain" TargetMode="External"/><Relationship Id="rId2776" Type="http://schemas.openxmlformats.org/officeDocument/2006/relationships/hyperlink" Target="http://tekrevol.com" TargetMode="External"/><Relationship Id="rId1446" Type="http://schemas.openxmlformats.org/officeDocument/2006/relationships/hyperlink" Target="http://pulseo.ae" TargetMode="External"/><Relationship Id="rId2777" Type="http://schemas.openxmlformats.org/officeDocument/2006/relationships/hyperlink" Target="https://thatware.co/aeo-services/" TargetMode="External"/><Relationship Id="rId1447" Type="http://schemas.openxmlformats.org/officeDocument/2006/relationships/hyperlink" Target="https://www.reddit.com/r/DesignDigitalProducts/comments/1tm0oqk/top_5_best_branding_agencies_in_dubai_based_on_my/" TargetMode="External"/><Relationship Id="rId2778" Type="http://schemas.openxmlformats.org/officeDocument/2006/relationships/hyperlink" Target="http://thatware.co" TargetMode="External"/><Relationship Id="rId1448" Type="http://schemas.openxmlformats.org/officeDocument/2006/relationships/hyperlink" Target="http://reddit.com" TargetMode="External"/><Relationship Id="rId2779" Type="http://schemas.openxmlformats.org/officeDocument/2006/relationships/hyperlink" Target="https://thatware.co/seo-services-uae/" TargetMode="External"/><Relationship Id="rId1449" Type="http://schemas.openxmlformats.org/officeDocument/2006/relationships/hyperlink" Target="https://www.reddit.com/r/UAE/comments/1oienom/which_is_the_best_performance_and_roifocused/" TargetMode="External"/><Relationship Id="rId619" Type="http://schemas.openxmlformats.org/officeDocument/2006/relationships/hyperlink" Target="https://blog.google/products/marketingplatform/360/introducing-google-marketing-platform-partners/" TargetMode="External"/><Relationship Id="rId618" Type="http://schemas.openxmlformats.org/officeDocument/2006/relationships/hyperlink" Target="http://bimodal.io" TargetMode="External"/><Relationship Id="rId613" Type="http://schemas.openxmlformats.org/officeDocument/2006/relationships/hyperlink" Target="https://advertising-companies-in-dubai.com/display-advertising-agencies/dubai" TargetMode="External"/><Relationship Id="rId612" Type="http://schemas.openxmlformats.org/officeDocument/2006/relationships/hyperlink" Target="https://www.adsdigital.agency/" TargetMode="External"/><Relationship Id="rId611" Type="http://schemas.openxmlformats.org/officeDocument/2006/relationships/hyperlink" Target="http://youtube.com" TargetMode="External"/><Relationship Id="rId610" Type="http://schemas.openxmlformats.org/officeDocument/2006/relationships/hyperlink" Target="https://www.youtube.com/watch?v=fAu38Nl3Iqw" TargetMode="External"/><Relationship Id="rId617" Type="http://schemas.openxmlformats.org/officeDocument/2006/relationships/hyperlink" Target="https://www.bimodal.io/" TargetMode="External"/><Relationship Id="rId616" Type="http://schemas.openxmlformats.org/officeDocument/2006/relationships/hyperlink" Target="http://bicommunications.ae" TargetMode="External"/><Relationship Id="rId615" Type="http://schemas.openxmlformats.org/officeDocument/2006/relationships/hyperlink" Target="https://www.bicommunications.ae/blog/best-google-ads-agencies-abu-dhabi/" TargetMode="External"/><Relationship Id="rId614" Type="http://schemas.openxmlformats.org/officeDocument/2006/relationships/hyperlink" Target="http://advertising-companies-in-dubai.com" TargetMode="External"/><Relationship Id="rId2770" Type="http://schemas.openxmlformats.org/officeDocument/2006/relationships/hyperlink" Target="http://teamai.com" TargetMode="External"/><Relationship Id="rId1440" Type="http://schemas.openxmlformats.org/officeDocument/2006/relationships/hyperlink" Target="http://professionalslobby.com" TargetMode="External"/><Relationship Id="rId2771" Type="http://schemas.openxmlformats.org/officeDocument/2006/relationships/hyperlink" Target="https://techbehemoths.com/top-companies/social-display-ads/dubai" TargetMode="External"/><Relationship Id="rId1441" Type="http://schemas.openxmlformats.org/officeDocument/2006/relationships/hyperlink" Target="https://www.prontosys.ae/" TargetMode="External"/><Relationship Id="rId2772" Type="http://schemas.openxmlformats.org/officeDocument/2006/relationships/hyperlink" Target="http://techbehemoths.com" TargetMode="External"/><Relationship Id="rId1442" Type="http://schemas.openxmlformats.org/officeDocument/2006/relationships/hyperlink" Target="http://prontosys.ae" TargetMode="External"/><Relationship Id="rId2773" Type="http://schemas.openxmlformats.org/officeDocument/2006/relationships/hyperlink" Target="https://techradiant.co/agencies/generative-engine-optimization/" TargetMode="External"/><Relationship Id="rId1443" Type="http://schemas.openxmlformats.org/officeDocument/2006/relationships/hyperlink" Target="https://proplexads.com/" TargetMode="External"/><Relationship Id="rId2774" Type="http://schemas.openxmlformats.org/officeDocument/2006/relationships/hyperlink" Target="http://techradiant.co" TargetMode="External"/><Relationship Id="rId1477" Type="http://schemas.openxmlformats.org/officeDocument/2006/relationships/hyperlink" Target="https://www.sortlist.com/s/google-ads/dubai-ae" TargetMode="External"/><Relationship Id="rId2324" Type="http://schemas.openxmlformats.org/officeDocument/2006/relationships/hyperlink" Target="http://leadsdubai.com" TargetMode="External"/><Relationship Id="rId1478" Type="http://schemas.openxmlformats.org/officeDocument/2006/relationships/hyperlink" Target="http://sortlist.com" TargetMode="External"/><Relationship Id="rId2325" Type="http://schemas.openxmlformats.org/officeDocument/2006/relationships/hyperlink" Target="https://legend1st.com/ai-companies-in-dubai/" TargetMode="External"/><Relationship Id="rId1479" Type="http://schemas.openxmlformats.org/officeDocument/2006/relationships/hyperlink" Target="https://www.superside.com/blog/creative-performance-agencies" TargetMode="External"/><Relationship Id="rId2326" Type="http://schemas.openxmlformats.org/officeDocument/2006/relationships/hyperlink" Target="http://legend1st.com" TargetMode="External"/><Relationship Id="rId2327" Type="http://schemas.openxmlformats.org/officeDocument/2006/relationships/hyperlink" Target="https://lengreo.com/aiseo-answer-engine-optimization-companies-dubai/" TargetMode="External"/><Relationship Id="rId2328" Type="http://schemas.openxmlformats.org/officeDocument/2006/relationships/hyperlink" Target="http://lengreo.com" TargetMode="External"/><Relationship Id="rId2329" Type="http://schemas.openxmlformats.org/officeDocument/2006/relationships/hyperlink" Target="https://lifesight.io/blog/incrementality-testing/" TargetMode="External"/><Relationship Id="rId646" Type="http://schemas.openxmlformats.org/officeDocument/2006/relationships/hyperlink" Target="http://withgoogle.com" TargetMode="External"/><Relationship Id="rId645" Type="http://schemas.openxmlformats.org/officeDocument/2006/relationships/hyperlink" Target="https://partnersdirectory.withgoogle.com/intl/en-GB/" TargetMode="External"/><Relationship Id="rId644" Type="http://schemas.openxmlformats.org/officeDocument/2006/relationships/hyperlink" Target="http://nrdigitalagency.com" TargetMode="External"/><Relationship Id="rId643" Type="http://schemas.openxmlformats.org/officeDocument/2006/relationships/hyperlink" Target="https://nrdigitalagency.com/top-advertising-agencies-in-uae/" TargetMode="External"/><Relationship Id="rId649" Type="http://schemas.openxmlformats.org/officeDocument/2006/relationships/hyperlink" Target="https://redberries.ae/page/35/?action=repository_opensearch&amp;index_id=79&amp;count=50&amp;order=16&amp;pn=1" TargetMode="External"/><Relationship Id="rId648" Type="http://schemas.openxmlformats.org/officeDocument/2006/relationships/hyperlink" Target="http://provokemedia.com" TargetMode="External"/><Relationship Id="rId647" Type="http://schemas.openxmlformats.org/officeDocument/2006/relationships/hyperlink" Target="https://www.provokemedia.com/events-awards/agencies-of-the-year/the-best-agencies-in-emea-2026/the-15-best-agencies-in-the-middle-east/gambit" TargetMode="External"/><Relationship Id="rId1470" Type="http://schemas.openxmlformats.org/officeDocument/2006/relationships/hyperlink" Target="http://sellforte.com" TargetMode="External"/><Relationship Id="rId1471" Type="http://schemas.openxmlformats.org/officeDocument/2006/relationships/hyperlink" Target="https://silverspoonagency.com/best-performance-marketing-agencies/" TargetMode="External"/><Relationship Id="rId1472" Type="http://schemas.openxmlformats.org/officeDocument/2006/relationships/hyperlink" Target="http://silverspoonagency.com" TargetMode="External"/><Relationship Id="rId642" Type="http://schemas.openxmlformats.org/officeDocument/2006/relationships/hyperlink" Target="http://multimarketing.ae" TargetMode="External"/><Relationship Id="rId1473" Type="http://schemas.openxmlformats.org/officeDocument/2006/relationships/hyperlink" Target="https://smithfieldagency.com/measurement/" TargetMode="External"/><Relationship Id="rId2320" Type="http://schemas.openxmlformats.org/officeDocument/2006/relationships/hyperlink" Target="http://leadgem.nl" TargetMode="External"/><Relationship Id="rId641" Type="http://schemas.openxmlformats.org/officeDocument/2006/relationships/hyperlink" Target="https://www.multimarketing.ae/analytics" TargetMode="External"/><Relationship Id="rId1474" Type="http://schemas.openxmlformats.org/officeDocument/2006/relationships/hyperlink" Target="http://smithfieldagency.com" TargetMode="External"/><Relationship Id="rId2321" Type="http://schemas.openxmlformats.org/officeDocument/2006/relationships/hyperlink" Target="https://www.leadsdubai.com/" TargetMode="External"/><Relationship Id="rId640" Type="http://schemas.openxmlformats.org/officeDocument/2006/relationships/hyperlink" Target="http://mosaicdigital.ae" TargetMode="External"/><Relationship Id="rId1475" Type="http://schemas.openxmlformats.org/officeDocument/2006/relationships/hyperlink" Target="https://www.sortlist.com/media-planning/dubai-ae" TargetMode="External"/><Relationship Id="rId2322" Type="http://schemas.openxmlformats.org/officeDocument/2006/relationships/hyperlink" Target="http://leadsdubai.com" TargetMode="External"/><Relationship Id="rId1476" Type="http://schemas.openxmlformats.org/officeDocument/2006/relationships/hyperlink" Target="http://sortlist.com" TargetMode="External"/><Relationship Id="rId2323" Type="http://schemas.openxmlformats.org/officeDocument/2006/relationships/hyperlink" Target="https://www.leadsdubai.com/mall-advertising-in-dubai/" TargetMode="External"/><Relationship Id="rId1466" Type="http://schemas.openxmlformats.org/officeDocument/2006/relationships/hyperlink" Target="http://scopicstudios.com" TargetMode="External"/><Relationship Id="rId2313" Type="http://schemas.openxmlformats.org/officeDocument/2006/relationships/hyperlink" Target="https://www.kudoadvisory.com/ai-advisory-uae" TargetMode="External"/><Relationship Id="rId2797" Type="http://schemas.openxmlformats.org/officeDocument/2006/relationships/hyperlink" Target="https://thehovi.com/about" TargetMode="External"/><Relationship Id="rId1467" Type="http://schemas.openxmlformats.org/officeDocument/2006/relationships/hyperlink" Target="https://segmentstream.com/blog/articles/best-attribution-tools" TargetMode="External"/><Relationship Id="rId2314" Type="http://schemas.openxmlformats.org/officeDocument/2006/relationships/hyperlink" Target="http://kudoadvisory.com" TargetMode="External"/><Relationship Id="rId2798" Type="http://schemas.openxmlformats.org/officeDocument/2006/relationships/hyperlink" Target="http://thehovi.com" TargetMode="External"/><Relationship Id="rId1468" Type="http://schemas.openxmlformats.org/officeDocument/2006/relationships/hyperlink" Target="http://segmentstream.com" TargetMode="External"/><Relationship Id="rId2315" Type="http://schemas.openxmlformats.org/officeDocument/2006/relationships/hyperlink" Target="https://www.lacima.ae/" TargetMode="External"/><Relationship Id="rId2799" Type="http://schemas.openxmlformats.org/officeDocument/2006/relationships/hyperlink" Target="https://thehovi.com/ai-marketing-agency-abu-dhabi" TargetMode="External"/><Relationship Id="rId1469" Type="http://schemas.openxmlformats.org/officeDocument/2006/relationships/hyperlink" Target="https://sellforte.com/blog/7-incrementality-measurement-tools-to-try-in-2025/" TargetMode="External"/><Relationship Id="rId2316" Type="http://schemas.openxmlformats.org/officeDocument/2006/relationships/hyperlink" Target="http://lacima.ae" TargetMode="External"/><Relationship Id="rId2317" Type="http://schemas.openxmlformats.org/officeDocument/2006/relationships/hyperlink" Target="https://www.latentview.com/glossary/incrementality-testing/" TargetMode="External"/><Relationship Id="rId2318" Type="http://schemas.openxmlformats.org/officeDocument/2006/relationships/hyperlink" Target="http://latentview.com" TargetMode="External"/><Relationship Id="rId2319" Type="http://schemas.openxmlformats.org/officeDocument/2006/relationships/hyperlink" Target="https://www.leadgem.nl/resources/best-growth-marketing-agencies" TargetMode="External"/><Relationship Id="rId635" Type="http://schemas.openxmlformats.org/officeDocument/2006/relationships/hyperlink" Target="https://www.measured.com/faq/best-incrementality-testing-companies-software-for-marketing-2025/" TargetMode="External"/><Relationship Id="rId634" Type="http://schemas.openxmlformats.org/officeDocument/2006/relationships/hyperlink" Target="http://lucidly.ae" TargetMode="External"/><Relationship Id="rId633" Type="http://schemas.openxmlformats.org/officeDocument/2006/relationships/hyperlink" Target="https://lucidly.ae/blog/digital-marketing/top-digital-marketing-agencies" TargetMode="External"/><Relationship Id="rId632" Type="http://schemas.openxmlformats.org/officeDocument/2006/relationships/hyperlink" Target="http://kvnpromos.ae" TargetMode="External"/><Relationship Id="rId639" Type="http://schemas.openxmlformats.org/officeDocument/2006/relationships/hyperlink" Target="https://www.mosaicdigital.ae/service/performance-marketing/" TargetMode="External"/><Relationship Id="rId638" Type="http://schemas.openxmlformats.org/officeDocument/2006/relationships/hyperlink" Target="http://metasocial.ae" TargetMode="External"/><Relationship Id="rId637" Type="http://schemas.openxmlformats.org/officeDocument/2006/relationships/hyperlink" Target="https://metasocial.ae/performance-marketing-in-dubai-a-data-driven-guide-for-2026/" TargetMode="External"/><Relationship Id="rId636" Type="http://schemas.openxmlformats.org/officeDocument/2006/relationships/hyperlink" Target="http://measured.com" TargetMode="External"/><Relationship Id="rId2790" Type="http://schemas.openxmlformats.org/officeDocument/2006/relationships/hyperlink" Target="http://thebrandcall.com" TargetMode="External"/><Relationship Id="rId1460" Type="http://schemas.openxmlformats.org/officeDocument/2006/relationships/hyperlink" Target="http://rzlt.io" TargetMode="External"/><Relationship Id="rId2791" Type="http://schemas.openxmlformats.org/officeDocument/2006/relationships/hyperlink" Target="https://www.thebrillcollective.com/" TargetMode="External"/><Relationship Id="rId1461" Type="http://schemas.openxmlformats.org/officeDocument/2006/relationships/hyperlink" Target="https://www.sapience.ae/marketing-mix-modeling-tool/" TargetMode="External"/><Relationship Id="rId2792" Type="http://schemas.openxmlformats.org/officeDocument/2006/relationships/hyperlink" Target="http://thebrillcollective.com" TargetMode="External"/><Relationship Id="rId631" Type="http://schemas.openxmlformats.org/officeDocument/2006/relationships/hyperlink" Target="https://kvnpromos.ae/answer-engine-optimization/" TargetMode="External"/><Relationship Id="rId1462" Type="http://schemas.openxmlformats.org/officeDocument/2006/relationships/hyperlink" Target="http://sapience.ae" TargetMode="External"/><Relationship Id="rId2793" Type="http://schemas.openxmlformats.org/officeDocument/2006/relationships/hyperlink" Target="https://thedigitalmerchant.com/best-performance-marketing-agencies/" TargetMode="External"/><Relationship Id="rId630" Type="http://schemas.openxmlformats.org/officeDocument/2006/relationships/hyperlink" Target="http://incrementors.com" TargetMode="External"/><Relationship Id="rId1463" Type="http://schemas.openxmlformats.org/officeDocument/2006/relationships/hyperlink" Target="https://scalixai.com/blog/best-performance-marketing-agencies" TargetMode="External"/><Relationship Id="rId2310" Type="http://schemas.openxmlformats.org/officeDocument/2006/relationships/hyperlink" Target="http://konvergense.com" TargetMode="External"/><Relationship Id="rId2794" Type="http://schemas.openxmlformats.org/officeDocument/2006/relationships/hyperlink" Target="http://thedigitalmerchant.com" TargetMode="External"/><Relationship Id="rId1464" Type="http://schemas.openxmlformats.org/officeDocument/2006/relationships/hyperlink" Target="http://scalixai.com" TargetMode="External"/><Relationship Id="rId2311" Type="http://schemas.openxmlformats.org/officeDocument/2006/relationships/hyperlink" Target="https://konvergense.com/influencer-marketing/" TargetMode="External"/><Relationship Id="rId2795" Type="http://schemas.openxmlformats.org/officeDocument/2006/relationships/hyperlink" Target="https://www.theguardian.com/accenture/2026/feb/19/accenture-links-staff-promotions-to-use-of-ai-tools" TargetMode="External"/><Relationship Id="rId1465" Type="http://schemas.openxmlformats.org/officeDocument/2006/relationships/hyperlink" Target="https://scopicstudios.com/blog/top-performance-marketing-agencies/" TargetMode="External"/><Relationship Id="rId2312" Type="http://schemas.openxmlformats.org/officeDocument/2006/relationships/hyperlink" Target="http://konvergense.com" TargetMode="External"/><Relationship Id="rId2796" Type="http://schemas.openxmlformats.org/officeDocument/2006/relationships/hyperlink" Target="http://theguardian.com" TargetMode="External"/><Relationship Id="rId1411" Type="http://schemas.openxmlformats.org/officeDocument/2006/relationships/hyperlink" Target="https://www.mobileappdaily.com/directory/digital-marketing-companies/uae" TargetMode="External"/><Relationship Id="rId1895" Type="http://schemas.openxmlformats.org/officeDocument/2006/relationships/hyperlink" Target="http://delemontechnology.com" TargetMode="External"/><Relationship Id="rId2742" Type="http://schemas.openxmlformats.org/officeDocument/2006/relationships/hyperlink" Target="https://starngage.com/plus/en-us/blog/top-geo-agency-in-the-uae-how-dubai-and-abu-dhabi-brands-are-leading-ai-search-in-the-gulf" TargetMode="External"/><Relationship Id="rId1412" Type="http://schemas.openxmlformats.org/officeDocument/2006/relationships/hyperlink" Target="http://mobileappdaily.com" TargetMode="External"/><Relationship Id="rId1896" Type="http://schemas.openxmlformats.org/officeDocument/2006/relationships/hyperlink" Target="https://www.designrush.com/agency/conversion-optimization/us" TargetMode="External"/><Relationship Id="rId2743" Type="http://schemas.openxmlformats.org/officeDocument/2006/relationships/hyperlink" Target="http://starngage.com" TargetMode="External"/><Relationship Id="rId1413" Type="http://schemas.openxmlformats.org/officeDocument/2006/relationships/hyperlink" Target="https://www.mordorintelligence.com/industry-reports/uae-geospatial-analytics-market/companies" TargetMode="External"/><Relationship Id="rId1897" Type="http://schemas.openxmlformats.org/officeDocument/2006/relationships/hyperlink" Target="http://designrush.com" TargetMode="External"/><Relationship Id="rId2744" Type="http://schemas.openxmlformats.org/officeDocument/2006/relationships/hyperlink" Target="https://www.stellaheystella.com/blog/2025-dtc-digital-advertising-incrementality-benchmarks" TargetMode="External"/><Relationship Id="rId1414" Type="http://schemas.openxmlformats.org/officeDocument/2006/relationships/hyperlink" Target="http://mordorintelligence.com" TargetMode="External"/><Relationship Id="rId1898" Type="http://schemas.openxmlformats.org/officeDocument/2006/relationships/hyperlink" Target="https://www.designrush.com/agency/digital-marketing/performance-marketing-agencies" TargetMode="External"/><Relationship Id="rId2745" Type="http://schemas.openxmlformats.org/officeDocument/2006/relationships/hyperlink" Target="http://stellaheystella.com" TargetMode="External"/><Relationship Id="rId1415" Type="http://schemas.openxmlformats.org/officeDocument/2006/relationships/hyperlink" Target="https://www.morismedia.in/abu-dhabi-top-10-paid-media-management-agency-serving-finance-in-2026" TargetMode="External"/><Relationship Id="rId1899" Type="http://schemas.openxmlformats.org/officeDocument/2006/relationships/hyperlink" Target="http://designrush.com" TargetMode="External"/><Relationship Id="rId2746" Type="http://schemas.openxmlformats.org/officeDocument/2006/relationships/hyperlink" Target="https://strikedigital.ie/blog/the-best-social-media-platform-for-advertising-in-2025" TargetMode="External"/><Relationship Id="rId1416" Type="http://schemas.openxmlformats.org/officeDocument/2006/relationships/hyperlink" Target="http://morismedia.in" TargetMode="External"/><Relationship Id="rId2747" Type="http://schemas.openxmlformats.org/officeDocument/2006/relationships/hyperlink" Target="http://strikedigital.ie" TargetMode="External"/><Relationship Id="rId1417" Type="http://schemas.openxmlformats.org/officeDocument/2006/relationships/hyperlink" Target="https://www.morismedia.in/best-advertising-agency-in-dubai-du-ae" TargetMode="External"/><Relationship Id="rId2748" Type="http://schemas.openxmlformats.org/officeDocument/2006/relationships/hyperlink" Target="https://sumnah.ae/" TargetMode="External"/><Relationship Id="rId1418" Type="http://schemas.openxmlformats.org/officeDocument/2006/relationships/hyperlink" Target="http://morismedia.in" TargetMode="External"/><Relationship Id="rId2749" Type="http://schemas.openxmlformats.org/officeDocument/2006/relationships/hyperlink" Target="http://sumnah.ae" TargetMode="External"/><Relationship Id="rId1419" Type="http://schemas.openxmlformats.org/officeDocument/2006/relationships/hyperlink" Target="https://music.amazon.es/podcasts/ab0c6775-0756-4b4a-9584-c0818438a009/episodes/48290346-a1af-4264-a808-6eaa2ac56efd/how-to-rank-in-ai-%E2%80%94-sqseo-podcast-what-are-the-best-generative-engine-optimization-geo-agencies-in-united-arab-emirates" TargetMode="External"/><Relationship Id="rId1890" Type="http://schemas.openxmlformats.org/officeDocument/2006/relationships/hyperlink" Target="http://datameer.com" TargetMode="External"/><Relationship Id="rId1891" Type="http://schemas.openxmlformats.org/officeDocument/2006/relationships/hyperlink" Target="https://www.dataventure.com/solutions/opt-in-collection" TargetMode="External"/><Relationship Id="rId1892" Type="http://schemas.openxmlformats.org/officeDocument/2006/relationships/hyperlink" Target="http://dataventure.com" TargetMode="External"/><Relationship Id="rId1893" Type="http://schemas.openxmlformats.org/officeDocument/2006/relationships/hyperlink" Target="https://www.decipher.agency/ai-search-optimisation-agency-uae/packages" TargetMode="External"/><Relationship Id="rId2740" Type="http://schemas.openxmlformats.org/officeDocument/2006/relationships/hyperlink" Target="https://www.stackadapt.com/resources/blog/leverage-first-party-data" TargetMode="External"/><Relationship Id="rId1410" Type="http://schemas.openxmlformats.org/officeDocument/2006/relationships/hyperlink" Target="http://metrongrowth.com" TargetMode="External"/><Relationship Id="rId1894" Type="http://schemas.openxmlformats.org/officeDocument/2006/relationships/hyperlink" Target="https://www.delemontechnology.com/blog/best-digital-marketing-agency-in-dubai-for-business-growth/" TargetMode="External"/><Relationship Id="rId2741" Type="http://schemas.openxmlformats.org/officeDocument/2006/relationships/hyperlink" Target="http://stackadapt.com" TargetMode="External"/><Relationship Id="rId1400" Type="http://schemas.openxmlformats.org/officeDocument/2006/relationships/hyperlink" Target="http://macreativeag.com" TargetMode="External"/><Relationship Id="rId1884" Type="http://schemas.openxmlformats.org/officeDocument/2006/relationships/hyperlink" Target="http://customerlabs.com" TargetMode="External"/><Relationship Id="rId2731" Type="http://schemas.openxmlformats.org/officeDocument/2006/relationships/hyperlink" Target="http://sortlist.com" TargetMode="External"/><Relationship Id="rId1401" Type="http://schemas.openxmlformats.org/officeDocument/2006/relationships/hyperlink" Target="https://manqoosh.com/best-ads-platforms-for-conversions/" TargetMode="External"/><Relationship Id="rId1885" Type="http://schemas.openxmlformats.org/officeDocument/2006/relationships/hyperlink" Target="https://www.customerlabs.com/first-party-data-ops/" TargetMode="External"/><Relationship Id="rId2732" Type="http://schemas.openxmlformats.org/officeDocument/2006/relationships/hyperlink" Target="https://www.spiderworks.ae/geo-services" TargetMode="External"/><Relationship Id="rId1402" Type="http://schemas.openxmlformats.org/officeDocument/2006/relationships/hyperlink" Target="http://manqoosh.com" TargetMode="External"/><Relationship Id="rId1886" Type="http://schemas.openxmlformats.org/officeDocument/2006/relationships/hyperlink" Target="http://customerlabs.com" TargetMode="External"/><Relationship Id="rId2733" Type="http://schemas.openxmlformats.org/officeDocument/2006/relationships/hyperlink" Target="http://spiderworks.ae" TargetMode="External"/><Relationship Id="rId1403" Type="http://schemas.openxmlformats.org/officeDocument/2006/relationships/hyperlink" Target="https://www.market-research-companies.in/Dubai" TargetMode="External"/><Relationship Id="rId1887" Type="http://schemas.openxmlformats.org/officeDocument/2006/relationships/hyperlink" Target="https://dataintelo.com/report/media-buying-services-market" TargetMode="External"/><Relationship Id="rId2734" Type="http://schemas.openxmlformats.org/officeDocument/2006/relationships/hyperlink" Target="https://www.sprintey.io/blog/scale-creative-production-without-hiring" TargetMode="External"/><Relationship Id="rId1404" Type="http://schemas.openxmlformats.org/officeDocument/2006/relationships/hyperlink" Target="http://market-research-companies.in" TargetMode="External"/><Relationship Id="rId1888" Type="http://schemas.openxmlformats.org/officeDocument/2006/relationships/hyperlink" Target="http://dataintelo.com" TargetMode="External"/><Relationship Id="rId2735" Type="http://schemas.openxmlformats.org/officeDocument/2006/relationships/hyperlink" Target="http://sprintey.io" TargetMode="External"/><Relationship Id="rId1405" Type="http://schemas.openxmlformats.org/officeDocument/2006/relationships/hyperlink" Target="https://marketbridge.com/services/marketing-analytics-data/marketing-effectiveness/" TargetMode="External"/><Relationship Id="rId1889" Type="http://schemas.openxmlformats.org/officeDocument/2006/relationships/hyperlink" Target="https://www.datameer.com/blog/attribution-analysis-the-secret-of-marketing-success/" TargetMode="External"/><Relationship Id="rId2736" Type="http://schemas.openxmlformats.org/officeDocument/2006/relationships/hyperlink" Target="https://www.stackadapt.com/resources/blog/1st-party-data" TargetMode="External"/><Relationship Id="rId1406" Type="http://schemas.openxmlformats.org/officeDocument/2006/relationships/hyperlink" Target="http://marketbridge.com" TargetMode="External"/><Relationship Id="rId2737" Type="http://schemas.openxmlformats.org/officeDocument/2006/relationships/hyperlink" Target="http://stackadapt.com" TargetMode="External"/><Relationship Id="rId1407" Type="http://schemas.openxmlformats.org/officeDocument/2006/relationships/hyperlink" Target="https://marketingplatform.google.com/about/" TargetMode="External"/><Relationship Id="rId2738" Type="http://schemas.openxmlformats.org/officeDocument/2006/relationships/hyperlink" Target="https://www.stackadapt.com/resources/blog/first-party-data-strategy" TargetMode="External"/><Relationship Id="rId1408" Type="http://schemas.openxmlformats.org/officeDocument/2006/relationships/hyperlink" Target="http://google.com" TargetMode="External"/><Relationship Id="rId2739" Type="http://schemas.openxmlformats.org/officeDocument/2006/relationships/hyperlink" Target="http://stackadapt.com" TargetMode="External"/><Relationship Id="rId1409" Type="http://schemas.openxmlformats.org/officeDocument/2006/relationships/hyperlink" Target="https://metrongrowth.com/services/attribution" TargetMode="External"/><Relationship Id="rId1880" Type="http://schemas.openxmlformats.org/officeDocument/2006/relationships/hyperlink" Target="http://crunchsolutions.ae" TargetMode="External"/><Relationship Id="rId1881" Type="http://schemas.openxmlformats.org/officeDocument/2006/relationships/hyperlink" Target="https://ctcmedia.ae/" TargetMode="External"/><Relationship Id="rId1882" Type="http://schemas.openxmlformats.org/officeDocument/2006/relationships/hyperlink" Target="http://ctcmedia.ae" TargetMode="External"/><Relationship Id="rId1883" Type="http://schemas.openxmlformats.org/officeDocument/2006/relationships/hyperlink" Target="https://www.customerlabs.com/" TargetMode="External"/><Relationship Id="rId2730" Type="http://schemas.openxmlformats.org/officeDocument/2006/relationships/hyperlink" Target="https://www.sortlist.com/web-analytics/dubai-ae" TargetMode="External"/><Relationship Id="rId1433" Type="http://schemas.openxmlformats.org/officeDocument/2006/relationships/hyperlink" Target="https://performbyai.com/services/ai-transformation-adoption" TargetMode="External"/><Relationship Id="rId2764" Type="http://schemas.openxmlformats.org/officeDocument/2006/relationships/hyperlink" Target="http://tamkinexpress.ae" TargetMode="External"/><Relationship Id="rId1434" Type="http://schemas.openxmlformats.org/officeDocument/2006/relationships/hyperlink" Target="http://performbyai.com" TargetMode="External"/><Relationship Id="rId2765" Type="http://schemas.openxmlformats.org/officeDocument/2006/relationships/hyperlink" Target="https://tarjama.com/solutions/communication/creative-production/" TargetMode="External"/><Relationship Id="rId1435" Type="http://schemas.openxmlformats.org/officeDocument/2006/relationships/hyperlink" Target="https://pinemarsh.com/" TargetMode="External"/><Relationship Id="rId2766" Type="http://schemas.openxmlformats.org/officeDocument/2006/relationships/hyperlink" Target="http://tarjama.com" TargetMode="External"/><Relationship Id="rId1436" Type="http://schemas.openxmlformats.org/officeDocument/2006/relationships/hyperlink" Target="http://pinemarsh.com" TargetMode="External"/><Relationship Id="rId2767" Type="http://schemas.openxmlformats.org/officeDocument/2006/relationships/hyperlink" Target="https://www.tatari.tv/insights/a-marketers-guide-to-geo-based-incrementality-testing" TargetMode="External"/><Relationship Id="rId1437" Type="http://schemas.openxmlformats.org/officeDocument/2006/relationships/hyperlink" Target="https://www.primelis.com/data/" TargetMode="External"/><Relationship Id="rId2768" Type="http://schemas.openxmlformats.org/officeDocument/2006/relationships/hyperlink" Target="http://tatari.tv" TargetMode="External"/><Relationship Id="rId1438" Type="http://schemas.openxmlformats.org/officeDocument/2006/relationships/hyperlink" Target="http://primelis.com" TargetMode="External"/><Relationship Id="rId2769" Type="http://schemas.openxmlformats.org/officeDocument/2006/relationships/hyperlink" Target="https://teamai.com/blog/generative-ai-and-business/top-geo-agencies-for-ai-visibility/" TargetMode="External"/><Relationship Id="rId1439" Type="http://schemas.openxmlformats.org/officeDocument/2006/relationships/hyperlink" Target="https://www.professionalslobby.com/articles/top-10-ai-consultancies-uae" TargetMode="External"/><Relationship Id="rId609" Type="http://schemas.openxmlformats.org/officeDocument/2006/relationships/hyperlink" Target="http://voctos.net" TargetMode="External"/><Relationship Id="rId608" Type="http://schemas.openxmlformats.org/officeDocument/2006/relationships/hyperlink" Target="https://voctos.net/top-geo-agencies-mena/" TargetMode="External"/><Relationship Id="rId607" Type="http://schemas.openxmlformats.org/officeDocument/2006/relationships/hyperlink" Target="http://verifywise.ai" TargetMode="External"/><Relationship Id="rId602" Type="http://schemas.openxmlformats.org/officeDocument/2006/relationships/hyperlink" Target="https://www.thegeoagency.ai/" TargetMode="External"/><Relationship Id="rId601" Type="http://schemas.openxmlformats.org/officeDocument/2006/relationships/hyperlink" Target="http://synscribe.com" TargetMode="External"/><Relationship Id="rId600" Type="http://schemas.openxmlformats.org/officeDocument/2006/relationships/hyperlink" Target="https://www.synscribe.com/blog/best-geos-agencies-dubai" TargetMode="External"/><Relationship Id="rId606" Type="http://schemas.openxmlformats.org/officeDocument/2006/relationships/hyperlink" Target="https://verifywise.ai/ai-governance-directory/ai-governance-consultants-in-uae" TargetMode="External"/><Relationship Id="rId605" Type="http://schemas.openxmlformats.org/officeDocument/2006/relationships/hyperlink" Target="http://upliftgtm.com" TargetMode="External"/><Relationship Id="rId604" Type="http://schemas.openxmlformats.org/officeDocument/2006/relationships/hyperlink" Target="https://www.upliftgtm.com/blog/best-aeo-agencies" TargetMode="External"/><Relationship Id="rId603" Type="http://schemas.openxmlformats.org/officeDocument/2006/relationships/hyperlink" Target="http://thegeoagency.ai" TargetMode="External"/><Relationship Id="rId2760" Type="http://schemas.openxmlformats.org/officeDocument/2006/relationships/hyperlink" Target="https://www.synscribe.com/blog/what-is-a-geo-agency" TargetMode="External"/><Relationship Id="rId1430" Type="http://schemas.openxmlformats.org/officeDocument/2006/relationships/hyperlink" Target="https://origami.chat/blog/find-ai-agencies-uae" TargetMode="External"/><Relationship Id="rId2761" Type="http://schemas.openxmlformats.org/officeDocument/2006/relationships/hyperlink" Target="http://synscribe.com" TargetMode="External"/><Relationship Id="rId1431" Type="http://schemas.openxmlformats.org/officeDocument/2006/relationships/hyperlink" Target="https://www.outrightcrm.com/blog/roi-focused-digital-marketing-agencies/" TargetMode="External"/><Relationship Id="rId2762" Type="http://schemas.openxmlformats.org/officeDocument/2006/relationships/hyperlink" Target="https://sysart.consulting/ai-consulting/" TargetMode="External"/><Relationship Id="rId1432" Type="http://schemas.openxmlformats.org/officeDocument/2006/relationships/hyperlink" Target="http://outrightcrm.com" TargetMode="External"/><Relationship Id="rId2763" Type="http://schemas.openxmlformats.org/officeDocument/2006/relationships/hyperlink" Target="https://tamkinexpress.ae/digital-marketing.html" TargetMode="External"/><Relationship Id="rId1422" Type="http://schemas.openxmlformats.org/officeDocument/2006/relationships/hyperlink" Target="http://nomadx.ae" TargetMode="External"/><Relationship Id="rId2753" Type="http://schemas.openxmlformats.org/officeDocument/2006/relationships/hyperlink" Target="http://superside.com" TargetMode="External"/><Relationship Id="rId1423" Type="http://schemas.openxmlformats.org/officeDocument/2006/relationships/hyperlink" Target="https://nomadx.ae/about/" TargetMode="External"/><Relationship Id="rId2754" Type="http://schemas.openxmlformats.org/officeDocument/2006/relationships/hyperlink" Target="https://www.superside.com/blog/creative-content-agencies" TargetMode="External"/><Relationship Id="rId1424" Type="http://schemas.openxmlformats.org/officeDocument/2006/relationships/hyperlink" Target="http://nomadx.ae" TargetMode="External"/><Relationship Id="rId2755" Type="http://schemas.openxmlformats.org/officeDocument/2006/relationships/hyperlink" Target="http://superside.com" TargetMode="External"/><Relationship Id="rId1425" Type="http://schemas.openxmlformats.org/officeDocument/2006/relationships/hyperlink" Target="https://www.northbeam.io/products/incrementality" TargetMode="External"/><Relationship Id="rId2756" Type="http://schemas.openxmlformats.org/officeDocument/2006/relationships/hyperlink" Target="https://www.swydo.com/blog/marketing-attribution-models/" TargetMode="External"/><Relationship Id="rId1426" Type="http://schemas.openxmlformats.org/officeDocument/2006/relationships/hyperlink" Target="http://northbeam.io" TargetMode="External"/><Relationship Id="rId2757" Type="http://schemas.openxmlformats.org/officeDocument/2006/relationships/hyperlink" Target="http://swydo.com" TargetMode="External"/><Relationship Id="rId1427" Type="http://schemas.openxmlformats.org/officeDocument/2006/relationships/hyperlink" Target="https://www.octopusmarketing.agency/digital-marketing/seo-services/voice-and-ai-search-optimization/" TargetMode="External"/><Relationship Id="rId2758" Type="http://schemas.openxmlformats.org/officeDocument/2006/relationships/hyperlink" Target="https://www.synscribe.com/blog/dubai-seo-companies-geospecialists" TargetMode="External"/><Relationship Id="rId1428" Type="http://schemas.openxmlformats.org/officeDocument/2006/relationships/hyperlink" Target="https://www.olilo.ae/marketing-analytics.html" TargetMode="External"/><Relationship Id="rId2759" Type="http://schemas.openxmlformats.org/officeDocument/2006/relationships/hyperlink" Target="http://synscribe.com" TargetMode="External"/><Relationship Id="rId1429" Type="http://schemas.openxmlformats.org/officeDocument/2006/relationships/hyperlink" Target="http://olilo.ae" TargetMode="External"/><Relationship Id="rId2750" Type="http://schemas.openxmlformats.org/officeDocument/2006/relationships/hyperlink" Target="https://superbcompanies.com/categories/creative-agencies-in-dubai/" TargetMode="External"/><Relationship Id="rId1420" Type="http://schemas.openxmlformats.org/officeDocument/2006/relationships/hyperlink" Target="http://amazon.es" TargetMode="External"/><Relationship Id="rId2751" Type="http://schemas.openxmlformats.org/officeDocument/2006/relationships/hyperlink" Target="http://superbcompanies.com" TargetMode="External"/><Relationship Id="rId1421" Type="http://schemas.openxmlformats.org/officeDocument/2006/relationships/hyperlink" Target="https://nomadx.ae/" TargetMode="External"/><Relationship Id="rId2752" Type="http://schemas.openxmlformats.org/officeDocument/2006/relationships/hyperlink" Target="https://www.superside.com/blog/creative-agencies" TargetMode="External"/><Relationship Id="rId1059" Type="http://schemas.openxmlformats.org/officeDocument/2006/relationships/hyperlink" Target="https://aeoagencyservices.com/Blog-Page/aeo-services-in-dubai-vetted-answer-engine-providers" TargetMode="External"/><Relationship Id="rId228" Type="http://schemas.openxmlformats.org/officeDocument/2006/relationships/hyperlink" Target="https://www.sortlist.com/s/display-advertising/united-arab-emirates-ae" TargetMode="External"/><Relationship Id="rId227" Type="http://schemas.openxmlformats.org/officeDocument/2006/relationships/hyperlink" Target="http://noorrank.com" TargetMode="External"/><Relationship Id="rId226" Type="http://schemas.openxmlformats.org/officeDocument/2006/relationships/hyperlink" Target="https://www.noorrank.com/" TargetMode="External"/><Relationship Id="rId225" Type="http://schemas.openxmlformats.org/officeDocument/2006/relationships/hyperlink" Target="http://leadmetrics.ai" TargetMode="External"/><Relationship Id="rId2380" Type="http://schemas.openxmlformats.org/officeDocument/2006/relationships/hyperlink" Target="http://lunarailab.com" TargetMode="External"/><Relationship Id="rId229" Type="http://schemas.openxmlformats.org/officeDocument/2006/relationships/hyperlink" Target="http://sortlist.com" TargetMode="External"/><Relationship Id="rId1050" Type="http://schemas.openxmlformats.org/officeDocument/2006/relationships/hyperlink" Target="http://themanifest.com" TargetMode="External"/><Relationship Id="rId2381" Type="http://schemas.openxmlformats.org/officeDocument/2006/relationships/hyperlink" Target="https://m.economictimes.com/industry/services/advertising/bcg-sees-wider-ai-execution-gap-in-india-as-marketers-prepare-for-agentic-ai/articleshow/132398248.cms" TargetMode="External"/><Relationship Id="rId220" Type="http://schemas.openxmlformats.org/officeDocument/2006/relationships/hyperlink" Target="https://digitalswot.ae/blog/best-performance-marketing-agency-dubai/" TargetMode="External"/><Relationship Id="rId1051" Type="http://schemas.openxmlformats.org/officeDocument/2006/relationships/hyperlink" Target="https://theuaeblog.com/category/work/" TargetMode="External"/><Relationship Id="rId2382" Type="http://schemas.openxmlformats.org/officeDocument/2006/relationships/hyperlink" Target="http://economictimes.com" TargetMode="External"/><Relationship Id="rId1052" Type="http://schemas.openxmlformats.org/officeDocument/2006/relationships/hyperlink" Target="http://theuaeblog.com" TargetMode="External"/><Relationship Id="rId2383" Type="http://schemas.openxmlformats.org/officeDocument/2006/relationships/hyperlink" Target="https://madebyevoke.com/blog/top-branding-agencies-dubai" TargetMode="External"/><Relationship Id="rId1053" Type="http://schemas.openxmlformats.org/officeDocument/2006/relationships/hyperlink" Target="https://velmontcrest.ae/insights/aeo-uae-authorised-economic-operator-program/" TargetMode="External"/><Relationship Id="rId2384" Type="http://schemas.openxmlformats.org/officeDocument/2006/relationships/hyperlink" Target="http://madebyevoke.com" TargetMode="External"/><Relationship Id="rId1054" Type="http://schemas.openxmlformats.org/officeDocument/2006/relationships/hyperlink" Target="http://velmontcrest.ae" TargetMode="External"/><Relationship Id="rId2385" Type="http://schemas.openxmlformats.org/officeDocument/2006/relationships/hyperlink" Target="https://www.madx.digital/learn/geo-aeo-agencies" TargetMode="External"/><Relationship Id="rId224" Type="http://schemas.openxmlformats.org/officeDocument/2006/relationships/hyperlink" Target="https://leadmetrics.ai/post/top-10-ai-digital-marketing-companies-in-dubai-2026-edition" TargetMode="External"/><Relationship Id="rId1055" Type="http://schemas.openxmlformats.org/officeDocument/2006/relationships/hyperlink" Target="https://waimhub.com/best-ai-marketing-agency-dubai-guide/" TargetMode="External"/><Relationship Id="rId2386" Type="http://schemas.openxmlformats.org/officeDocument/2006/relationships/hyperlink" Target="https://www.magureinc.com/" TargetMode="External"/><Relationship Id="rId223" Type="http://schemas.openxmlformats.org/officeDocument/2006/relationships/hyperlink" Target="http://edvido.ae" TargetMode="External"/><Relationship Id="rId1056" Type="http://schemas.openxmlformats.org/officeDocument/2006/relationships/hyperlink" Target="http://waimhub.com" TargetMode="External"/><Relationship Id="rId2387" Type="http://schemas.openxmlformats.org/officeDocument/2006/relationships/hyperlink" Target="http://magureinc.com" TargetMode="External"/><Relationship Id="rId222" Type="http://schemas.openxmlformats.org/officeDocument/2006/relationships/hyperlink" Target="https://www.edvido.ae/performance-marketing-agencies" TargetMode="External"/><Relationship Id="rId1057" Type="http://schemas.openxmlformats.org/officeDocument/2006/relationships/hyperlink" Target="https://ads.google.com/intl/us-EN/home/partners/work-with-a-partner/" TargetMode="External"/><Relationship Id="rId2388" Type="http://schemas.openxmlformats.org/officeDocument/2006/relationships/hyperlink" Target="https://mahmoudmizar.com/events/ai-marketing-business-workshop-dubai-2026-07-11/" TargetMode="External"/><Relationship Id="rId221" Type="http://schemas.openxmlformats.org/officeDocument/2006/relationships/hyperlink" Target="http://digitalswot.ae" TargetMode="External"/><Relationship Id="rId1058" Type="http://schemas.openxmlformats.org/officeDocument/2006/relationships/hyperlink" Target="http://google.com" TargetMode="External"/><Relationship Id="rId2389" Type="http://schemas.openxmlformats.org/officeDocument/2006/relationships/hyperlink" Target="http://mahmoudmizar.com" TargetMode="External"/><Relationship Id="rId1048" Type="http://schemas.openxmlformats.org/officeDocument/2006/relationships/hyperlink" Target="http://thedesigninspiration.com" TargetMode="External"/><Relationship Id="rId2379" Type="http://schemas.openxmlformats.org/officeDocument/2006/relationships/hyperlink" Target="https://lunarailab.com/blog/2026/03/04/top-5-ai-agent-adoption-agencies-in-2026/" TargetMode="External"/><Relationship Id="rId1049" Type="http://schemas.openxmlformats.org/officeDocument/2006/relationships/hyperlink" Target="https://themanifest.com/ae/digital-marketing/agencies" TargetMode="External"/><Relationship Id="rId217" Type="http://schemas.openxmlformats.org/officeDocument/2006/relationships/hyperlink" Target="http://marketnavigator.ae" TargetMode="External"/><Relationship Id="rId216" Type="http://schemas.openxmlformats.org/officeDocument/2006/relationships/hyperlink" Target="https://www.marketnavigator.ae/top-10-creative-agencies-dubai-2026" TargetMode="External"/><Relationship Id="rId215" Type="http://schemas.openxmlformats.org/officeDocument/2006/relationships/hyperlink" Target="http://marketingagencyabudhabi.com" TargetMode="External"/><Relationship Id="rId699" Type="http://schemas.openxmlformats.org/officeDocument/2006/relationships/hyperlink" Target="https://www.goodfirms.co/directory/country/top-digital-marketing-companies/media-planning-buying/uae" TargetMode="External"/><Relationship Id="rId214" Type="http://schemas.openxmlformats.org/officeDocument/2006/relationships/hyperlink" Target="https://marketingagencyabudhabi.com/display-advertising-agencies/abu-dhabi" TargetMode="External"/><Relationship Id="rId698" Type="http://schemas.openxmlformats.org/officeDocument/2006/relationships/hyperlink" Target="http://gaper.io" TargetMode="External"/><Relationship Id="rId219" Type="http://schemas.openxmlformats.org/officeDocument/2006/relationships/hyperlink" Target="http://semrush.com" TargetMode="External"/><Relationship Id="rId218" Type="http://schemas.openxmlformats.org/officeDocument/2006/relationships/hyperlink" Target="https://agencies.semrush.com/list/advertising/united-arab-emirates/" TargetMode="External"/><Relationship Id="rId2370" Type="http://schemas.openxmlformats.org/officeDocument/2006/relationships/hyperlink" Target="http://llmpulse.ai" TargetMode="External"/><Relationship Id="rId693" Type="http://schemas.openxmlformats.org/officeDocument/2006/relationships/hyperlink" Target="https://digitalorks.com/display-advertising-agency/" TargetMode="External"/><Relationship Id="rId1040" Type="http://schemas.openxmlformats.org/officeDocument/2006/relationships/hyperlink" Target="http://superbcompanies.com" TargetMode="External"/><Relationship Id="rId2371" Type="http://schemas.openxmlformats.org/officeDocument/2006/relationships/hyperlink" Target="https://loopglobal.io/" TargetMode="External"/><Relationship Id="rId692" Type="http://schemas.openxmlformats.org/officeDocument/2006/relationships/hyperlink" Target="http://digitalnexa.com" TargetMode="External"/><Relationship Id="rId1041" Type="http://schemas.openxmlformats.org/officeDocument/2006/relationships/hyperlink" Target="https://techbehemoths.com/companies/google-marketing-platform/united-arab-emirates" TargetMode="External"/><Relationship Id="rId2372" Type="http://schemas.openxmlformats.org/officeDocument/2006/relationships/hyperlink" Target="http://loopglobal.io" TargetMode="External"/><Relationship Id="rId691" Type="http://schemas.openxmlformats.org/officeDocument/2006/relationships/hyperlink" Target="https://www.digitalnexa.com/social-media-agency-dubai" TargetMode="External"/><Relationship Id="rId1042" Type="http://schemas.openxmlformats.org/officeDocument/2006/relationships/hyperlink" Target="http://techbehemoths.com" TargetMode="External"/><Relationship Id="rId2373" Type="http://schemas.openxmlformats.org/officeDocument/2006/relationships/hyperlink" Target="https://www.lotame.com/" TargetMode="External"/><Relationship Id="rId690" Type="http://schemas.openxmlformats.org/officeDocument/2006/relationships/hyperlink" Target="http://digitalgravity.ae" TargetMode="External"/><Relationship Id="rId1043" Type="http://schemas.openxmlformats.org/officeDocument/2006/relationships/hyperlink" Target="https://techbehemoths.com/top-companies/marketing-analytics/dubai" TargetMode="External"/><Relationship Id="rId2374" Type="http://schemas.openxmlformats.org/officeDocument/2006/relationships/hyperlink" Target="http://lotame.com" TargetMode="External"/><Relationship Id="rId213" Type="http://schemas.openxmlformats.org/officeDocument/2006/relationships/hyperlink" Target="http://glomm.co" TargetMode="External"/><Relationship Id="rId697" Type="http://schemas.openxmlformats.org/officeDocument/2006/relationships/hyperlink" Target="https://gaper.io/best-aeo-agencies" TargetMode="External"/><Relationship Id="rId1044" Type="http://schemas.openxmlformats.org/officeDocument/2006/relationships/hyperlink" Target="http://techbehemoths.com" TargetMode="External"/><Relationship Id="rId2375" Type="http://schemas.openxmlformats.org/officeDocument/2006/relationships/hyperlink" Target="https://lps-me.com/blog/digital-marketing-agency-that-gets-results" TargetMode="External"/><Relationship Id="rId212" Type="http://schemas.openxmlformats.org/officeDocument/2006/relationships/hyperlink" Target="https://glomm.co/top-performance-marketing-agencies-in-dubai-uae-gcc-for-ecommerce-brands/" TargetMode="External"/><Relationship Id="rId696" Type="http://schemas.openxmlformats.org/officeDocument/2006/relationships/hyperlink" Target="http://futuredigital.ae" TargetMode="External"/><Relationship Id="rId1045" Type="http://schemas.openxmlformats.org/officeDocument/2006/relationships/hyperlink" Target="https://www.techradar.com/pro/how-to-use-an-aeo-tool-for-your-small-business" TargetMode="External"/><Relationship Id="rId2376" Type="http://schemas.openxmlformats.org/officeDocument/2006/relationships/hyperlink" Target="http://lps-me.com" TargetMode="External"/><Relationship Id="rId211" Type="http://schemas.openxmlformats.org/officeDocument/2006/relationships/hyperlink" Target="http://getapexanalytics.com" TargetMode="External"/><Relationship Id="rId695" Type="http://schemas.openxmlformats.org/officeDocument/2006/relationships/hyperlink" Target="https://futuredigital.ae/blog/top-performance-marketing-agencies-in-dubai" TargetMode="External"/><Relationship Id="rId1046" Type="http://schemas.openxmlformats.org/officeDocument/2006/relationships/hyperlink" Target="http://techradar.com" TargetMode="External"/><Relationship Id="rId2377" Type="http://schemas.openxmlformats.org/officeDocument/2006/relationships/hyperlink" Target="https://www.luminacommerce.com/pages/performance-marketing-agency-dubai?srsltid=AfmBOoqqrlU--1dhFIz0SPq6_UQwWvDxdDX5_Hz3LsL-4_KrrWCCQ3MK" TargetMode="External"/><Relationship Id="rId210" Type="http://schemas.openxmlformats.org/officeDocument/2006/relationships/hyperlink" Target="https://www.getapexanalytics.com/" TargetMode="External"/><Relationship Id="rId694" Type="http://schemas.openxmlformats.org/officeDocument/2006/relationships/hyperlink" Target="http://digitalorks.com" TargetMode="External"/><Relationship Id="rId1047" Type="http://schemas.openxmlformats.org/officeDocument/2006/relationships/hyperlink" Target="https://thedesigninspiration.com/news/business/top-10-digital-marketing-agencies-in-dubai-2025-ranking/" TargetMode="External"/><Relationship Id="rId2378" Type="http://schemas.openxmlformats.org/officeDocument/2006/relationships/hyperlink" Target="http://luminacommerce.com" TargetMode="External"/><Relationship Id="rId249" Type="http://schemas.openxmlformats.org/officeDocument/2006/relationships/hyperlink" Target="http://digiexpo.ae" TargetMode="External"/><Relationship Id="rId248" Type="http://schemas.openxmlformats.org/officeDocument/2006/relationships/hyperlink" Target="https://www.digiexpo.ae/blogs/12-best-answer-engine-optimization-aeo-agencies-in-dubai-to-watch-in-2025" TargetMode="External"/><Relationship Id="rId247" Type="http://schemas.openxmlformats.org/officeDocument/2006/relationships/hyperlink" Target="http://bolusdigital.com" TargetMode="External"/><Relationship Id="rId1070" Type="http://schemas.openxmlformats.org/officeDocument/2006/relationships/hyperlink" Target="http://semrush.com" TargetMode="External"/><Relationship Id="rId1071" Type="http://schemas.openxmlformats.org/officeDocument/2006/relationships/hyperlink" Target="https://www.arfadia.com/blog/dubai-geo-agency-market-2026/" TargetMode="External"/><Relationship Id="rId1072" Type="http://schemas.openxmlformats.org/officeDocument/2006/relationships/hyperlink" Target="http://arfadia.com" TargetMode="External"/><Relationship Id="rId242" Type="http://schemas.openxmlformats.org/officeDocument/2006/relationships/hyperlink" Target="https://agencies.semrush.com/list/display-advertising/united-arab-emirates/" TargetMode="External"/><Relationship Id="rId1073" Type="http://schemas.openxmlformats.org/officeDocument/2006/relationships/hyperlink" Target="https://www.astudio.agency/digital-marketing-agency/" TargetMode="External"/><Relationship Id="rId241" Type="http://schemas.openxmlformats.org/officeDocument/2006/relationships/hyperlink" Target="http://sortlist.com" TargetMode="External"/><Relationship Id="rId1074" Type="http://schemas.openxmlformats.org/officeDocument/2006/relationships/hyperlink" Target="https://www.bainna.ae/" TargetMode="External"/><Relationship Id="rId240" Type="http://schemas.openxmlformats.org/officeDocument/2006/relationships/hyperlink" Target="https://www.sortlist.com/web-analytics/united-arab-emirates-ae" TargetMode="External"/><Relationship Id="rId1075" Type="http://schemas.openxmlformats.org/officeDocument/2006/relationships/hyperlink" Target="http://bainna.ae" TargetMode="External"/><Relationship Id="rId1076" Type="http://schemas.openxmlformats.org/officeDocument/2006/relationships/hyperlink" Target="https://www.bolusdigital.com/about" TargetMode="External"/><Relationship Id="rId246" Type="http://schemas.openxmlformats.org/officeDocument/2006/relationships/hyperlink" Target="https://www.bolusdigital.com/" TargetMode="External"/><Relationship Id="rId1077" Type="http://schemas.openxmlformats.org/officeDocument/2006/relationships/hyperlink" Target="http://bolusdigital.com" TargetMode="External"/><Relationship Id="rId245" Type="http://schemas.openxmlformats.org/officeDocument/2006/relationships/hyperlink" Target="http://biglab.ae" TargetMode="External"/><Relationship Id="rId1078" Type="http://schemas.openxmlformats.org/officeDocument/2006/relationships/hyperlink" Target="https://www.brandstory.ae/blogs/seo-company-in-dubai-top-10-list/" TargetMode="External"/><Relationship Id="rId244" Type="http://schemas.openxmlformats.org/officeDocument/2006/relationships/hyperlink" Target="https://biglab.ae/services/ai/ai-consulting-services/" TargetMode="External"/><Relationship Id="rId1079" Type="http://schemas.openxmlformats.org/officeDocument/2006/relationships/hyperlink" Target="http://brandstory.ae" TargetMode="External"/><Relationship Id="rId243" Type="http://schemas.openxmlformats.org/officeDocument/2006/relationships/hyperlink" Target="http://semrush.com" TargetMode="External"/><Relationship Id="rId239" Type="http://schemas.openxmlformats.org/officeDocument/2006/relationships/hyperlink" Target="http://lapaone.com" TargetMode="External"/><Relationship Id="rId238" Type="http://schemas.openxmlformats.org/officeDocument/2006/relationships/hyperlink" Target="https://www.lapaone.com/best-geo-agencies-in-dubai/" TargetMode="External"/><Relationship Id="rId237" Type="http://schemas.openxmlformats.org/officeDocument/2006/relationships/hyperlink" Target="http://housesofgrowth.com" TargetMode="External"/><Relationship Id="rId236" Type="http://schemas.openxmlformats.org/officeDocument/2006/relationships/hyperlink" Target="https://www.housesofgrowth.com/post/ai-seo-agencies-in-the-uae" TargetMode="External"/><Relationship Id="rId2390" Type="http://schemas.openxmlformats.org/officeDocument/2006/relationships/hyperlink" Target="https://www.marchiteq.com/" TargetMode="External"/><Relationship Id="rId1060" Type="http://schemas.openxmlformats.org/officeDocument/2006/relationships/hyperlink" Target="http://aeoagencyservices.com" TargetMode="External"/><Relationship Id="rId2391" Type="http://schemas.openxmlformats.org/officeDocument/2006/relationships/hyperlink" Target="http://marchiteq.com" TargetMode="External"/><Relationship Id="rId1061" Type="http://schemas.openxmlformats.org/officeDocument/2006/relationships/hyperlink" Target="https://agencies.semrush.com/list/analytics-data-science/united-arab-emirates/" TargetMode="External"/><Relationship Id="rId2392" Type="http://schemas.openxmlformats.org/officeDocument/2006/relationships/hyperlink" Target="https://www.market-research-companies.in/United-Arab-Emirates" TargetMode="External"/><Relationship Id="rId231" Type="http://schemas.openxmlformats.org/officeDocument/2006/relationships/hyperlink" Target="http://wearetenet.com" TargetMode="External"/><Relationship Id="rId1062" Type="http://schemas.openxmlformats.org/officeDocument/2006/relationships/hyperlink" Target="http://semrush.com" TargetMode="External"/><Relationship Id="rId2393" Type="http://schemas.openxmlformats.org/officeDocument/2006/relationships/hyperlink" Target="http://market-research-companies.in" TargetMode="External"/><Relationship Id="rId230" Type="http://schemas.openxmlformats.org/officeDocument/2006/relationships/hyperlink" Target="https://www.wearetenet.com/blog/best-geo-agencies-in-ajman" TargetMode="External"/><Relationship Id="rId1063" Type="http://schemas.openxmlformats.org/officeDocument/2006/relationships/hyperlink" Target="https://agencies.semrush.com/list/display-advertising/business-professional-services/united-arab-emirates/" TargetMode="External"/><Relationship Id="rId2394" Type="http://schemas.openxmlformats.org/officeDocument/2006/relationships/hyperlink" Target="https://marketerhire.com/blog/performance-marketing-agency" TargetMode="External"/><Relationship Id="rId1064" Type="http://schemas.openxmlformats.org/officeDocument/2006/relationships/hyperlink" Target="http://semrush.com" TargetMode="External"/><Relationship Id="rId2395" Type="http://schemas.openxmlformats.org/officeDocument/2006/relationships/hyperlink" Target="http://marketerhire.com" TargetMode="External"/><Relationship Id="rId1065" Type="http://schemas.openxmlformats.org/officeDocument/2006/relationships/hyperlink" Target="https://agencies.semrush.com/list/display-advertising/ecommerce/united-arab-emirates/" TargetMode="External"/><Relationship Id="rId2396" Type="http://schemas.openxmlformats.org/officeDocument/2006/relationships/hyperlink" Target="https://marketingintelligence.io/" TargetMode="External"/><Relationship Id="rId235" Type="http://schemas.openxmlformats.org/officeDocument/2006/relationships/hyperlink" Target="http://bicommunications.ae" TargetMode="External"/><Relationship Id="rId1066" Type="http://schemas.openxmlformats.org/officeDocument/2006/relationships/hyperlink" Target="http://semrush.com" TargetMode="External"/><Relationship Id="rId2397" Type="http://schemas.openxmlformats.org/officeDocument/2006/relationships/hyperlink" Target="http://marketingintelligence.io" TargetMode="External"/><Relationship Id="rId234" Type="http://schemas.openxmlformats.org/officeDocument/2006/relationships/hyperlink" Target="https://www.bicommunications.ae/blog/google-ads-agencies-dubai/" TargetMode="External"/><Relationship Id="rId1067" Type="http://schemas.openxmlformats.org/officeDocument/2006/relationships/hyperlink" Target="https://agencies.semrush.com/list/display-advertising/united-arab-emirates/enterprise-business/" TargetMode="External"/><Relationship Id="rId2398" Type="http://schemas.openxmlformats.org/officeDocument/2006/relationships/hyperlink" Target="https://marketingltb.com/blog/agency/best-instagram-influencer-marketing-agencies/" TargetMode="External"/><Relationship Id="rId233" Type="http://schemas.openxmlformats.org/officeDocument/2006/relationships/hyperlink" Target="http://wearetenet.com" TargetMode="External"/><Relationship Id="rId1068" Type="http://schemas.openxmlformats.org/officeDocument/2006/relationships/hyperlink" Target="http://semrush.com" TargetMode="External"/><Relationship Id="rId2399" Type="http://schemas.openxmlformats.org/officeDocument/2006/relationships/hyperlink" Target="http://marketingltb.com" TargetMode="External"/><Relationship Id="rId232" Type="http://schemas.openxmlformats.org/officeDocument/2006/relationships/hyperlink" Target="https://www.wearetenet.com/blog/best-google-ads-agencies-in-dubai" TargetMode="External"/><Relationship Id="rId1069" Type="http://schemas.openxmlformats.org/officeDocument/2006/relationships/hyperlink" Target="https://agencies.semrush.com/list/machine-learning-and-ai/united-arab-emirates/" TargetMode="External"/><Relationship Id="rId1015" Type="http://schemas.openxmlformats.org/officeDocument/2006/relationships/hyperlink" Target="https://www.rankfirms.com/agency/digital-marketing-companies/uae/" TargetMode="External"/><Relationship Id="rId1499" Type="http://schemas.openxmlformats.org/officeDocument/2006/relationships/hyperlink" Target="https://thinkcypher.com/" TargetMode="External"/><Relationship Id="rId2346" Type="http://schemas.openxmlformats.org/officeDocument/2006/relationships/hyperlink" Target="http://linkedin.com" TargetMode="External"/><Relationship Id="rId1016" Type="http://schemas.openxmlformats.org/officeDocument/2006/relationships/hyperlink" Target="http://rankfirms.com" TargetMode="External"/><Relationship Id="rId2347" Type="http://schemas.openxmlformats.org/officeDocument/2006/relationships/hyperlink" Target="https://www.linkedin.com/jobs/view/4394391942/" TargetMode="External"/><Relationship Id="rId1017" Type="http://schemas.openxmlformats.org/officeDocument/2006/relationships/hyperlink" Target="https://www.reddit.com/r/AppDevelopersDubai/comments/1qy6tf9/top_10_digital_marketing_agencies_in_the_middle/" TargetMode="External"/><Relationship Id="rId2348" Type="http://schemas.openxmlformats.org/officeDocument/2006/relationships/hyperlink" Target="http://linkedin.com" TargetMode="External"/><Relationship Id="rId1018" Type="http://schemas.openxmlformats.org/officeDocument/2006/relationships/hyperlink" Target="http://reddit.com" TargetMode="External"/><Relationship Id="rId2349" Type="http://schemas.openxmlformats.org/officeDocument/2006/relationships/hyperlink" Target="https://www.linkedin.com/posts/lapaone_best-ppc-management-agencies-in-dubai-lapaone-activity-7412535693329223680-fnGx" TargetMode="External"/><Relationship Id="rId1019" Type="http://schemas.openxmlformats.org/officeDocument/2006/relationships/hyperlink" Target="https://www.reddit.com/r/Superframeworks/comments/1twfxf1/10_best_ai_seo_geoaeo_agencies_for_2026_no/" TargetMode="External"/><Relationship Id="rId668" Type="http://schemas.openxmlformats.org/officeDocument/2006/relationships/hyperlink" Target="http://upvantage.ae" TargetMode="External"/><Relationship Id="rId667" Type="http://schemas.openxmlformats.org/officeDocument/2006/relationships/hyperlink" Target="https://www.upvantage.ae/" TargetMode="External"/><Relationship Id="rId666" Type="http://schemas.openxmlformats.org/officeDocument/2006/relationships/hyperlink" Target="http://trusttry.com" TargetMode="External"/><Relationship Id="rId665" Type="http://schemas.openxmlformats.org/officeDocument/2006/relationships/hyperlink" Target="https://trusttry.com/services/paid-advertising/uae?lang=en" TargetMode="External"/><Relationship Id="rId669" Type="http://schemas.openxmlformats.org/officeDocument/2006/relationships/hyperlink" Target="https://waimhub.com/" TargetMode="External"/><Relationship Id="rId1490" Type="http://schemas.openxmlformats.org/officeDocument/2006/relationships/hyperlink" Target="http://techradar.com" TargetMode="External"/><Relationship Id="rId660" Type="http://schemas.openxmlformats.org/officeDocument/2006/relationships/hyperlink" Target="http://superbcompanies.com" TargetMode="External"/><Relationship Id="rId1491" Type="http://schemas.openxmlformats.org/officeDocument/2006/relationships/hyperlink" Target="https://tfsfventures.com/blog/top-consulting-firms-uae-intelligent-automation" TargetMode="External"/><Relationship Id="rId1492" Type="http://schemas.openxmlformats.org/officeDocument/2006/relationships/hyperlink" Target="http://tfsfventures.com" TargetMode="External"/><Relationship Id="rId1493" Type="http://schemas.openxmlformats.org/officeDocument/2006/relationships/hyperlink" Target="https://thedxlab.com/" TargetMode="External"/><Relationship Id="rId2340" Type="http://schemas.openxmlformats.org/officeDocument/2006/relationships/hyperlink" Target="http://limitls.ai" TargetMode="External"/><Relationship Id="rId1010" Type="http://schemas.openxmlformats.org/officeDocument/2006/relationships/hyperlink" Target="http://provokemedia.com" TargetMode="External"/><Relationship Id="rId1494" Type="http://schemas.openxmlformats.org/officeDocument/2006/relationships/hyperlink" Target="http://thedxlab.com" TargetMode="External"/><Relationship Id="rId2341" Type="http://schemas.openxmlformats.org/officeDocument/2006/relationships/hyperlink" Target="https://www.linkedin.com/company/chain-reaction-digital-services" TargetMode="External"/><Relationship Id="rId664" Type="http://schemas.openxmlformats.org/officeDocument/2006/relationships/hyperlink" Target="http://triplewhale.com" TargetMode="External"/><Relationship Id="rId1011" Type="http://schemas.openxmlformats.org/officeDocument/2006/relationships/hyperlink" Target="https://purealanalytics.co.uk/" TargetMode="External"/><Relationship Id="rId1495" Type="http://schemas.openxmlformats.org/officeDocument/2006/relationships/hyperlink" Target="https://thehovi.com/" TargetMode="External"/><Relationship Id="rId2342" Type="http://schemas.openxmlformats.org/officeDocument/2006/relationships/hyperlink" Target="http://linkedin.com" TargetMode="External"/><Relationship Id="rId663" Type="http://schemas.openxmlformats.org/officeDocument/2006/relationships/hyperlink" Target="https://www.triplewhale.com/blog/incrementality-testing-methods" TargetMode="External"/><Relationship Id="rId1012" Type="http://schemas.openxmlformats.org/officeDocument/2006/relationships/hyperlink" Target="http://purealanalytics.co.uk" TargetMode="External"/><Relationship Id="rId1496" Type="http://schemas.openxmlformats.org/officeDocument/2006/relationships/hyperlink" Target="http://thehovi.com" TargetMode="External"/><Relationship Id="rId2343" Type="http://schemas.openxmlformats.org/officeDocument/2006/relationships/hyperlink" Target="https://www.linkedin.com/company/hopmarketing/?originalSubdomain=ae" TargetMode="External"/><Relationship Id="rId662" Type="http://schemas.openxmlformats.org/officeDocument/2006/relationships/hyperlink" Target="http://techbehemoths.com" TargetMode="External"/><Relationship Id="rId1013" Type="http://schemas.openxmlformats.org/officeDocument/2006/relationships/hyperlink" Target="https://www.pwc.com/m1/en/tax/documents/2022/aeo-offering-uae.pdf" TargetMode="External"/><Relationship Id="rId1497" Type="http://schemas.openxmlformats.org/officeDocument/2006/relationships/hyperlink" Target="https://www.thekeenfolks.com/blog-article/best-performance-marketing-agencies" TargetMode="External"/><Relationship Id="rId2344" Type="http://schemas.openxmlformats.org/officeDocument/2006/relationships/hyperlink" Target="http://linkedin.com" TargetMode="External"/><Relationship Id="rId661" Type="http://schemas.openxmlformats.org/officeDocument/2006/relationships/hyperlink" Target="https://techbehemoths.com/companies/marketing-analytics/dubai" TargetMode="External"/><Relationship Id="rId1014" Type="http://schemas.openxmlformats.org/officeDocument/2006/relationships/hyperlink" Target="http://pwc.com" TargetMode="External"/><Relationship Id="rId1498" Type="http://schemas.openxmlformats.org/officeDocument/2006/relationships/hyperlink" Target="http://thekeenfolks.com" TargetMode="External"/><Relationship Id="rId2345" Type="http://schemas.openxmlformats.org/officeDocument/2006/relationships/hyperlink" Target="https://www.linkedin.com/in/khalidelsadig/" TargetMode="External"/><Relationship Id="rId1004" Type="http://schemas.openxmlformats.org/officeDocument/2006/relationships/hyperlink" Target="https://onlinemarketing.ae/best-performance-marketing-companies-dubai/" TargetMode="External"/><Relationship Id="rId1488" Type="http://schemas.openxmlformats.org/officeDocument/2006/relationships/hyperlink" Target="http://teamtweaks.com" TargetMode="External"/><Relationship Id="rId2335" Type="http://schemas.openxmlformats.org/officeDocument/2006/relationships/hyperlink" Target="https://lifesight.io/?trk=public_post_main-feed-card-text" TargetMode="External"/><Relationship Id="rId1005" Type="http://schemas.openxmlformats.org/officeDocument/2006/relationships/hyperlink" Target="http://onlinemarketing.ae" TargetMode="External"/><Relationship Id="rId1489" Type="http://schemas.openxmlformats.org/officeDocument/2006/relationships/hyperlink" Target="https://www.techradar.com/pro/companies-that-can-serve-both-human-and-agent-audiences-will-be-the-ones-that-survive-wordpress-vip-cto-spells-out-the-future-of-seo-geo-and-more" TargetMode="External"/><Relationship Id="rId2336" Type="http://schemas.openxmlformats.org/officeDocument/2006/relationships/hyperlink" Target="http://lifesight.io" TargetMode="External"/><Relationship Id="rId1006" Type="http://schemas.openxmlformats.org/officeDocument/2006/relationships/hyperlink" Target="https://plana.tech/en-ae/services/ai-development/ai-strategy-consulting" TargetMode="External"/><Relationship Id="rId2337" Type="http://schemas.openxmlformats.org/officeDocument/2006/relationships/hyperlink" Target="https://liftlab.com/blog/best-mmm-platforms-2026/" TargetMode="External"/><Relationship Id="rId1007" Type="http://schemas.openxmlformats.org/officeDocument/2006/relationships/hyperlink" Target="https://www.prontosys.ae/google-partner-ajman/" TargetMode="External"/><Relationship Id="rId2338" Type="http://schemas.openxmlformats.org/officeDocument/2006/relationships/hyperlink" Target="http://liftlab.com" TargetMode="External"/><Relationship Id="rId1008" Type="http://schemas.openxmlformats.org/officeDocument/2006/relationships/hyperlink" Target="http://prontosys.ae" TargetMode="External"/><Relationship Id="rId2339" Type="http://schemas.openxmlformats.org/officeDocument/2006/relationships/hyperlink" Target="https://www.limitls.ai/" TargetMode="External"/><Relationship Id="rId1009" Type="http://schemas.openxmlformats.org/officeDocument/2006/relationships/hyperlink" Target="https://www.provokemedia.com/events-awards/agencies-of-the-year/the-best-agencies-in-emea-2025/the-10-best-agencies-in-the-middle-east/gambit" TargetMode="External"/><Relationship Id="rId657" Type="http://schemas.openxmlformats.org/officeDocument/2006/relationships/hyperlink" Target="https://www.sortlist.com/digital-marketing/dubai-ae" TargetMode="External"/><Relationship Id="rId656" Type="http://schemas.openxmlformats.org/officeDocument/2006/relationships/hyperlink" Target="http://snezzi.com" TargetMode="External"/><Relationship Id="rId655" Type="http://schemas.openxmlformats.org/officeDocument/2006/relationships/hyperlink" Target="https://snezzi.com/blog/best-ai-seo-agencies-in-dubai-pricing-pros-and-cons/" TargetMode="External"/><Relationship Id="rId654" Type="http://schemas.openxmlformats.org/officeDocument/2006/relationships/hyperlink" Target="http://semrush.com" TargetMode="External"/><Relationship Id="rId659" Type="http://schemas.openxmlformats.org/officeDocument/2006/relationships/hyperlink" Target="https://superbcompanies.com/categories/creative-agencies-in-the-uae/" TargetMode="External"/><Relationship Id="rId658" Type="http://schemas.openxmlformats.org/officeDocument/2006/relationships/hyperlink" Target="http://sortlist.com" TargetMode="External"/><Relationship Id="rId1480" Type="http://schemas.openxmlformats.org/officeDocument/2006/relationships/hyperlink" Target="http://superside.com" TargetMode="External"/><Relationship Id="rId1481" Type="http://schemas.openxmlformats.org/officeDocument/2006/relationships/hyperlink" Target="https://support.google.com/tagmanager/answer/7237700?hl=en" TargetMode="External"/><Relationship Id="rId1482" Type="http://schemas.openxmlformats.org/officeDocument/2006/relationships/hyperlink" Target="http://google.com" TargetMode="External"/><Relationship Id="rId1483" Type="http://schemas.openxmlformats.org/officeDocument/2006/relationships/hyperlink" Target="https://support.google.com/tagmanager/answer/7237700?hl=en-au" TargetMode="External"/><Relationship Id="rId2330" Type="http://schemas.openxmlformats.org/officeDocument/2006/relationships/hyperlink" Target="http://lifesight.io" TargetMode="External"/><Relationship Id="rId653" Type="http://schemas.openxmlformats.org/officeDocument/2006/relationships/hyperlink" Target="https://www.semrush.com/agencies/list/analytics-data-science/dubai/small-business/" TargetMode="External"/><Relationship Id="rId1000" Type="http://schemas.openxmlformats.org/officeDocument/2006/relationships/hyperlink" Target="http://noirandblanco.com" TargetMode="External"/><Relationship Id="rId1484" Type="http://schemas.openxmlformats.org/officeDocument/2006/relationships/hyperlink" Target="http://google.com" TargetMode="External"/><Relationship Id="rId2331" Type="http://schemas.openxmlformats.org/officeDocument/2006/relationships/hyperlink" Target="https://lifesight.io/blog/incrementality-vs-ab-testing/" TargetMode="External"/><Relationship Id="rId652" Type="http://schemas.openxmlformats.org/officeDocument/2006/relationships/hyperlink" Target="http://salesduo.com" TargetMode="External"/><Relationship Id="rId1001" Type="http://schemas.openxmlformats.org/officeDocument/2006/relationships/hyperlink" Target="https://www.octopusmarketing.agency/ai-services/ai-strategy-consulting/" TargetMode="External"/><Relationship Id="rId1485" Type="http://schemas.openxmlformats.org/officeDocument/2006/relationships/hyperlink" Target="https://www.sustainablemindz.net/ai-seo/" TargetMode="External"/><Relationship Id="rId2332" Type="http://schemas.openxmlformats.org/officeDocument/2006/relationships/hyperlink" Target="http://lifesight.io" TargetMode="External"/><Relationship Id="rId651" Type="http://schemas.openxmlformats.org/officeDocument/2006/relationships/hyperlink" Target="https://salesduo.com/blog/amazon-marketing-agencies-uae/" TargetMode="External"/><Relationship Id="rId1002" Type="http://schemas.openxmlformats.org/officeDocument/2006/relationships/hyperlink" Target="https://www.octopusmarketing.agency/digital-marketing/ppc-and-paid-ads/display-advertising-services/" TargetMode="External"/><Relationship Id="rId1486" Type="http://schemas.openxmlformats.org/officeDocument/2006/relationships/hyperlink" Target="http://sustainablemindz.net" TargetMode="External"/><Relationship Id="rId2333" Type="http://schemas.openxmlformats.org/officeDocument/2006/relationships/hyperlink" Target="https://lifesight.io/blog/marketing-mix-modeling-software/" TargetMode="External"/><Relationship Id="rId650" Type="http://schemas.openxmlformats.org/officeDocument/2006/relationships/hyperlink" Target="http://redberries.ae" TargetMode="External"/><Relationship Id="rId1003" Type="http://schemas.openxmlformats.org/officeDocument/2006/relationships/hyperlink" Target="https://ohm.agency/services" TargetMode="External"/><Relationship Id="rId1487" Type="http://schemas.openxmlformats.org/officeDocument/2006/relationships/hyperlink" Target="https://www.teamtweaks.com/blog/digital-marketing-agency-in-uae/" TargetMode="External"/><Relationship Id="rId2334" Type="http://schemas.openxmlformats.org/officeDocument/2006/relationships/hyperlink" Target="http://lifesight.io" TargetMode="External"/><Relationship Id="rId1037" Type="http://schemas.openxmlformats.org/officeDocument/2006/relationships/hyperlink" Target="https://sourceforge.net/software/incrementality-testing/middle-east/" TargetMode="External"/><Relationship Id="rId2368" Type="http://schemas.openxmlformats.org/officeDocument/2006/relationships/hyperlink" Target="http://list-of-digital-marketing-companies-in-dubai.com" TargetMode="External"/><Relationship Id="rId1038" Type="http://schemas.openxmlformats.org/officeDocument/2006/relationships/hyperlink" Target="http://sourceforge.net" TargetMode="External"/><Relationship Id="rId2369" Type="http://schemas.openxmlformats.org/officeDocument/2006/relationships/hyperlink" Target="https://llmpulse.ai/blog/best-google-ai-overviews-trackers/" TargetMode="External"/><Relationship Id="rId1039" Type="http://schemas.openxmlformats.org/officeDocument/2006/relationships/hyperlink" Target="https://superbcompanies.com/categories/instagram-advertising-agencies-in-the-uae/" TargetMode="External"/><Relationship Id="rId206" Type="http://schemas.openxmlformats.org/officeDocument/2006/relationships/hyperlink" Target="https://c2cmedia.ae/blog/best-performance-marketing-agency-dubai/" TargetMode="External"/><Relationship Id="rId205" Type="http://schemas.openxmlformats.org/officeDocument/2006/relationships/hyperlink" Target="http://bicommunications.ae" TargetMode="External"/><Relationship Id="rId689" Type="http://schemas.openxmlformats.org/officeDocument/2006/relationships/hyperlink" Target="https://www.digitalgravity.ae/services/generative-engine-optimization-geo-agency/" TargetMode="External"/><Relationship Id="rId204" Type="http://schemas.openxmlformats.org/officeDocument/2006/relationships/hyperlink" Target="https://www.bicommunications.ae/blog/best-google-ads-agencies-dubai/" TargetMode="External"/><Relationship Id="rId688" Type="http://schemas.openxmlformats.org/officeDocument/2006/relationships/hyperlink" Target="https://www.decipher.agency/ai-search-optimisation-agency-uae/tech" TargetMode="External"/><Relationship Id="rId203" Type="http://schemas.openxmlformats.org/officeDocument/2006/relationships/hyperlink" Target="http://semrush.com" TargetMode="External"/><Relationship Id="rId687" Type="http://schemas.openxmlformats.org/officeDocument/2006/relationships/hyperlink" Target="https://www.decipher.agency/ai-search-optimisation-agency-uae" TargetMode="External"/><Relationship Id="rId209" Type="http://schemas.openxmlformats.org/officeDocument/2006/relationships/hyperlink" Target="http://cometly.com" TargetMode="External"/><Relationship Id="rId208" Type="http://schemas.openxmlformats.org/officeDocument/2006/relationships/hyperlink" Target="https://www.cometly.com/post/marketing-incrementality-testing-tools" TargetMode="External"/><Relationship Id="rId207" Type="http://schemas.openxmlformats.org/officeDocument/2006/relationships/hyperlink" Target="http://c2cmedia.ae" TargetMode="External"/><Relationship Id="rId682" Type="http://schemas.openxmlformats.org/officeDocument/2006/relationships/hyperlink" Target="http://biglab.ae" TargetMode="External"/><Relationship Id="rId2360" Type="http://schemas.openxmlformats.org/officeDocument/2006/relationships/hyperlink" Target="http://linkedin.com" TargetMode="External"/><Relationship Id="rId681" Type="http://schemas.openxmlformats.org/officeDocument/2006/relationships/hyperlink" Target="https://biglab.ae/services/performance-marketing/" TargetMode="External"/><Relationship Id="rId1030" Type="http://schemas.openxmlformats.org/officeDocument/2006/relationships/hyperlink" Target="http://sortlist.com" TargetMode="External"/><Relationship Id="rId2361" Type="http://schemas.openxmlformats.org/officeDocument/2006/relationships/hyperlink" Target="https://www.linkedin.com/pulse/top-ai-consulting-companies-dubai-2025-global-leaders-smith-johnes-dirbc" TargetMode="External"/><Relationship Id="rId680" Type="http://schemas.openxmlformats.org/officeDocument/2006/relationships/hyperlink" Target="http://az-group.ae" TargetMode="External"/><Relationship Id="rId1031" Type="http://schemas.openxmlformats.org/officeDocument/2006/relationships/hyperlink" Target="https://www.sortlist.com/s/data-driven-marketing/dubai-ae" TargetMode="External"/><Relationship Id="rId2362" Type="http://schemas.openxmlformats.org/officeDocument/2006/relationships/hyperlink" Target="http://linkedin.com" TargetMode="External"/><Relationship Id="rId1032" Type="http://schemas.openxmlformats.org/officeDocument/2006/relationships/hyperlink" Target="http://sortlist.com" TargetMode="External"/><Relationship Id="rId2363" Type="http://schemas.openxmlformats.org/officeDocument/2006/relationships/hyperlink" Target="https://www.linkedin.com/showcase/ai-transformation-adoption/" TargetMode="External"/><Relationship Id="rId202" Type="http://schemas.openxmlformats.org/officeDocument/2006/relationships/hyperlink" Target="https://agencies.semrush.com/list/united-arab-emirates/" TargetMode="External"/><Relationship Id="rId686" Type="http://schemas.openxmlformats.org/officeDocument/2006/relationships/hyperlink" Target="http://cometly.com" TargetMode="External"/><Relationship Id="rId1033" Type="http://schemas.openxmlformats.org/officeDocument/2006/relationships/hyperlink" Target="https://www.sortlist.com/s/marketing-analytics/sharjah-ae" TargetMode="External"/><Relationship Id="rId2364" Type="http://schemas.openxmlformats.org/officeDocument/2006/relationships/hyperlink" Target="http://linkedin.com" TargetMode="External"/><Relationship Id="rId201" Type="http://schemas.openxmlformats.org/officeDocument/2006/relationships/hyperlink" Target="http://semrush.com" TargetMode="External"/><Relationship Id="rId685" Type="http://schemas.openxmlformats.org/officeDocument/2006/relationships/hyperlink" Target="https://www.cometly.com/post/marketing-attribution-platform-for-agencies" TargetMode="External"/><Relationship Id="rId1034" Type="http://schemas.openxmlformats.org/officeDocument/2006/relationships/hyperlink" Target="http://sortlist.com" TargetMode="External"/><Relationship Id="rId2365" Type="http://schemas.openxmlformats.org/officeDocument/2006/relationships/hyperlink" Target="https://www.linkedist.com/blog/top-5-geo-aeo-ai-search-agencies-in-2026" TargetMode="External"/><Relationship Id="rId200" Type="http://schemas.openxmlformats.org/officeDocument/2006/relationships/hyperlink" Target="https://agencies.semrush.com/list/display-advertising/dubai/" TargetMode="External"/><Relationship Id="rId684" Type="http://schemas.openxmlformats.org/officeDocument/2006/relationships/hyperlink" Target="http://campaignme.com" TargetMode="External"/><Relationship Id="rId1035" Type="http://schemas.openxmlformats.org/officeDocument/2006/relationships/hyperlink" Target="https://www.sortlist.com/s/performance-marketing/abu-dhabi-ae" TargetMode="External"/><Relationship Id="rId2366" Type="http://schemas.openxmlformats.org/officeDocument/2006/relationships/hyperlink" Target="http://linkedist.com" TargetMode="External"/><Relationship Id="rId683" Type="http://schemas.openxmlformats.org/officeDocument/2006/relationships/hyperlink" Target="https://campaignme.com/loeries-rankings-2025-bigtime-creative-shop-tops-mena-list/" TargetMode="External"/><Relationship Id="rId1036" Type="http://schemas.openxmlformats.org/officeDocument/2006/relationships/hyperlink" Target="http://sortlist.com" TargetMode="External"/><Relationship Id="rId2367" Type="http://schemas.openxmlformats.org/officeDocument/2006/relationships/hyperlink" Target="https://list-of-digital-marketing-companies-in-dubai.com/dubai/data-driven-marketing" TargetMode="External"/><Relationship Id="rId1026" Type="http://schemas.openxmlformats.org/officeDocument/2006/relationships/hyperlink" Target="http://semnexus.com" TargetMode="External"/><Relationship Id="rId2357" Type="http://schemas.openxmlformats.org/officeDocument/2006/relationships/hyperlink" Target="https://www.linkedin.com/pulse/top-10-ai-prompt-engineering-service-companies-2025-jagadish-thaker-xw6lc" TargetMode="External"/><Relationship Id="rId1027" Type="http://schemas.openxmlformats.org/officeDocument/2006/relationships/hyperlink" Target="https://senvoradigital.ae/best-seo-experts-in-dubai/" TargetMode="External"/><Relationship Id="rId2358" Type="http://schemas.openxmlformats.org/officeDocument/2006/relationships/hyperlink" Target="http://linkedin.com" TargetMode="External"/><Relationship Id="rId1028" Type="http://schemas.openxmlformats.org/officeDocument/2006/relationships/hyperlink" Target="http://senvoradigital.ae" TargetMode="External"/><Relationship Id="rId2359" Type="http://schemas.openxmlformats.org/officeDocument/2006/relationships/hyperlink" Target="https://www.linkedin.com/pulse/top-25-performance-marketing-agencies-us-hawkemedia-iqbnc" TargetMode="External"/><Relationship Id="rId1029" Type="http://schemas.openxmlformats.org/officeDocument/2006/relationships/hyperlink" Target="https://www.sortlist.com/s/creative/united-arab-emirates-ae" TargetMode="External"/><Relationship Id="rId679" Type="http://schemas.openxmlformats.org/officeDocument/2006/relationships/hyperlink" Target="https://az-group.ae/service/uae-authorised-economic-operator/" TargetMode="External"/><Relationship Id="rId678" Type="http://schemas.openxmlformats.org/officeDocument/2006/relationships/hyperlink" Target="http://aiwatchmena.com" TargetMode="External"/><Relationship Id="rId677" Type="http://schemas.openxmlformats.org/officeDocument/2006/relationships/hyperlink" Target="https://aiwatchmena.com/analysis/top-10-geo-agencies-dubai.html" TargetMode="External"/><Relationship Id="rId676" Type="http://schemas.openxmlformats.org/officeDocument/2006/relationships/hyperlink" Target="http://advertising-companies-in-dubai.com" TargetMode="External"/><Relationship Id="rId671" Type="http://schemas.openxmlformats.org/officeDocument/2006/relationships/hyperlink" Target="https://www.10seos.com/ae/ecommerce-seo-companies-in-uae" TargetMode="External"/><Relationship Id="rId670" Type="http://schemas.openxmlformats.org/officeDocument/2006/relationships/hyperlink" Target="http://waimhub.com" TargetMode="External"/><Relationship Id="rId2350" Type="http://schemas.openxmlformats.org/officeDocument/2006/relationships/hyperlink" Target="http://linkedin.com" TargetMode="External"/><Relationship Id="rId1020" Type="http://schemas.openxmlformats.org/officeDocument/2006/relationships/hyperlink" Target="http://reddit.com" TargetMode="External"/><Relationship Id="rId2351" Type="http://schemas.openxmlformats.org/officeDocument/2006/relationships/hyperlink" Target="https://www.linkedin.com/pulse/10-best-ai-development-companies-uae-leading-innovation-sophie-henry-srcec" TargetMode="External"/><Relationship Id="rId1021" Type="http://schemas.openxmlformats.org/officeDocument/2006/relationships/hyperlink" Target="https://www.reuters.com/business/publicis-raises-growth-target-ai-driven-marketing-demand-stays-strong-2026-07-16/" TargetMode="External"/><Relationship Id="rId2352" Type="http://schemas.openxmlformats.org/officeDocument/2006/relationships/hyperlink" Target="http://linkedin.com" TargetMode="External"/><Relationship Id="rId675" Type="http://schemas.openxmlformats.org/officeDocument/2006/relationships/hyperlink" Target="https://advertising-companies-in-dubai.com/brand-advertising-agencies/dubai" TargetMode="External"/><Relationship Id="rId1022" Type="http://schemas.openxmlformats.org/officeDocument/2006/relationships/hyperlink" Target="http://reuters.com" TargetMode="External"/><Relationship Id="rId2353" Type="http://schemas.openxmlformats.org/officeDocument/2006/relationships/hyperlink" Target="https://www.linkedin.com/pulse/10-best-ai-development-companies-uae-leading-race-mohammad-rahman-kqchc" TargetMode="External"/><Relationship Id="rId674" Type="http://schemas.openxmlformats.org/officeDocument/2006/relationships/hyperlink" Target="http://acquisit.io" TargetMode="External"/><Relationship Id="rId1023" Type="http://schemas.openxmlformats.org/officeDocument/2006/relationships/hyperlink" Target="https://scopicstudios.com/blog/top-ai-marketing-agencies/" TargetMode="External"/><Relationship Id="rId2354" Type="http://schemas.openxmlformats.org/officeDocument/2006/relationships/hyperlink" Target="http://linkedin.com" TargetMode="External"/><Relationship Id="rId673" Type="http://schemas.openxmlformats.org/officeDocument/2006/relationships/hyperlink" Target="https://acquisit.io/performance-marketing-uae/" TargetMode="External"/><Relationship Id="rId1024" Type="http://schemas.openxmlformats.org/officeDocument/2006/relationships/hyperlink" Target="http://scopicstudios.com" TargetMode="External"/><Relationship Id="rId2355" Type="http://schemas.openxmlformats.org/officeDocument/2006/relationships/hyperlink" Target="https://www.linkedin.com/pulse/deconstructing-common-solutions-first-party-data-pierre-cholet-booce" TargetMode="External"/><Relationship Id="rId672" Type="http://schemas.openxmlformats.org/officeDocument/2006/relationships/hyperlink" Target="http://10seos.com" TargetMode="External"/><Relationship Id="rId1025" Type="http://schemas.openxmlformats.org/officeDocument/2006/relationships/hyperlink" Target="https://semnexus.com/best-aeo-agencies-dubai-2" TargetMode="External"/><Relationship Id="rId2356" Type="http://schemas.openxmlformats.org/officeDocument/2006/relationships/hyperlink" Target="http://linkedin.com" TargetMode="External"/><Relationship Id="rId190" Type="http://schemas.openxmlformats.org/officeDocument/2006/relationships/hyperlink" Target="https://bloomingvelocity.com/google-ppc-ads-agency/" TargetMode="External"/><Relationship Id="rId194" Type="http://schemas.openxmlformats.org/officeDocument/2006/relationships/hyperlink" Target="https://www.nuundigital.com/services/data-analytics/marketing-analytics-attribution" TargetMode="External"/><Relationship Id="rId193" Type="http://schemas.openxmlformats.org/officeDocument/2006/relationships/hyperlink" Target="http://hellopixels.com" TargetMode="External"/><Relationship Id="rId192" Type="http://schemas.openxmlformats.org/officeDocument/2006/relationships/hyperlink" Target="https://www.hellopixels.com/google-marketing/" TargetMode="External"/><Relationship Id="rId191" Type="http://schemas.openxmlformats.org/officeDocument/2006/relationships/hyperlink" Target="http://bloomingvelocity.com" TargetMode="External"/><Relationship Id="rId187" Type="http://schemas.openxmlformats.org/officeDocument/2006/relationships/hyperlink" Target="http://semrush.com" TargetMode="External"/><Relationship Id="rId186" Type="http://schemas.openxmlformats.org/officeDocument/2006/relationships/hyperlink" Target="https://agencies.semrush.com/list/smm/dubai/" TargetMode="External"/><Relationship Id="rId185" Type="http://schemas.openxmlformats.org/officeDocument/2006/relationships/hyperlink" Target="http://webtonic.io" TargetMode="External"/><Relationship Id="rId184" Type="http://schemas.openxmlformats.org/officeDocument/2006/relationships/hyperlink" Target="https://www.webtonic.io/blog/top-digital-marketing-agencies-dubai" TargetMode="External"/><Relationship Id="rId189" Type="http://schemas.openxmlformats.org/officeDocument/2006/relationships/hyperlink" Target="http://bicommunications.ae" TargetMode="External"/><Relationship Id="rId188" Type="http://schemas.openxmlformats.org/officeDocument/2006/relationships/hyperlink" Target="https://www.bicommunications.ae/blog/best-social-media-marketing-agencies-dubai/" TargetMode="External"/><Relationship Id="rId183" Type="http://schemas.openxmlformats.org/officeDocument/2006/relationships/hyperlink" Target="http://theorangeclub.me" TargetMode="External"/><Relationship Id="rId182" Type="http://schemas.openxmlformats.org/officeDocument/2006/relationships/hyperlink" Target="https://theorangeclub.me/paid-media-agency" TargetMode="External"/><Relationship Id="rId181" Type="http://schemas.openxmlformats.org/officeDocument/2006/relationships/hyperlink" Target="http://thatware.co" TargetMode="External"/><Relationship Id="rId180" Type="http://schemas.openxmlformats.org/officeDocument/2006/relationships/hyperlink" Target="https://thatware.co/top-10-aeo-companies-in-uae/" TargetMode="External"/><Relationship Id="rId176" Type="http://schemas.openxmlformats.org/officeDocument/2006/relationships/hyperlink" Target="https://www.measured.com/faq/best-incrementality-testing-companies-software-for-marketing-2026/" TargetMode="External"/><Relationship Id="rId175" Type="http://schemas.openxmlformats.org/officeDocument/2006/relationships/hyperlink" Target="http://goodfirms.co" TargetMode="External"/><Relationship Id="rId174" Type="http://schemas.openxmlformats.org/officeDocument/2006/relationships/hyperlink" Target="https://www.goodfirms.co/advertising-companies/creative/uae" TargetMode="External"/><Relationship Id="rId173" Type="http://schemas.openxmlformats.org/officeDocument/2006/relationships/hyperlink" Target="http://clutch.co" TargetMode="External"/><Relationship Id="rId179" Type="http://schemas.openxmlformats.org/officeDocument/2006/relationships/hyperlink" Target="http://sortlist.com" TargetMode="External"/><Relationship Id="rId178" Type="http://schemas.openxmlformats.org/officeDocument/2006/relationships/hyperlink" Target="https://www.sortlist.com/s/performance-marketing/united-arab-emirates-ae" TargetMode="External"/><Relationship Id="rId177" Type="http://schemas.openxmlformats.org/officeDocument/2006/relationships/hyperlink" Target="http://measured.com" TargetMode="External"/><Relationship Id="rId1910" Type="http://schemas.openxmlformats.org/officeDocument/2006/relationships/hyperlink" Target="https://dhruvaconsultants.com/expertise/customs/" TargetMode="External"/><Relationship Id="rId1911" Type="http://schemas.openxmlformats.org/officeDocument/2006/relationships/hyperlink" Target="http://dhruvaconsultants.com" TargetMode="External"/><Relationship Id="rId1912" Type="http://schemas.openxmlformats.org/officeDocument/2006/relationships/hyperlink" Target="https://diapmedia.com/" TargetMode="External"/><Relationship Id="rId1913" Type="http://schemas.openxmlformats.org/officeDocument/2006/relationships/hyperlink" Target="http://diapmedia.com" TargetMode="External"/><Relationship Id="rId1914" Type="http://schemas.openxmlformats.org/officeDocument/2006/relationships/hyperlink" Target="https://www.digiblazon.com/performance-marketing-services/" TargetMode="External"/><Relationship Id="rId1915" Type="http://schemas.openxmlformats.org/officeDocument/2006/relationships/hyperlink" Target="http://digiblazon.com" TargetMode="External"/><Relationship Id="rId1916" Type="http://schemas.openxmlformats.org/officeDocument/2006/relationships/hyperlink" Target="https://digidot.ae/best-seo-agencies-in-dubai/" TargetMode="External"/><Relationship Id="rId1917" Type="http://schemas.openxmlformats.org/officeDocument/2006/relationships/hyperlink" Target="http://digidot.ae" TargetMode="External"/><Relationship Id="rId1918" Type="http://schemas.openxmlformats.org/officeDocument/2006/relationships/hyperlink" Target="https://digital-advice.io/" TargetMode="External"/><Relationship Id="rId1919" Type="http://schemas.openxmlformats.org/officeDocument/2006/relationships/hyperlink" Target="http://digital-advice.io" TargetMode="External"/><Relationship Id="rId1900" Type="http://schemas.openxmlformats.org/officeDocument/2006/relationships/hyperlink" Target="https://www.designrush.com/agency/digital-marketing/search-engine/ae/dubai" TargetMode="External"/><Relationship Id="rId1901" Type="http://schemas.openxmlformats.org/officeDocument/2006/relationships/hyperlink" Target="http://designrush.com" TargetMode="External"/><Relationship Id="rId1902" Type="http://schemas.openxmlformats.org/officeDocument/2006/relationships/hyperlink" Target="https://www.designrush.com/agency/digital-marketing/trends/demand-generation-agency" TargetMode="External"/><Relationship Id="rId1903" Type="http://schemas.openxmlformats.org/officeDocument/2006/relationships/hyperlink" Target="http://designrush.com" TargetMode="External"/><Relationship Id="rId1904" Type="http://schemas.openxmlformats.org/officeDocument/2006/relationships/hyperlink" Target="https://www.designrush.com/agency/paid-media-pay-per-click/ae/dubai" TargetMode="External"/><Relationship Id="rId1905" Type="http://schemas.openxmlformats.org/officeDocument/2006/relationships/hyperlink" Target="http://designrush.com" TargetMode="External"/><Relationship Id="rId1906" Type="http://schemas.openxmlformats.org/officeDocument/2006/relationships/hyperlink" Target="https://www.designrush.com/agency/paid-media-pay-per-click/ae/dubai?page=2" TargetMode="External"/><Relationship Id="rId1907" Type="http://schemas.openxmlformats.org/officeDocument/2006/relationships/hyperlink" Target="http://designrush.com" TargetMode="External"/><Relationship Id="rId1908" Type="http://schemas.openxmlformats.org/officeDocument/2006/relationships/hyperlink" Target="https://www.dgeniussolutions.com/aeo-dubai/" TargetMode="External"/><Relationship Id="rId1909" Type="http://schemas.openxmlformats.org/officeDocument/2006/relationships/hyperlink" Target="http://dgeniussolutions.com" TargetMode="External"/><Relationship Id="rId198" Type="http://schemas.openxmlformats.org/officeDocument/2006/relationships/hyperlink" Target="https://thebuzihub.com/page/47/performance-marketing-dubai" TargetMode="External"/><Relationship Id="rId197" Type="http://schemas.openxmlformats.org/officeDocument/2006/relationships/hyperlink" Target="http://solved6.com" TargetMode="External"/><Relationship Id="rId196" Type="http://schemas.openxmlformats.org/officeDocument/2006/relationships/hyperlink" Target="https://www.solved6.com/ae/blogs/best-digital-marketing-agencies-dubai-2026-report" TargetMode="External"/><Relationship Id="rId195" Type="http://schemas.openxmlformats.org/officeDocument/2006/relationships/hyperlink" Target="http://nuundigital.com" TargetMode="External"/><Relationship Id="rId199" Type="http://schemas.openxmlformats.org/officeDocument/2006/relationships/hyperlink" Target="http://thebuzihub.com" TargetMode="External"/><Relationship Id="rId150" Type="http://schemas.openxmlformats.org/officeDocument/2006/relationships/hyperlink" Target="https://c2cmedia.ae/blog/best-performance-marketing-agencies-in-the-uae/" TargetMode="External"/><Relationship Id="rId149" Type="http://schemas.openxmlformats.org/officeDocument/2006/relationships/hyperlink" Target="http://247agency.ae" TargetMode="External"/><Relationship Id="rId148" Type="http://schemas.openxmlformats.org/officeDocument/2006/relationships/hyperlink" Target="https://247agency.ae/blog/top-digital-marketing-agencies-dubai-2026" TargetMode="External"/><Relationship Id="rId1090" Type="http://schemas.openxmlformats.org/officeDocument/2006/relationships/hyperlink" Target="https://clutch.co/ae/agencies/ppc/media-industry" TargetMode="External"/><Relationship Id="rId1091" Type="http://schemas.openxmlformats.org/officeDocument/2006/relationships/hyperlink" Target="http://clutch.co" TargetMode="External"/><Relationship Id="rId1092" Type="http://schemas.openxmlformats.org/officeDocument/2006/relationships/hyperlink" Target="https://colabdxb.ae/display-advertising-dubai/" TargetMode="External"/><Relationship Id="rId1093" Type="http://schemas.openxmlformats.org/officeDocument/2006/relationships/hyperlink" Target="http://colabdxb.ae" TargetMode="External"/><Relationship Id="rId1094" Type="http://schemas.openxmlformats.org/officeDocument/2006/relationships/hyperlink" Target="https://www.designrush.com/agency/ai-companies/ae" TargetMode="External"/><Relationship Id="rId143" Type="http://schemas.openxmlformats.org/officeDocument/2006/relationships/hyperlink" Target="https://hop.rocks/" TargetMode="External"/><Relationship Id="rId1095" Type="http://schemas.openxmlformats.org/officeDocument/2006/relationships/hyperlink" Target="http://designrush.com" TargetMode="External"/><Relationship Id="rId142" Type="http://schemas.openxmlformats.org/officeDocument/2006/relationships/hyperlink" Target="http://goodfirms.co" TargetMode="External"/><Relationship Id="rId1096" Type="http://schemas.openxmlformats.org/officeDocument/2006/relationships/hyperlink" Target="https://digeesell.ae/ppc-agency-in-dubai" TargetMode="External"/><Relationship Id="rId141" Type="http://schemas.openxmlformats.org/officeDocument/2006/relationships/hyperlink" Target="https://www.goodfirms.co/directory/country/top-digital-marketing-companies/ae" TargetMode="External"/><Relationship Id="rId1097" Type="http://schemas.openxmlformats.org/officeDocument/2006/relationships/hyperlink" Target="http://digeesell.ae" TargetMode="External"/><Relationship Id="rId140" Type="http://schemas.openxmlformats.org/officeDocument/2006/relationships/hyperlink" Target="http://goodfirms.co" TargetMode="External"/><Relationship Id="rId1098" Type="http://schemas.openxmlformats.org/officeDocument/2006/relationships/hyperlink" Target="https://www.digitalarabia.ae/top-digital-marketing-agencies-dubai" TargetMode="External"/><Relationship Id="rId147" Type="http://schemas.openxmlformats.org/officeDocument/2006/relationships/hyperlink" Target="http://thehovi.com" TargetMode="External"/><Relationship Id="rId1099" Type="http://schemas.openxmlformats.org/officeDocument/2006/relationships/hyperlink" Target="http://digitalarabia.ae" TargetMode="External"/><Relationship Id="rId146" Type="http://schemas.openxmlformats.org/officeDocument/2006/relationships/hyperlink" Target="https://thehovi.com/ai-marketing-agency-dubai" TargetMode="External"/><Relationship Id="rId145" Type="http://schemas.openxmlformats.org/officeDocument/2006/relationships/hyperlink" Target="http://prism-me.com" TargetMode="External"/><Relationship Id="rId144" Type="http://schemas.openxmlformats.org/officeDocument/2006/relationships/hyperlink" Target="https://www.prism-me.com/paid-media-agency" TargetMode="External"/><Relationship Id="rId139" Type="http://schemas.openxmlformats.org/officeDocument/2006/relationships/hyperlink" Target="https://www.goodfirms.co/directory/country/top-digital-marketing-companies/advertising-ppc/uae" TargetMode="External"/><Relationship Id="rId138" Type="http://schemas.openxmlformats.org/officeDocument/2006/relationships/hyperlink" Target="http://seocompare.co.uk" TargetMode="External"/><Relationship Id="rId137" Type="http://schemas.openxmlformats.org/officeDocument/2006/relationships/hyperlink" Target="https://seocompare.co.uk/ai-search-agencies-middle-east/" TargetMode="External"/><Relationship Id="rId1080" Type="http://schemas.openxmlformats.org/officeDocument/2006/relationships/hyperlink" Target="https://business.google.com/en-all/support/work-with-a-partner/" TargetMode="External"/><Relationship Id="rId1081" Type="http://schemas.openxmlformats.org/officeDocument/2006/relationships/hyperlink" Target="http://google.com" TargetMode="External"/><Relationship Id="rId1082" Type="http://schemas.openxmlformats.org/officeDocument/2006/relationships/hyperlink" Target="https://www.c3metrics.com/c3metrics-platform" TargetMode="External"/><Relationship Id="rId1083" Type="http://schemas.openxmlformats.org/officeDocument/2006/relationships/hyperlink" Target="http://c3metrics.com" TargetMode="External"/><Relationship Id="rId132" Type="http://schemas.openxmlformats.org/officeDocument/2006/relationships/hyperlink" Target="http://lengreo.com" TargetMode="External"/><Relationship Id="rId1084" Type="http://schemas.openxmlformats.org/officeDocument/2006/relationships/hyperlink" Target="https://campaignme.com/the-best-middle-east-creative-agencies-of-2024/" TargetMode="External"/><Relationship Id="rId131" Type="http://schemas.openxmlformats.org/officeDocument/2006/relationships/hyperlink" Target="https://lengreo.com/top-15-ai-search-optimization-agencies-for-uae-businesses-in-2025/" TargetMode="External"/><Relationship Id="rId1085" Type="http://schemas.openxmlformats.org/officeDocument/2006/relationships/hyperlink" Target="http://campaignme.com" TargetMode="External"/><Relationship Id="rId130" Type="http://schemas.openxmlformats.org/officeDocument/2006/relationships/hyperlink" Target="http://housesofgrowth.com" TargetMode="External"/><Relationship Id="rId1086" Type="http://schemas.openxmlformats.org/officeDocument/2006/relationships/hyperlink" Target="https://clutch.co/ae/agencies/digital" TargetMode="External"/><Relationship Id="rId1087" Type="http://schemas.openxmlformats.org/officeDocument/2006/relationships/hyperlink" Target="http://clutch.co" TargetMode="External"/><Relationship Id="rId136" Type="http://schemas.openxmlformats.org/officeDocument/2006/relationships/hyperlink" Target="http://semnexus.com" TargetMode="External"/><Relationship Id="rId1088" Type="http://schemas.openxmlformats.org/officeDocument/2006/relationships/hyperlink" Target="https://clutch.co/ae/agencies/market-research/dubai" TargetMode="External"/><Relationship Id="rId135" Type="http://schemas.openxmlformats.org/officeDocument/2006/relationships/hyperlink" Target="https://semnexus.com/best-aeo-agencies-dubai/" TargetMode="External"/><Relationship Id="rId1089" Type="http://schemas.openxmlformats.org/officeDocument/2006/relationships/hyperlink" Target="http://clutch.co" TargetMode="External"/><Relationship Id="rId134" Type="http://schemas.openxmlformats.org/officeDocument/2006/relationships/hyperlink" Target="http://lengreo.com" TargetMode="External"/><Relationship Id="rId133" Type="http://schemas.openxmlformats.org/officeDocument/2006/relationships/hyperlink" Target="https://lengreo.com/top-answer-engine-optimization-aeo-agencies-for-uae-businesses-in-2025/" TargetMode="External"/><Relationship Id="rId172" Type="http://schemas.openxmlformats.org/officeDocument/2006/relationships/hyperlink" Target="https://clutch.co/ae/agencies/creative" TargetMode="External"/><Relationship Id="rId171" Type="http://schemas.openxmlformats.org/officeDocument/2006/relationships/hyperlink" Target="http://pushgroup.ae" TargetMode="External"/><Relationship Id="rId170" Type="http://schemas.openxmlformats.org/officeDocument/2006/relationships/hyperlink" Target="https://www.pushgroup.ae/blog/top-9-social-media-agencies-in-dubai" TargetMode="External"/><Relationship Id="rId165" Type="http://schemas.openxmlformats.org/officeDocument/2006/relationships/hyperlink" Target="http://bird.ae" TargetMode="External"/><Relationship Id="rId164" Type="http://schemas.openxmlformats.org/officeDocument/2006/relationships/hyperlink" Target="https://bird.ae/ai/" TargetMode="External"/><Relationship Id="rId163" Type="http://schemas.openxmlformats.org/officeDocument/2006/relationships/hyperlink" Target="http://10seos.com" TargetMode="External"/><Relationship Id="rId162" Type="http://schemas.openxmlformats.org/officeDocument/2006/relationships/hyperlink" Target="https://www.10seos.com/ae/display-advertising-companies-in-dubai-uae" TargetMode="External"/><Relationship Id="rId169" Type="http://schemas.openxmlformats.org/officeDocument/2006/relationships/hyperlink" Target="http://globalmediainsight.com" TargetMode="External"/><Relationship Id="rId168" Type="http://schemas.openxmlformats.org/officeDocument/2006/relationships/hyperlink" Target="https://www.globalmediainsight.com/web-analytics-agency/" TargetMode="External"/><Relationship Id="rId167" Type="http://schemas.openxmlformats.org/officeDocument/2006/relationships/hyperlink" Target="http://chainreaction.ae" TargetMode="External"/><Relationship Id="rId166" Type="http://schemas.openxmlformats.org/officeDocument/2006/relationships/hyperlink" Target="https://www.chainreaction.ae/web-analytics/" TargetMode="External"/><Relationship Id="rId161" Type="http://schemas.openxmlformats.org/officeDocument/2006/relationships/hyperlink" Target="http://sortlist.com" TargetMode="External"/><Relationship Id="rId160" Type="http://schemas.openxmlformats.org/officeDocument/2006/relationships/hyperlink" Target="https://www.sortlist.com/s/display-advertising/abu-dhabi-ae" TargetMode="External"/><Relationship Id="rId159" Type="http://schemas.openxmlformats.org/officeDocument/2006/relationships/hyperlink" Target="http://edisonmoment.com" TargetMode="External"/><Relationship Id="rId154" Type="http://schemas.openxmlformats.org/officeDocument/2006/relationships/hyperlink" Target="https://www.digitalagencies.ae/topics/leading-google-ads-partner-agencies-in-dubai" TargetMode="External"/><Relationship Id="rId153" Type="http://schemas.openxmlformats.org/officeDocument/2006/relationships/hyperlink" Target="http://digitalagencies.ae" TargetMode="External"/><Relationship Id="rId152" Type="http://schemas.openxmlformats.org/officeDocument/2006/relationships/hyperlink" Target="https://www.digitalagencies.ae/topics/best-google-partner-agencies-in-dubai" TargetMode="External"/><Relationship Id="rId151" Type="http://schemas.openxmlformats.org/officeDocument/2006/relationships/hyperlink" Target="http://c2cmedia.ae" TargetMode="External"/><Relationship Id="rId158" Type="http://schemas.openxmlformats.org/officeDocument/2006/relationships/hyperlink" Target="https://edisonmoment.com/agency/best/performance-marketing-agency-uae" TargetMode="External"/><Relationship Id="rId157" Type="http://schemas.openxmlformats.org/officeDocument/2006/relationships/hyperlink" Target="http://digitalswot.ae" TargetMode="External"/><Relationship Id="rId156" Type="http://schemas.openxmlformats.org/officeDocument/2006/relationships/hyperlink" Target="https://digitalswot.ae/best-ai-marketing-agency-in-dubai/" TargetMode="External"/><Relationship Id="rId155" Type="http://schemas.openxmlformats.org/officeDocument/2006/relationships/hyperlink" Target="http://digitalagencies.ae" TargetMode="External"/><Relationship Id="rId1972" Type="http://schemas.openxmlformats.org/officeDocument/2006/relationships/hyperlink" Target="http://dynata.com" TargetMode="External"/><Relationship Id="rId1973" Type="http://schemas.openxmlformats.org/officeDocument/2006/relationships/hyperlink" Target="https://easydigital.tech/google-ads/" TargetMode="External"/><Relationship Id="rId2820" Type="http://schemas.openxmlformats.org/officeDocument/2006/relationships/hyperlink" Target="http://titandigitaluae.com" TargetMode="External"/><Relationship Id="rId1974" Type="http://schemas.openxmlformats.org/officeDocument/2006/relationships/hyperlink" Target="https://easyinsights.ai/blog/marketing-attribution-for-b2b-all-you-need-to-know/" TargetMode="External"/><Relationship Id="rId2821" Type="http://schemas.openxmlformats.org/officeDocument/2006/relationships/hyperlink" Target="https://tmh.ae/" TargetMode="External"/><Relationship Id="rId1975" Type="http://schemas.openxmlformats.org/officeDocument/2006/relationships/hyperlink" Target="http://easyinsights.ai" TargetMode="External"/><Relationship Id="rId2822" Type="http://schemas.openxmlformats.org/officeDocument/2006/relationships/hyperlink" Target="http://tmh.ae" TargetMode="External"/><Relationship Id="rId1976" Type="http://schemas.openxmlformats.org/officeDocument/2006/relationships/hyperlink" Target="https://ecimediamanagement.com/media-performance-consulting" TargetMode="External"/><Relationship Id="rId2823" Type="http://schemas.openxmlformats.org/officeDocument/2006/relationships/hyperlink" Target="https://www.tmmagency.com/en/media-neutral-planning/" TargetMode="External"/><Relationship Id="rId1977" Type="http://schemas.openxmlformats.org/officeDocument/2006/relationships/hyperlink" Target="http://ecimediamanagement.com" TargetMode="External"/><Relationship Id="rId2824" Type="http://schemas.openxmlformats.org/officeDocument/2006/relationships/hyperlink" Target="http://tmmagency.com" TargetMode="External"/><Relationship Id="rId1978" Type="http://schemas.openxmlformats.org/officeDocument/2006/relationships/hyperlink" Target="https://edge226.com/what-are-mobile-measurement-partners-why-you-need-one/" TargetMode="External"/><Relationship Id="rId2825" Type="http://schemas.openxmlformats.org/officeDocument/2006/relationships/hyperlink" Target="https://www.tofuhq.com/post/best-ai-agents-for-marketing" TargetMode="External"/><Relationship Id="rId1979" Type="http://schemas.openxmlformats.org/officeDocument/2006/relationships/hyperlink" Target="http://edge226.com" TargetMode="External"/><Relationship Id="rId2826" Type="http://schemas.openxmlformats.org/officeDocument/2006/relationships/hyperlink" Target="http://tofuhq.com" TargetMode="External"/><Relationship Id="rId2827" Type="http://schemas.openxmlformats.org/officeDocument/2006/relationships/hyperlink" Target="https://tonicinternational.com/services/media-services/measure-attribution-tagging-setup-agency-dubai/" TargetMode="External"/><Relationship Id="rId2828" Type="http://schemas.openxmlformats.org/officeDocument/2006/relationships/hyperlink" Target="http://tonicinternational.com" TargetMode="External"/><Relationship Id="rId2829" Type="http://schemas.openxmlformats.org/officeDocument/2006/relationships/hyperlink" Target="https://townin.com/Dubai/search/55404/performance-marketing-companies-in-dubai" TargetMode="External"/><Relationship Id="rId1970" Type="http://schemas.openxmlformats.org/officeDocument/2006/relationships/hyperlink" Target="http://dutest.com" TargetMode="External"/><Relationship Id="rId1971" Type="http://schemas.openxmlformats.org/officeDocument/2006/relationships/hyperlink" Target="https://www.dynata.com/" TargetMode="External"/><Relationship Id="rId1961" Type="http://schemas.openxmlformats.org/officeDocument/2006/relationships/hyperlink" Target="https://dmlanalytics.io/services/incrementality-testing.html" TargetMode="External"/><Relationship Id="rId1962" Type="http://schemas.openxmlformats.org/officeDocument/2006/relationships/hyperlink" Target="http://dmlanalytics.io" TargetMode="External"/><Relationship Id="rId1963" Type="http://schemas.openxmlformats.org/officeDocument/2006/relationships/hyperlink" Target="https://dotyeti.com/blog/15-best-digital-marketing-agencies-in-dubai" TargetMode="External"/><Relationship Id="rId2810" Type="http://schemas.openxmlformats.org/officeDocument/2006/relationships/hyperlink" Target="http://theverge.com" TargetMode="External"/><Relationship Id="rId1964" Type="http://schemas.openxmlformats.org/officeDocument/2006/relationships/hyperlink" Target="http://dotyeti.com" TargetMode="External"/><Relationship Id="rId2811" Type="http://schemas.openxmlformats.org/officeDocument/2006/relationships/hyperlink" Target="https://www.thinknectar.com/capabilities/retail-media/amazon-marketing-cloud-amc-incrementality-analysis" TargetMode="External"/><Relationship Id="rId1965" Type="http://schemas.openxmlformats.org/officeDocument/2006/relationships/hyperlink" Target="https://www.dpworld.com/en/about-us/our-locations/uae" TargetMode="External"/><Relationship Id="rId2812" Type="http://schemas.openxmlformats.org/officeDocument/2006/relationships/hyperlink" Target="http://thinknectar.com" TargetMode="External"/><Relationship Id="rId1966" Type="http://schemas.openxmlformats.org/officeDocument/2006/relationships/hyperlink" Target="http://dpworld.com" TargetMode="External"/><Relationship Id="rId2813" Type="http://schemas.openxmlformats.org/officeDocument/2006/relationships/hyperlink" Target="https://thinkwithalec.com/2025/03/02/best-marketing-platforms-for-tracking-first-party-data/" TargetMode="External"/><Relationship Id="rId1967" Type="http://schemas.openxmlformats.org/officeDocument/2006/relationships/hyperlink" Target="https://www.dubaiupdater.com/land-survey-companies-in-uae/" TargetMode="External"/><Relationship Id="rId2814" Type="http://schemas.openxmlformats.org/officeDocument/2006/relationships/hyperlink" Target="http://thinkwithalec.com" TargetMode="External"/><Relationship Id="rId1968" Type="http://schemas.openxmlformats.org/officeDocument/2006/relationships/hyperlink" Target="http://dubaiupdater.com" TargetMode="External"/><Relationship Id="rId2815" Type="http://schemas.openxmlformats.org/officeDocument/2006/relationships/hyperlink" Target="https://tidal.digital/contact-us/" TargetMode="External"/><Relationship Id="rId1969" Type="http://schemas.openxmlformats.org/officeDocument/2006/relationships/hyperlink" Target="https://www.dutest.com/services/lifting-equipment-inspection-third-party-inspection-uae/" TargetMode="External"/><Relationship Id="rId2816" Type="http://schemas.openxmlformats.org/officeDocument/2006/relationships/hyperlink" Target="https://tidal.digital/mastering-incrementality-in-performance-marketing-a-data-driven-approach-to-maximising-roi/" TargetMode="External"/><Relationship Id="rId2817" Type="http://schemas.openxmlformats.org/officeDocument/2006/relationships/hyperlink" Target="https://timezmarketing.com/performance-marketing-agency/" TargetMode="External"/><Relationship Id="rId2818" Type="http://schemas.openxmlformats.org/officeDocument/2006/relationships/hyperlink" Target="http://timezmarketing.com" TargetMode="External"/><Relationship Id="rId2819" Type="http://schemas.openxmlformats.org/officeDocument/2006/relationships/hyperlink" Target="https://titandigitaluae.com/" TargetMode="External"/><Relationship Id="rId1960" Type="http://schemas.openxmlformats.org/officeDocument/2006/relationships/hyperlink" Target="http://dixsept-paris.com" TargetMode="External"/><Relationship Id="rId1510" Type="http://schemas.openxmlformats.org/officeDocument/2006/relationships/hyperlink" Target="http://upvantage.ae" TargetMode="External"/><Relationship Id="rId1994" Type="http://schemas.openxmlformats.org/officeDocument/2006/relationships/hyperlink" Target="https://elioplus.com/middle-east/united-arab-emirates/channel-partners/gis" TargetMode="External"/><Relationship Id="rId2841" Type="http://schemas.openxmlformats.org/officeDocument/2006/relationships/hyperlink" Target="https://www.triplewhale.com/blog/marketing-attribution" TargetMode="External"/><Relationship Id="rId1511" Type="http://schemas.openxmlformats.org/officeDocument/2006/relationships/hyperlink" Target="https://versich.com/blog/7-leading-artificial-intelligence-firms-in-uae/" TargetMode="External"/><Relationship Id="rId1995" Type="http://schemas.openxmlformats.org/officeDocument/2006/relationships/hyperlink" Target="http://elioplus.com" TargetMode="External"/><Relationship Id="rId2842" Type="http://schemas.openxmlformats.org/officeDocument/2006/relationships/hyperlink" Target="http://triplewhale.com" TargetMode="External"/><Relationship Id="rId1512" Type="http://schemas.openxmlformats.org/officeDocument/2006/relationships/hyperlink" Target="http://versich.com" TargetMode="External"/><Relationship Id="rId1996" Type="http://schemas.openxmlformats.org/officeDocument/2006/relationships/hyperlink" Target="https://elshorafa.co/services/seo-geo" TargetMode="External"/><Relationship Id="rId2843" Type="http://schemas.openxmlformats.org/officeDocument/2006/relationships/hyperlink" Target="https://trivisionstudios.com/best-corporate-video-production-companies-in-2026-ranked/" TargetMode="External"/><Relationship Id="rId1513" Type="http://schemas.openxmlformats.org/officeDocument/2006/relationships/hyperlink" Target="https://www.vistabylara.com/blogs/ai-trends-for-business/are-you-actually-ready-for-ai-a-dubai-business-readiness-check" TargetMode="External"/><Relationship Id="rId1997" Type="http://schemas.openxmlformats.org/officeDocument/2006/relationships/hyperlink" Target="http://elshorafa.co" TargetMode="External"/><Relationship Id="rId2844" Type="http://schemas.openxmlformats.org/officeDocument/2006/relationships/hyperlink" Target="http://trivisionstudios.com" TargetMode="External"/><Relationship Id="rId1514" Type="http://schemas.openxmlformats.org/officeDocument/2006/relationships/hyperlink" Target="http://vistabylara.com" TargetMode="External"/><Relationship Id="rId1998" Type="http://schemas.openxmlformats.org/officeDocument/2006/relationships/hyperlink" Target="https://www.emarketer.com/content/faq-on-ai-media-buying--platform-tools--agency-strategy--how-win-2026" TargetMode="External"/><Relationship Id="rId2845" Type="http://schemas.openxmlformats.org/officeDocument/2006/relationships/hyperlink" Target="https://www.trkkn.com/" TargetMode="External"/><Relationship Id="rId1515" Type="http://schemas.openxmlformats.org/officeDocument/2006/relationships/hyperlink" Target="https://weareaudiences.com/" TargetMode="External"/><Relationship Id="rId1999" Type="http://schemas.openxmlformats.org/officeDocument/2006/relationships/hyperlink" Target="http://emarketer.com" TargetMode="External"/><Relationship Id="rId2846" Type="http://schemas.openxmlformats.org/officeDocument/2006/relationships/hyperlink" Target="http://trkkn.com" TargetMode="External"/><Relationship Id="rId1516" Type="http://schemas.openxmlformats.org/officeDocument/2006/relationships/hyperlink" Target="http://weareaudiences.com" TargetMode="External"/><Relationship Id="rId2847" Type="http://schemas.openxmlformats.org/officeDocument/2006/relationships/hyperlink" Target="https://www.truedata.co/first-party-data-strategy/" TargetMode="External"/><Relationship Id="rId1517" Type="http://schemas.openxmlformats.org/officeDocument/2006/relationships/hyperlink" Target="https://websenor.com/top-10-ai-agencies-in-dubai/" TargetMode="External"/><Relationship Id="rId2848" Type="http://schemas.openxmlformats.org/officeDocument/2006/relationships/hyperlink" Target="http://truedata.co" TargetMode="External"/><Relationship Id="rId1518" Type="http://schemas.openxmlformats.org/officeDocument/2006/relationships/hyperlink" Target="http://websenor.com" TargetMode="External"/><Relationship Id="rId2849" Type="http://schemas.openxmlformats.org/officeDocument/2006/relationships/hyperlink" Target="https://www.truelift.ai/" TargetMode="External"/><Relationship Id="rId1519" Type="http://schemas.openxmlformats.org/officeDocument/2006/relationships/hyperlink" Target="https://www.webtonic.io/blog/best-media-companies-dubai" TargetMode="External"/><Relationship Id="rId1990" Type="http://schemas.openxmlformats.org/officeDocument/2006/relationships/hyperlink" Target="https://www.element.com/locations/middle-east/dubai-investments-park-1" TargetMode="External"/><Relationship Id="rId1991" Type="http://schemas.openxmlformats.org/officeDocument/2006/relationships/hyperlink" Target="http://element.com" TargetMode="External"/><Relationship Id="rId1992" Type="http://schemas.openxmlformats.org/officeDocument/2006/relationships/hyperlink" Target="https://elementor.com/blog/best-seo-geo-agencies/" TargetMode="External"/><Relationship Id="rId1993" Type="http://schemas.openxmlformats.org/officeDocument/2006/relationships/hyperlink" Target="http://elementor.com" TargetMode="External"/><Relationship Id="rId2840" Type="http://schemas.openxmlformats.org/officeDocument/2006/relationships/hyperlink" Target="http://triplewhale.com" TargetMode="External"/><Relationship Id="rId1983" Type="http://schemas.openxmlformats.org/officeDocument/2006/relationships/hyperlink" Target="http://edisonmoment.com" TargetMode="External"/><Relationship Id="rId2830" Type="http://schemas.openxmlformats.org/officeDocument/2006/relationships/hyperlink" Target="http://townin.com" TargetMode="External"/><Relationship Id="rId1500" Type="http://schemas.openxmlformats.org/officeDocument/2006/relationships/hyperlink" Target="http://thinkcypher.com" TargetMode="External"/><Relationship Id="rId1984" Type="http://schemas.openxmlformats.org/officeDocument/2006/relationships/hyperlink" Target="https://eds.ae/" TargetMode="External"/><Relationship Id="rId2831" Type="http://schemas.openxmlformats.org/officeDocument/2006/relationships/hyperlink" Target="https://www.tradingview.com/news/reuters.com,2026-07-09:newsml_ZawbDQXJd:0-zawya-uae-startups-lead-the-region-s-adoption-of-generative-engine-optimization-as-ai-reshapes-business-discovery/" TargetMode="External"/><Relationship Id="rId1501" Type="http://schemas.openxmlformats.org/officeDocument/2006/relationships/hyperlink" Target="https://toimi.pro/blog/top-branding-agencies-in-mena-guide/" TargetMode="External"/><Relationship Id="rId1985" Type="http://schemas.openxmlformats.org/officeDocument/2006/relationships/hyperlink" Target="http://eds.ae" TargetMode="External"/><Relationship Id="rId2832" Type="http://schemas.openxmlformats.org/officeDocument/2006/relationships/hyperlink" Target="http://tradingview.com" TargetMode="External"/><Relationship Id="rId1502" Type="http://schemas.openxmlformats.org/officeDocument/2006/relationships/hyperlink" Target="http://toimi.pro" TargetMode="External"/><Relationship Id="rId1986" Type="http://schemas.openxmlformats.org/officeDocument/2006/relationships/hyperlink" Target="https://eds.ae/list-of-best-taxi-advertising-companies-in-dubai/" TargetMode="External"/><Relationship Id="rId2833" Type="http://schemas.openxmlformats.org/officeDocument/2006/relationships/hyperlink" Target="https://www.trinitybps.com/ai-consulting" TargetMode="External"/><Relationship Id="rId1503" Type="http://schemas.openxmlformats.org/officeDocument/2006/relationships/hyperlink" Target="https://transparent.partners/2023/03/15/unlock-revenue-with-incrementality-measurement-and-scale-testing/" TargetMode="External"/><Relationship Id="rId1987" Type="http://schemas.openxmlformats.org/officeDocument/2006/relationships/hyperlink" Target="http://eds.ae" TargetMode="External"/><Relationship Id="rId2834" Type="http://schemas.openxmlformats.org/officeDocument/2006/relationships/hyperlink" Target="http://trinitybps.com" TargetMode="External"/><Relationship Id="rId1504" Type="http://schemas.openxmlformats.org/officeDocument/2006/relationships/hyperlink" Target="https://u.ae/en/about-the-uae/digital-uae/data/geospatial-data-platforms" TargetMode="External"/><Relationship Id="rId1988" Type="http://schemas.openxmlformats.org/officeDocument/2006/relationships/hyperlink" Target="https://eiwaagroup.com/service/lifting-equipment-inspection-crane-load-test-uae/" TargetMode="External"/><Relationship Id="rId2835" Type="http://schemas.openxmlformats.org/officeDocument/2006/relationships/hyperlink" Target="https://www.triplewhale.com/blog/cross-channel-attribution" TargetMode="External"/><Relationship Id="rId1505" Type="http://schemas.openxmlformats.org/officeDocument/2006/relationships/hyperlink" Target="http://u.ae" TargetMode="External"/><Relationship Id="rId1989" Type="http://schemas.openxmlformats.org/officeDocument/2006/relationships/hyperlink" Target="http://eiwaagroup.com" TargetMode="External"/><Relationship Id="rId2836" Type="http://schemas.openxmlformats.org/officeDocument/2006/relationships/hyperlink" Target="http://triplewhale.com" TargetMode="External"/><Relationship Id="rId1506" Type="http://schemas.openxmlformats.org/officeDocument/2006/relationships/hyperlink" Target="https://uae.synapgrowth.agency/generative-ai-dubai/" TargetMode="External"/><Relationship Id="rId2837" Type="http://schemas.openxmlformats.org/officeDocument/2006/relationships/hyperlink" Target="https://www.triplewhale.com/blog/geolift-geo-based-incrementality-testing" TargetMode="External"/><Relationship Id="rId1507" Type="http://schemas.openxmlformats.org/officeDocument/2006/relationships/hyperlink" Target="https://upgrowth.in/geo-optimization-uae/" TargetMode="External"/><Relationship Id="rId2838" Type="http://schemas.openxmlformats.org/officeDocument/2006/relationships/hyperlink" Target="http://triplewhale.com" TargetMode="External"/><Relationship Id="rId1508" Type="http://schemas.openxmlformats.org/officeDocument/2006/relationships/hyperlink" Target="http://upgrowth.in" TargetMode="External"/><Relationship Id="rId2839" Type="http://schemas.openxmlformats.org/officeDocument/2006/relationships/hyperlink" Target="https://www.triplewhale.com/blog/incrementality-testing" TargetMode="External"/><Relationship Id="rId1509" Type="http://schemas.openxmlformats.org/officeDocument/2006/relationships/hyperlink" Target="https://www.upvantage.ae/about" TargetMode="External"/><Relationship Id="rId1980" Type="http://schemas.openxmlformats.org/officeDocument/2006/relationships/hyperlink" Target="https://edgeangel.co/en/marketing-activation/advanced-media-measurement" TargetMode="External"/><Relationship Id="rId1981" Type="http://schemas.openxmlformats.org/officeDocument/2006/relationships/hyperlink" Target="http://edgeangel.co" TargetMode="External"/><Relationship Id="rId1982" Type="http://schemas.openxmlformats.org/officeDocument/2006/relationships/hyperlink" Target="https://edisonmoment.com/agency/best/performance-marketing-agency-abu-dhabi" TargetMode="External"/><Relationship Id="rId1930" Type="http://schemas.openxmlformats.org/officeDocument/2006/relationships/hyperlink" Target="https://digitalfarm.ae/blogs/social-media/top-social-media-agencies-in-dubai/" TargetMode="External"/><Relationship Id="rId1931" Type="http://schemas.openxmlformats.org/officeDocument/2006/relationships/hyperlink" Target="http://digitalfarm.ae" TargetMode="External"/><Relationship Id="rId1932" Type="http://schemas.openxmlformats.org/officeDocument/2006/relationships/hyperlink" Target="https://digitalif.net/" TargetMode="External"/><Relationship Id="rId1933" Type="http://schemas.openxmlformats.org/officeDocument/2006/relationships/hyperlink" Target="http://digitalif.net" TargetMode="External"/><Relationship Id="rId1934" Type="http://schemas.openxmlformats.org/officeDocument/2006/relationships/hyperlink" Target="https://digitallinks.ae/generative-engine-optimization/" TargetMode="External"/><Relationship Id="rId1935" Type="http://schemas.openxmlformats.org/officeDocument/2006/relationships/hyperlink" Target="http://digitallinks.ae" TargetMode="External"/><Relationship Id="rId1936" Type="http://schemas.openxmlformats.org/officeDocument/2006/relationships/hyperlink" Target="https://digitalmediasapiens.com/best-digital-marketing-agency-in-dubai-for-roi-driven-growth/" TargetMode="External"/><Relationship Id="rId1937" Type="http://schemas.openxmlformats.org/officeDocument/2006/relationships/hyperlink" Target="http://digitalmediasapiens.com" TargetMode="External"/><Relationship Id="rId1938" Type="http://schemas.openxmlformats.org/officeDocument/2006/relationships/hyperlink" Target="https://digitalmediasapiens.com/marketing-consultant-services-dubai/" TargetMode="External"/><Relationship Id="rId1939" Type="http://schemas.openxmlformats.org/officeDocument/2006/relationships/hyperlink" Target="http://digitalmediasapiens.com" TargetMode="External"/><Relationship Id="rId1920" Type="http://schemas.openxmlformats.org/officeDocument/2006/relationships/hyperlink" Target="https://www.digital-qube.com/corporate-training" TargetMode="External"/><Relationship Id="rId1921" Type="http://schemas.openxmlformats.org/officeDocument/2006/relationships/hyperlink" Target="http://digital-qube.com" TargetMode="External"/><Relationship Id="rId1922" Type="http://schemas.openxmlformats.org/officeDocument/2006/relationships/hyperlink" Target="https://digitalagencynetwork.com/agencies/usa/ai-marketing/" TargetMode="External"/><Relationship Id="rId1923" Type="http://schemas.openxmlformats.org/officeDocument/2006/relationships/hyperlink" Target="http://digitalagencynetwork.com" TargetMode="External"/><Relationship Id="rId1924" Type="http://schemas.openxmlformats.org/officeDocument/2006/relationships/hyperlink" Target="https://www.digitalarabia.ae/display-advertising-company" TargetMode="External"/><Relationship Id="rId1925" Type="http://schemas.openxmlformats.org/officeDocument/2006/relationships/hyperlink" Target="http://digitalarabia.ae" TargetMode="External"/><Relationship Id="rId1926" Type="http://schemas.openxmlformats.org/officeDocument/2006/relationships/hyperlink" Target="https://www.digitalarabia.ae/top-digital-marketing-companies-dubai" TargetMode="External"/><Relationship Id="rId1927" Type="http://schemas.openxmlformats.org/officeDocument/2006/relationships/hyperlink" Target="http://digitalarabia.ae" TargetMode="External"/><Relationship Id="rId1928" Type="http://schemas.openxmlformats.org/officeDocument/2006/relationships/hyperlink" Target="https://digitalfarm.ae/blogs/seo/best-digital-marketing-agencies-in-abu-dhabi-2026-guide/" TargetMode="External"/><Relationship Id="rId1929" Type="http://schemas.openxmlformats.org/officeDocument/2006/relationships/hyperlink" Target="http://digitalfarm.ae" TargetMode="External"/><Relationship Id="rId1950" Type="http://schemas.openxmlformats.org/officeDocument/2006/relationships/hyperlink" Target="https://diib.com/featuredmembers/e-cens/" TargetMode="External"/><Relationship Id="rId1951" Type="http://schemas.openxmlformats.org/officeDocument/2006/relationships/hyperlink" Target="http://diib.com" TargetMode="External"/><Relationship Id="rId1952" Type="http://schemas.openxmlformats.org/officeDocument/2006/relationships/hyperlink" Target="https://directiveconsulting.com/blog/25-best-paid-media-agencies-that-turn-ad-spend-into-revenue/" TargetMode="External"/><Relationship Id="rId1953" Type="http://schemas.openxmlformats.org/officeDocument/2006/relationships/hyperlink" Target="http://directiveconsulting.com" TargetMode="External"/><Relationship Id="rId2800" Type="http://schemas.openxmlformats.org/officeDocument/2006/relationships/hyperlink" Target="http://thehovi.com" TargetMode="External"/><Relationship Id="rId1954" Type="http://schemas.openxmlformats.org/officeDocument/2006/relationships/hyperlink" Target="https://directory.esomar.org/results.php?conducted_id%5B%5D=190" TargetMode="External"/><Relationship Id="rId2801" Type="http://schemas.openxmlformats.org/officeDocument/2006/relationships/hyperlink" Target="https://www.thekeenfolks.com/" TargetMode="External"/><Relationship Id="rId1955" Type="http://schemas.openxmlformats.org/officeDocument/2006/relationships/hyperlink" Target="http://esomar.org" TargetMode="External"/><Relationship Id="rId2802" Type="http://schemas.openxmlformats.org/officeDocument/2006/relationships/hyperlink" Target="http://thekeenfolks.com" TargetMode="External"/><Relationship Id="rId1956" Type="http://schemas.openxmlformats.org/officeDocument/2006/relationships/hyperlink" Target="https://disruptiveadvertising.com/blog/business/top-us-digital-marketing-agencies/" TargetMode="External"/><Relationship Id="rId2803" Type="http://schemas.openxmlformats.org/officeDocument/2006/relationships/hyperlink" Target="https://themedialinks.com/services/social-media-marketing-services/" TargetMode="External"/><Relationship Id="rId1957" Type="http://schemas.openxmlformats.org/officeDocument/2006/relationships/hyperlink" Target="http://disruptiveadvertising.com" TargetMode="External"/><Relationship Id="rId2804" Type="http://schemas.openxmlformats.org/officeDocument/2006/relationships/hyperlink" Target="http://themedialinks.com" TargetMode="External"/><Relationship Id="rId1958" Type="http://schemas.openxmlformats.org/officeDocument/2006/relationships/hyperlink" Target="https://disruptivedigital.agency/what-is-geolift/" TargetMode="External"/><Relationship Id="rId2805" Type="http://schemas.openxmlformats.org/officeDocument/2006/relationships/hyperlink" Target="https://thethinksters.com/dubai-consulting-market-2025/" TargetMode="External"/><Relationship Id="rId1959" Type="http://schemas.openxmlformats.org/officeDocument/2006/relationships/hyperlink" Target="https://dixsept-paris.com/en/best-5-luxury-and-creative-agencies-in-dubai-in-2026/" TargetMode="External"/><Relationship Id="rId2806" Type="http://schemas.openxmlformats.org/officeDocument/2006/relationships/hyperlink" Target="http://thethinksters.com" TargetMode="External"/><Relationship Id="rId2807" Type="http://schemas.openxmlformats.org/officeDocument/2006/relationships/hyperlink" Target="https://www.theverge.com/podcast/959792/digitas-ceo-amy-lanzi-cannes-ad-industry-marketing-ai-creators" TargetMode="External"/><Relationship Id="rId2808" Type="http://schemas.openxmlformats.org/officeDocument/2006/relationships/hyperlink" Target="http://theverge.com" TargetMode="External"/><Relationship Id="rId2809" Type="http://schemas.openxmlformats.org/officeDocument/2006/relationships/hyperlink" Target="https://www.theverge.com/tech/900302/ai-seo-industry-google-search-chatgpt-gemini-marketing" TargetMode="External"/><Relationship Id="rId1940" Type="http://schemas.openxmlformats.org/officeDocument/2006/relationships/hyperlink" Target="https://www.digitalnexa.com/" TargetMode="External"/><Relationship Id="rId1941" Type="http://schemas.openxmlformats.org/officeDocument/2006/relationships/hyperlink" Target="http://digitalnexa.com" TargetMode="External"/><Relationship Id="rId1942" Type="http://schemas.openxmlformats.org/officeDocument/2006/relationships/hyperlink" Target="https://www.digitalnexa.com/google-pay-per-click-advertising-services/adwords-agency-dubai" TargetMode="External"/><Relationship Id="rId1943" Type="http://schemas.openxmlformats.org/officeDocument/2006/relationships/hyperlink" Target="http://digitalnexa.com" TargetMode="External"/><Relationship Id="rId1944" Type="http://schemas.openxmlformats.org/officeDocument/2006/relationships/hyperlink" Target="https://digitalorks.com/" TargetMode="External"/><Relationship Id="rId1945" Type="http://schemas.openxmlformats.org/officeDocument/2006/relationships/hyperlink" Target="http://digitalorks.com" TargetMode="External"/><Relationship Id="rId1946" Type="http://schemas.openxmlformats.org/officeDocument/2006/relationships/hyperlink" Target="https://digitalspacedive.com/" TargetMode="External"/><Relationship Id="rId1947" Type="http://schemas.openxmlformats.org/officeDocument/2006/relationships/hyperlink" Target="http://digitalspacedive.com" TargetMode="External"/><Relationship Id="rId1948" Type="http://schemas.openxmlformats.org/officeDocument/2006/relationships/hyperlink" Target="https://www.digitalvidya.com/blog/digital-marketing-agencies-dubai/" TargetMode="External"/><Relationship Id="rId1949" Type="http://schemas.openxmlformats.org/officeDocument/2006/relationships/hyperlink" Target="http://digitalvidya.com" TargetMode="External"/><Relationship Id="rId1576" Type="http://schemas.openxmlformats.org/officeDocument/2006/relationships/hyperlink" Target="https://www.adrsta.ai/index.html" TargetMode="External"/><Relationship Id="rId2423" Type="http://schemas.openxmlformats.org/officeDocument/2006/relationships/hyperlink" Target="http://realestate.com.au" TargetMode="External"/><Relationship Id="rId1577" Type="http://schemas.openxmlformats.org/officeDocument/2006/relationships/hyperlink" Target="http://adrsta.ai" TargetMode="External"/><Relationship Id="rId2424" Type="http://schemas.openxmlformats.org/officeDocument/2006/relationships/hyperlink" Target="https://www.mediaslide.com/niche-mode/" TargetMode="External"/><Relationship Id="rId1578" Type="http://schemas.openxmlformats.org/officeDocument/2006/relationships/hyperlink" Target="https://ads.google.com/intl/us/home/partners/work-with-a-partner/" TargetMode="External"/><Relationship Id="rId2425" Type="http://schemas.openxmlformats.org/officeDocument/2006/relationships/hyperlink" Target="http://mediaslide.com" TargetMode="External"/><Relationship Id="rId1579" Type="http://schemas.openxmlformats.org/officeDocument/2006/relationships/hyperlink" Target="http://google.com" TargetMode="External"/><Relationship Id="rId2426" Type="http://schemas.openxmlformats.org/officeDocument/2006/relationships/hyperlink" Target="https://metasocial.ae/the-90-day-ai-marketing-audit-what-every-uae-brand-should-check-before-spending-another-dirham/" TargetMode="External"/><Relationship Id="rId2427" Type="http://schemas.openxmlformats.org/officeDocument/2006/relationships/hyperlink" Target="http://metasocial.ae" TargetMode="External"/><Relationship Id="rId2428" Type="http://schemas.openxmlformats.org/officeDocument/2006/relationships/hyperlink" Target="https://metslab.com" TargetMode="External"/><Relationship Id="rId2429" Type="http://schemas.openxmlformats.org/officeDocument/2006/relationships/hyperlink" Target="http://metslab.com" TargetMode="External"/><Relationship Id="rId509" Type="http://schemas.openxmlformats.org/officeDocument/2006/relationships/hyperlink" Target="http://boostmylocalbusiness.ai" TargetMode="External"/><Relationship Id="rId508" Type="http://schemas.openxmlformats.org/officeDocument/2006/relationships/hyperlink" Target="https://boostmylocalbusiness.ai/ai-advisory-marketing" TargetMode="External"/><Relationship Id="rId503" Type="http://schemas.openxmlformats.org/officeDocument/2006/relationships/hyperlink" Target="http://anirup.com" TargetMode="External"/><Relationship Id="rId987" Type="http://schemas.openxmlformats.org/officeDocument/2006/relationships/hyperlink" Target="https://lps-me.com/blog/how-do-dubai-digital-marketing-agencies-help-their-clients" TargetMode="External"/><Relationship Id="rId502" Type="http://schemas.openxmlformats.org/officeDocument/2006/relationships/hyperlink" Target="https://anirup.com/top-10-google-ads-companies-in-uae/" TargetMode="External"/><Relationship Id="rId986" Type="http://schemas.openxmlformats.org/officeDocument/2006/relationships/hyperlink" Target="http://lifesight.io" TargetMode="External"/><Relationship Id="rId501" Type="http://schemas.openxmlformats.org/officeDocument/2006/relationships/hyperlink" Target="http://aifirstpartners.com" TargetMode="External"/><Relationship Id="rId985" Type="http://schemas.openxmlformats.org/officeDocument/2006/relationships/hyperlink" Target="https://lifesight.io/" TargetMode="External"/><Relationship Id="rId500" Type="http://schemas.openxmlformats.org/officeDocument/2006/relationships/hyperlink" Target="https://aifirstpartners.com/en" TargetMode="External"/><Relationship Id="rId984" Type="http://schemas.openxmlformats.org/officeDocument/2006/relationships/hyperlink" Target="http://lenabara.com" TargetMode="External"/><Relationship Id="rId507" Type="http://schemas.openxmlformats.org/officeDocument/2006/relationships/hyperlink" Target="http://bicommunications.ae" TargetMode="External"/><Relationship Id="rId506" Type="http://schemas.openxmlformats.org/officeDocument/2006/relationships/hyperlink" Target="https://www.bicommunications.ae/blog/best-seo-companies-uae/" TargetMode="External"/><Relationship Id="rId505" Type="http://schemas.openxmlformats.org/officeDocument/2006/relationships/hyperlink" Target="http://bicommunications.ae" TargetMode="External"/><Relationship Id="rId989" Type="http://schemas.openxmlformats.org/officeDocument/2006/relationships/hyperlink" Target="https://marketingagencyabudhabi.com/growth-marketing-agencies/abu-dhabi" TargetMode="External"/><Relationship Id="rId504" Type="http://schemas.openxmlformats.org/officeDocument/2006/relationships/hyperlink" Target="https://www.bicommunications.ae/blog/best-digital-marketing-agencies-dubai/" TargetMode="External"/><Relationship Id="rId988" Type="http://schemas.openxmlformats.org/officeDocument/2006/relationships/hyperlink" Target="http://lps-me.com" TargetMode="External"/><Relationship Id="rId1570" Type="http://schemas.openxmlformats.org/officeDocument/2006/relationships/hyperlink" Target="http://adjust.com" TargetMode="External"/><Relationship Id="rId1571" Type="http://schemas.openxmlformats.org/officeDocument/2006/relationships/hyperlink" Target="https://admiral.media/performance-marketing-agency/" TargetMode="External"/><Relationship Id="rId983" Type="http://schemas.openxmlformats.org/officeDocument/2006/relationships/hyperlink" Target="https://www.lenabara.com/" TargetMode="External"/><Relationship Id="rId1572" Type="http://schemas.openxmlformats.org/officeDocument/2006/relationships/hyperlink" Target="https://admoon.pro/" TargetMode="External"/><Relationship Id="rId982" Type="http://schemas.openxmlformats.org/officeDocument/2006/relationships/hyperlink" Target="http://lbbonline.com" TargetMode="External"/><Relationship Id="rId1573" Type="http://schemas.openxmlformats.org/officeDocument/2006/relationships/hyperlink" Target="http://admoon.pro" TargetMode="External"/><Relationship Id="rId2420" Type="http://schemas.openxmlformats.org/officeDocument/2006/relationships/hyperlink" Target="https://www.measured.com/triangulated-measurement/" TargetMode="External"/><Relationship Id="rId981" Type="http://schemas.openxmlformats.org/officeDocument/2006/relationships/hyperlink" Target="https://lbbonline.com/news/impact-bbdo-vml-and-cheil-top-uae-rankings-on-league-table-of-creativity-2024" TargetMode="External"/><Relationship Id="rId1574" Type="http://schemas.openxmlformats.org/officeDocument/2006/relationships/hyperlink" Target="https://adrsta.ai/" TargetMode="External"/><Relationship Id="rId2421" Type="http://schemas.openxmlformats.org/officeDocument/2006/relationships/hyperlink" Target="http://measured.com" TargetMode="External"/><Relationship Id="rId980" Type="http://schemas.openxmlformats.org/officeDocument/2006/relationships/hyperlink" Target="http://hypebox.me" TargetMode="External"/><Relationship Id="rId1575" Type="http://schemas.openxmlformats.org/officeDocument/2006/relationships/hyperlink" Target="http://adrsta.ai" TargetMode="External"/><Relationship Id="rId2422" Type="http://schemas.openxmlformats.org/officeDocument/2006/relationships/hyperlink" Target="https://media.realestate.com.au/ad-specs/ad-unit/lead-tracking/" TargetMode="External"/><Relationship Id="rId1565" Type="http://schemas.openxmlformats.org/officeDocument/2006/relationships/hyperlink" Target="https://adfixagency.com/sharjah-seo/conversion-optimization/ab-testing-services" TargetMode="External"/><Relationship Id="rId2412" Type="http://schemas.openxmlformats.org/officeDocument/2006/relationships/hyperlink" Target="https://www.measured.com/enterprise/" TargetMode="External"/><Relationship Id="rId2896" Type="http://schemas.openxmlformats.org/officeDocument/2006/relationships/hyperlink" Target="https://websenor.com/top-10-performance-marketing-experts-companies-in-dubai/" TargetMode="External"/><Relationship Id="rId1566" Type="http://schemas.openxmlformats.org/officeDocument/2006/relationships/hyperlink" Target="http://adfixagency.com" TargetMode="External"/><Relationship Id="rId2413" Type="http://schemas.openxmlformats.org/officeDocument/2006/relationships/hyperlink" Target="http://measured.com" TargetMode="External"/><Relationship Id="rId2897" Type="http://schemas.openxmlformats.org/officeDocument/2006/relationships/hyperlink" Target="http://websenor.com" TargetMode="External"/><Relationship Id="rId1567" Type="http://schemas.openxmlformats.org/officeDocument/2006/relationships/hyperlink" Target="https://adigitalboom.com/glossary/attribution/" TargetMode="External"/><Relationship Id="rId2414" Type="http://schemas.openxmlformats.org/officeDocument/2006/relationships/hyperlink" Target="https://www.measured.com/faq/what-are-the-pros-and-cons-of-incrementality-testing-versus-mmm-or-mta/" TargetMode="External"/><Relationship Id="rId2898" Type="http://schemas.openxmlformats.org/officeDocument/2006/relationships/hyperlink" Target="https://webspottechnologies.com/blog/how-a-digital-marketing-agency-boosts-roi/" TargetMode="External"/><Relationship Id="rId1568" Type="http://schemas.openxmlformats.org/officeDocument/2006/relationships/hyperlink" Target="http://adigitalboom.com" TargetMode="External"/><Relationship Id="rId2415" Type="http://schemas.openxmlformats.org/officeDocument/2006/relationships/hyperlink" Target="http://measured.com" TargetMode="External"/><Relationship Id="rId2899" Type="http://schemas.openxmlformats.org/officeDocument/2006/relationships/hyperlink" Target="http://webspottechnologies.com" TargetMode="External"/><Relationship Id="rId1569" Type="http://schemas.openxmlformats.org/officeDocument/2006/relationships/hyperlink" Target="https://www.adjust.com/partners/solutions/convz" TargetMode="External"/><Relationship Id="rId2416" Type="http://schemas.openxmlformats.org/officeDocument/2006/relationships/hyperlink" Target="https://www.measured.com/faq/what-is-incrementality-in-marketing/" TargetMode="External"/><Relationship Id="rId2417" Type="http://schemas.openxmlformats.org/officeDocument/2006/relationships/hyperlink" Target="http://measured.com" TargetMode="External"/><Relationship Id="rId2418" Type="http://schemas.openxmlformats.org/officeDocument/2006/relationships/hyperlink" Target="https://www.measured.com/press/measured-establishes-measured-certified-partners-program-names-first-agency-partners/" TargetMode="External"/><Relationship Id="rId2419" Type="http://schemas.openxmlformats.org/officeDocument/2006/relationships/hyperlink" Target="http://measured.com" TargetMode="External"/><Relationship Id="rId976" Type="http://schemas.openxmlformats.org/officeDocument/2006/relationships/hyperlink" Target="https://holm.com/en/uae-ai-advisory" TargetMode="External"/><Relationship Id="rId975" Type="http://schemas.openxmlformats.org/officeDocument/2006/relationships/hyperlink" Target="http://hikemytraffic.com" TargetMode="External"/><Relationship Id="rId974" Type="http://schemas.openxmlformats.org/officeDocument/2006/relationships/hyperlink" Target="https://hikemytraffic.com/ai-digital-marketing-agencies-in-uae/" TargetMode="External"/><Relationship Id="rId973" Type="http://schemas.openxmlformats.org/officeDocument/2006/relationships/hyperlink" Target="http://gulfupdates24.com" TargetMode="External"/><Relationship Id="rId979" Type="http://schemas.openxmlformats.org/officeDocument/2006/relationships/hyperlink" Target="https://hypebox.me/blog/articles/top-uae-digital-marketing-agencies-10-expert-picks" TargetMode="External"/><Relationship Id="rId978" Type="http://schemas.openxmlformats.org/officeDocument/2006/relationships/hyperlink" Target="https://hop.rocks/services/marketing-attribution/" TargetMode="External"/><Relationship Id="rId977" Type="http://schemas.openxmlformats.org/officeDocument/2006/relationships/hyperlink" Target="http://holm.com" TargetMode="External"/><Relationship Id="rId2890" Type="http://schemas.openxmlformats.org/officeDocument/2006/relationships/hyperlink" Target="https://www.wearetenet.com/growth/conversion-rate-optimization-services" TargetMode="External"/><Relationship Id="rId1560" Type="http://schemas.openxmlformats.org/officeDocument/2006/relationships/hyperlink" Target="http://adaptsmedia.com" TargetMode="External"/><Relationship Id="rId2891" Type="http://schemas.openxmlformats.org/officeDocument/2006/relationships/hyperlink" Target="http://wearetenet.com" TargetMode="External"/><Relationship Id="rId972" Type="http://schemas.openxmlformats.org/officeDocument/2006/relationships/hyperlink" Target="https://gulfupdates24.com/top-ppc-agencies-in-uae-the-complete-2026-guide/" TargetMode="External"/><Relationship Id="rId1561" Type="http://schemas.openxmlformats.org/officeDocument/2006/relationships/hyperlink" Target="https://www.adconversion.com/blog/b2b-abm-agencies" TargetMode="External"/><Relationship Id="rId2892" Type="http://schemas.openxmlformats.org/officeDocument/2006/relationships/hyperlink" Target="https://webcastle.ae/blog/top-5-web-design-companies-in-dubai-2025/" TargetMode="External"/><Relationship Id="rId971" Type="http://schemas.openxmlformats.org/officeDocument/2006/relationships/hyperlink" Target="http://google.com" TargetMode="External"/><Relationship Id="rId1562" Type="http://schemas.openxmlformats.org/officeDocument/2006/relationships/hyperlink" Target="http://adconversion.com" TargetMode="External"/><Relationship Id="rId2893" Type="http://schemas.openxmlformats.org/officeDocument/2006/relationships/hyperlink" Target="http://webcastle.ae" TargetMode="External"/><Relationship Id="rId970" Type="http://schemas.openxmlformats.org/officeDocument/2006/relationships/hyperlink" Target="https://www.google.com/intl/en_GB/ads/publisher/partners/work-with-a-partner/" TargetMode="External"/><Relationship Id="rId1563" Type="http://schemas.openxmlformats.org/officeDocument/2006/relationships/hyperlink" Target="https://www.adcustoms.gov.ae/Programs-and-Projects/UAE-Authorized-Economic-Operator/AEO-Certified-Companies" TargetMode="External"/><Relationship Id="rId2410" Type="http://schemas.openxmlformats.org/officeDocument/2006/relationships/hyperlink" Target="https://www.measured.com/blog/%F0%9F%9A%80-unleashing-the-power-of-incrementality-the-all-new-measured-platform/" TargetMode="External"/><Relationship Id="rId2894" Type="http://schemas.openxmlformats.org/officeDocument/2006/relationships/hyperlink" Target="https://webcastle.ae/services/aws-cloud-consulting-dubai/" TargetMode="External"/><Relationship Id="rId1564" Type="http://schemas.openxmlformats.org/officeDocument/2006/relationships/hyperlink" Target="http://adcustoms.gov.ae" TargetMode="External"/><Relationship Id="rId2411" Type="http://schemas.openxmlformats.org/officeDocument/2006/relationships/hyperlink" Target="http://measured.com" TargetMode="External"/><Relationship Id="rId2895" Type="http://schemas.openxmlformats.org/officeDocument/2006/relationships/hyperlink" Target="http://webcastle.ae" TargetMode="External"/><Relationship Id="rId1114" Type="http://schemas.openxmlformats.org/officeDocument/2006/relationships/hyperlink" Target="http://getprolinks.com" TargetMode="External"/><Relationship Id="rId1598" Type="http://schemas.openxmlformats.org/officeDocument/2006/relationships/hyperlink" Target="https://ae.linkedin.com/in/raya-succar-667b23173" TargetMode="External"/><Relationship Id="rId2445" Type="http://schemas.openxmlformats.org/officeDocument/2006/relationships/hyperlink" Target="http://mma.com" TargetMode="External"/><Relationship Id="rId1115" Type="http://schemas.openxmlformats.org/officeDocument/2006/relationships/hyperlink" Target="https://www.globalmediainsight.com/attribution-modeling/" TargetMode="External"/><Relationship Id="rId1599" Type="http://schemas.openxmlformats.org/officeDocument/2006/relationships/hyperlink" Target="http://linkedin.com" TargetMode="External"/><Relationship Id="rId2446" Type="http://schemas.openxmlformats.org/officeDocument/2006/relationships/hyperlink" Target="https://www.mooglelabs.com/ai-consulting-services-company" TargetMode="External"/><Relationship Id="rId1116" Type="http://schemas.openxmlformats.org/officeDocument/2006/relationships/hyperlink" Target="http://globalmediainsight.com" TargetMode="External"/><Relationship Id="rId2447" Type="http://schemas.openxmlformats.org/officeDocument/2006/relationships/hyperlink" Target="http://mooglelabs.com" TargetMode="External"/><Relationship Id="rId1117" Type="http://schemas.openxmlformats.org/officeDocument/2006/relationships/hyperlink" Target="https://www.goodfirms.co/directory/country/top-digital-marketing-companies/ae?sort_by=matrix" TargetMode="External"/><Relationship Id="rId2448" Type="http://schemas.openxmlformats.org/officeDocument/2006/relationships/hyperlink" Target="https://www.morismedia.in/abu-dhabis-top-analytics-and-data-agency-in-abu-dhabi-sharjah-united-arab-emirates" TargetMode="External"/><Relationship Id="rId1118" Type="http://schemas.openxmlformats.org/officeDocument/2006/relationships/hyperlink" Target="http://goodfirms.co" TargetMode="External"/><Relationship Id="rId2449" Type="http://schemas.openxmlformats.org/officeDocument/2006/relationships/hyperlink" Target="http://morismedia.in" TargetMode="External"/><Relationship Id="rId1119" Type="http://schemas.openxmlformats.org/officeDocument/2006/relationships/hyperlink" Target="https://www.goodfirms.co/directory/country/top-digital-marketing-companies/ae?sort_by=reviews" TargetMode="External"/><Relationship Id="rId525" Type="http://schemas.openxmlformats.org/officeDocument/2006/relationships/hyperlink" Target="https://www.loudface.co/blog/best-aeo-agencies-2026" TargetMode="External"/><Relationship Id="rId524" Type="http://schemas.openxmlformats.org/officeDocument/2006/relationships/hyperlink" Target="http://lapaone.com" TargetMode="External"/><Relationship Id="rId523" Type="http://schemas.openxmlformats.org/officeDocument/2006/relationships/hyperlink" Target="https://www.lapaone.com/social-media-marketing-agencies-in-dubai/" TargetMode="External"/><Relationship Id="rId522" Type="http://schemas.openxmlformats.org/officeDocument/2006/relationships/hyperlink" Target="http://incrementors.com" TargetMode="External"/><Relationship Id="rId529" Type="http://schemas.openxmlformats.org/officeDocument/2006/relationships/hyperlink" Target="https://www.nuundigital.com/insights/strategy/best-digital-agencies-dubai" TargetMode="External"/><Relationship Id="rId528" Type="http://schemas.openxmlformats.org/officeDocument/2006/relationships/hyperlink" Target="http://mediaupshift.com" TargetMode="External"/><Relationship Id="rId527" Type="http://schemas.openxmlformats.org/officeDocument/2006/relationships/hyperlink" Target="https://mediaupshift.com/ppc-service" TargetMode="External"/><Relationship Id="rId526" Type="http://schemas.openxmlformats.org/officeDocument/2006/relationships/hyperlink" Target="http://loudface.co" TargetMode="External"/><Relationship Id="rId1590" Type="http://schemas.openxmlformats.org/officeDocument/2006/relationships/hyperlink" Target="https://ae.indeed.com/q-ai-strategy-consultant-l-dubai-jobs.html" TargetMode="External"/><Relationship Id="rId1591" Type="http://schemas.openxmlformats.org/officeDocument/2006/relationships/hyperlink" Target="http://indeed.com" TargetMode="External"/><Relationship Id="rId1592" Type="http://schemas.openxmlformats.org/officeDocument/2006/relationships/hyperlink" Target="https://ae.indeed.com/q-media-measurement-l-dubai-jobs.html" TargetMode="External"/><Relationship Id="rId1593" Type="http://schemas.openxmlformats.org/officeDocument/2006/relationships/hyperlink" Target="http://indeed.com" TargetMode="External"/><Relationship Id="rId2440" Type="http://schemas.openxmlformats.org/officeDocument/2006/relationships/hyperlink" Target="https://www.mintcopywritingstudios.com/blog/ai-search-optimization-geo-agencies" TargetMode="External"/><Relationship Id="rId521" Type="http://schemas.openxmlformats.org/officeDocument/2006/relationships/hyperlink" Target="https://www.incrementors.com/best-internet-marketing-agency-in-sharjah-uae/" TargetMode="External"/><Relationship Id="rId1110" Type="http://schemas.openxmlformats.org/officeDocument/2006/relationships/hyperlink" Target="http://flypix.ai" TargetMode="External"/><Relationship Id="rId1594" Type="http://schemas.openxmlformats.org/officeDocument/2006/relationships/hyperlink" Target="https://ae.jooble.org/jdp/9164769935601073808" TargetMode="External"/><Relationship Id="rId2441" Type="http://schemas.openxmlformats.org/officeDocument/2006/relationships/hyperlink" Target="http://mintcopywritingstudios.com" TargetMode="External"/><Relationship Id="rId520" Type="http://schemas.openxmlformats.org/officeDocument/2006/relationships/hyperlink" Target="https://inbeat.agency/blog/top-digital-marketing-agencies-dubai" TargetMode="External"/><Relationship Id="rId1111" Type="http://schemas.openxmlformats.org/officeDocument/2006/relationships/hyperlink" Target="https://gcctechgroup.com/ai-seo-service-in-dubai/" TargetMode="External"/><Relationship Id="rId1595" Type="http://schemas.openxmlformats.org/officeDocument/2006/relationships/hyperlink" Target="http://jooble.org" TargetMode="External"/><Relationship Id="rId2442" Type="http://schemas.openxmlformats.org/officeDocument/2006/relationships/hyperlink" Target="https://missionmedia.asia/forrester-wave-2026-mmm-vendor-benchmarks-analytic-partners/" TargetMode="External"/><Relationship Id="rId1112" Type="http://schemas.openxmlformats.org/officeDocument/2006/relationships/hyperlink" Target="http://gcctechgroup.com" TargetMode="External"/><Relationship Id="rId1596" Type="http://schemas.openxmlformats.org/officeDocument/2006/relationships/hyperlink" Target="https://ae.linkedin.com/in/hossameldin-kamel" TargetMode="External"/><Relationship Id="rId2443" Type="http://schemas.openxmlformats.org/officeDocument/2006/relationships/hyperlink" Target="http://missionmedia.asia" TargetMode="External"/><Relationship Id="rId1113" Type="http://schemas.openxmlformats.org/officeDocument/2006/relationships/hyperlink" Target="https://getprolinks.com/best-ai-driven-marketing-agency-in-dubai/" TargetMode="External"/><Relationship Id="rId1597" Type="http://schemas.openxmlformats.org/officeDocument/2006/relationships/hyperlink" Target="http://linkedin.com" TargetMode="External"/><Relationship Id="rId2444" Type="http://schemas.openxmlformats.org/officeDocument/2006/relationships/hyperlink" Target="https://mma.com/solutions/lp-transform-your-marketing-measurement/" TargetMode="External"/><Relationship Id="rId1103" Type="http://schemas.openxmlformats.org/officeDocument/2006/relationships/hyperlink" Target="http://digixvalley.com" TargetMode="External"/><Relationship Id="rId1587" Type="http://schemas.openxmlformats.org/officeDocument/2006/relationships/hyperlink" Target="http://adtrak.co.uk" TargetMode="External"/><Relationship Id="rId2434" Type="http://schemas.openxmlformats.org/officeDocument/2006/relationships/hyperlink" Target="https://www.microsoft.com/en-us/worklab/work-trend-index/agents-human-agency-and-the-opportunity-for-every-organization" TargetMode="External"/><Relationship Id="rId1104" Type="http://schemas.openxmlformats.org/officeDocument/2006/relationships/hyperlink" Target="https://enterprisemarketingportal.google/work-with-partners" TargetMode="External"/><Relationship Id="rId1588" Type="http://schemas.openxmlformats.org/officeDocument/2006/relationships/hyperlink" Target="https://advise-mc.com/en/" TargetMode="External"/><Relationship Id="rId2435" Type="http://schemas.openxmlformats.org/officeDocument/2006/relationships/hyperlink" Target="http://microsoft.com" TargetMode="External"/><Relationship Id="rId1105" Type="http://schemas.openxmlformats.org/officeDocument/2006/relationships/hyperlink" Target="https://eventseeker.com/dubai/Sep-22-2026/554949397-digimarcon-middle-east-2026-digital-marketing-media-and-advertising-conference-exhibition" TargetMode="External"/><Relationship Id="rId1589" Type="http://schemas.openxmlformats.org/officeDocument/2006/relationships/hyperlink" Target="http://advise-mc.com" TargetMode="External"/><Relationship Id="rId2436" Type="http://schemas.openxmlformats.org/officeDocument/2006/relationships/hyperlink" Target="https://www.mightywarner.ae/social-media-marketing-dubai" TargetMode="External"/><Relationship Id="rId1106" Type="http://schemas.openxmlformats.org/officeDocument/2006/relationships/hyperlink" Target="http://eventseeker.com" TargetMode="External"/><Relationship Id="rId2437" Type="http://schemas.openxmlformats.org/officeDocument/2006/relationships/hyperlink" Target="http://mightywarner.ae" TargetMode="External"/><Relationship Id="rId1107" Type="http://schemas.openxmlformats.org/officeDocument/2006/relationships/hyperlink" Target="https://firstpagesage.com/seo-blog/the-top-answer-engine-optimization-aeo-companies/" TargetMode="External"/><Relationship Id="rId2438" Type="http://schemas.openxmlformats.org/officeDocument/2006/relationships/hyperlink" Target="https://www.migrateworld.com/en/blog/post/uae-golden-visa-for-content-creators-influencers-writers-podcasters-video-producers-how-to-apply-eligibility-fees-dates-documents/" TargetMode="External"/><Relationship Id="rId1108" Type="http://schemas.openxmlformats.org/officeDocument/2006/relationships/hyperlink" Target="http://firstpagesage.com" TargetMode="External"/><Relationship Id="rId2439" Type="http://schemas.openxmlformats.org/officeDocument/2006/relationships/hyperlink" Target="http://migrateworld.com" TargetMode="External"/><Relationship Id="rId1109" Type="http://schemas.openxmlformats.org/officeDocument/2006/relationships/hyperlink" Target="https://flypix.ai/geospatial-companies-in-uae/" TargetMode="External"/><Relationship Id="rId519" Type="http://schemas.openxmlformats.org/officeDocument/2006/relationships/hyperlink" Target="http://icp.gov.ae" TargetMode="External"/><Relationship Id="rId514" Type="http://schemas.openxmlformats.org/officeDocument/2006/relationships/hyperlink" Target="https://foresightfox.com/blog/best-digital-marketing-agencies-in-dubai/" TargetMode="External"/><Relationship Id="rId998" Type="http://schemas.openxmlformats.org/officeDocument/2006/relationships/hyperlink" Target="http://nogood.io" TargetMode="External"/><Relationship Id="rId513" Type="http://schemas.openxmlformats.org/officeDocument/2006/relationships/hyperlink" Target="http://forebettoday.com" TargetMode="External"/><Relationship Id="rId997" Type="http://schemas.openxmlformats.org/officeDocument/2006/relationships/hyperlink" Target="https://nogood.io/blog/performance-marketing-agencies/" TargetMode="External"/><Relationship Id="rId512" Type="http://schemas.openxmlformats.org/officeDocument/2006/relationships/hyperlink" Target="https://forebettoday.com/best-ai-marketing-agency-dubai-2026/" TargetMode="External"/><Relationship Id="rId996" Type="http://schemas.openxmlformats.org/officeDocument/2006/relationships/hyperlink" Target="http://nevolearn.com" TargetMode="External"/><Relationship Id="rId511" Type="http://schemas.openxmlformats.org/officeDocument/2006/relationships/hyperlink" Target="http://clutch.co" TargetMode="External"/><Relationship Id="rId995" Type="http://schemas.openxmlformats.org/officeDocument/2006/relationships/hyperlink" Target="https://nevolearn.com/blog/social-media-marketing-agencies-in-dubai" TargetMode="External"/><Relationship Id="rId518" Type="http://schemas.openxmlformats.org/officeDocument/2006/relationships/hyperlink" Target="https://icp.gov.ae/en/economic-operator/" TargetMode="External"/><Relationship Id="rId517" Type="http://schemas.openxmlformats.org/officeDocument/2006/relationships/hyperlink" Target="http://hikmahaiagency.com" TargetMode="External"/><Relationship Id="rId516" Type="http://schemas.openxmlformats.org/officeDocument/2006/relationships/hyperlink" Target="https://www.hikmahaiagency.com/blog/how-to-choose-ai-marketing-agency-dubai-2026" TargetMode="External"/><Relationship Id="rId515" Type="http://schemas.openxmlformats.org/officeDocument/2006/relationships/hyperlink" Target="http://foresightfox.com" TargetMode="External"/><Relationship Id="rId999" Type="http://schemas.openxmlformats.org/officeDocument/2006/relationships/hyperlink" Target="https://noirandblanco.com/best-digital-marketing-agencies-in-uae/" TargetMode="External"/><Relationship Id="rId990" Type="http://schemas.openxmlformats.org/officeDocument/2006/relationships/hyperlink" Target="http://marketingagencyabudhabi.com" TargetMode="External"/><Relationship Id="rId1580" Type="http://schemas.openxmlformats.org/officeDocument/2006/relationships/hyperlink" Target="https://www.adshabibi.com/" TargetMode="External"/><Relationship Id="rId1581" Type="http://schemas.openxmlformats.org/officeDocument/2006/relationships/hyperlink" Target="http://adshabibi.com" TargetMode="External"/><Relationship Id="rId1582" Type="http://schemas.openxmlformats.org/officeDocument/2006/relationships/hyperlink" Target="https://adshackers.com/" TargetMode="External"/><Relationship Id="rId510" Type="http://schemas.openxmlformats.org/officeDocument/2006/relationships/hyperlink" Target="https://clutch.co/ae/agencies/digital-marketing/dubai" TargetMode="External"/><Relationship Id="rId994" Type="http://schemas.openxmlformats.org/officeDocument/2006/relationships/hyperlink" Target="http://mystrika.com" TargetMode="External"/><Relationship Id="rId1583" Type="http://schemas.openxmlformats.org/officeDocument/2006/relationships/hyperlink" Target="http://adshackers.com" TargetMode="External"/><Relationship Id="rId2430" Type="http://schemas.openxmlformats.org/officeDocument/2006/relationships/hyperlink" Target="https://mettevo.com/ppc/e-commerce-ppc" TargetMode="External"/><Relationship Id="rId993" Type="http://schemas.openxmlformats.org/officeDocument/2006/relationships/hyperlink" Target="https://mystrika.com/directory/agencies/top/account-based-marketing-in-country-united-arab-emirates" TargetMode="External"/><Relationship Id="rId1100" Type="http://schemas.openxmlformats.org/officeDocument/2006/relationships/hyperlink" Target="https://www.digitalgravity.ae/services/conversion-rate-optimization-dubai/" TargetMode="External"/><Relationship Id="rId1584" Type="http://schemas.openxmlformats.org/officeDocument/2006/relationships/hyperlink" Target="https://www.adsmurai.com/en/articles/what-is-geo" TargetMode="External"/><Relationship Id="rId2431" Type="http://schemas.openxmlformats.org/officeDocument/2006/relationships/hyperlink" Target="http://mettevo.com" TargetMode="External"/><Relationship Id="rId992" Type="http://schemas.openxmlformats.org/officeDocument/2006/relationships/hyperlink" Target="http://morispr.com" TargetMode="External"/><Relationship Id="rId1101" Type="http://schemas.openxmlformats.org/officeDocument/2006/relationships/hyperlink" Target="http://digitalgravity.ae" TargetMode="External"/><Relationship Id="rId1585" Type="http://schemas.openxmlformats.org/officeDocument/2006/relationships/hyperlink" Target="http://adsmurai.com" TargetMode="External"/><Relationship Id="rId2432" Type="http://schemas.openxmlformats.org/officeDocument/2006/relationships/hyperlink" Target="https://www.mickyweis.com/en/digital-marketing-in-dubai/" TargetMode="External"/><Relationship Id="rId991" Type="http://schemas.openxmlformats.org/officeDocument/2006/relationships/hyperlink" Target="https://www.morispr.com/dubais-top-analytics-and-data-agency-in-dubai-sharjah-united-arab-emirates" TargetMode="External"/><Relationship Id="rId1102" Type="http://schemas.openxmlformats.org/officeDocument/2006/relationships/hyperlink" Target="https://digixvalley.com/ai-ml/best-ai-consulting-companies-dubai-uae/" TargetMode="External"/><Relationship Id="rId1586" Type="http://schemas.openxmlformats.org/officeDocument/2006/relationships/hyperlink" Target="https://www.adtrak.co.uk/services/ai-digital-marketing-agency/ai-search-marketing-geo" TargetMode="External"/><Relationship Id="rId2433" Type="http://schemas.openxmlformats.org/officeDocument/2006/relationships/hyperlink" Target="http://mickyweis.com" TargetMode="External"/><Relationship Id="rId1532" Type="http://schemas.openxmlformats.org/officeDocument/2006/relationships/hyperlink" Target="http://wsj.com" TargetMode="External"/><Relationship Id="rId2863" Type="http://schemas.openxmlformats.org/officeDocument/2006/relationships/hyperlink" Target="https://v8media.co.za/most-important-numbers-to-track-in-your-business/" TargetMode="External"/><Relationship Id="rId1533" Type="http://schemas.openxmlformats.org/officeDocument/2006/relationships/hyperlink" Target="https://x.digeesell.ae/dubai-ai-agency" TargetMode="External"/><Relationship Id="rId2864" Type="http://schemas.openxmlformats.org/officeDocument/2006/relationships/hyperlink" Target="http://v8media.co.za" TargetMode="External"/><Relationship Id="rId1534" Type="http://schemas.openxmlformats.org/officeDocument/2006/relationships/hyperlink" Target="http://digeesell.ae" TargetMode="External"/><Relationship Id="rId2865" Type="http://schemas.openxmlformats.org/officeDocument/2006/relationships/hyperlink" Target="https://valgrowdigital.com/" TargetMode="External"/><Relationship Id="rId1535" Type="http://schemas.openxmlformats.org/officeDocument/2006/relationships/hyperlink" Target="https://0ptimus.com/" TargetMode="External"/><Relationship Id="rId2866" Type="http://schemas.openxmlformats.org/officeDocument/2006/relationships/hyperlink" Target="http://valgrowdigital.com" TargetMode="External"/><Relationship Id="rId1536" Type="http://schemas.openxmlformats.org/officeDocument/2006/relationships/hyperlink" Target="http://0ptimus.com" TargetMode="External"/><Relationship Id="rId2867" Type="http://schemas.openxmlformats.org/officeDocument/2006/relationships/hyperlink" Target="https://valors.agency/influencer-marketing-uae" TargetMode="External"/><Relationship Id="rId1537" Type="http://schemas.openxmlformats.org/officeDocument/2006/relationships/hyperlink" Target="https://www.182adflow.com/" TargetMode="External"/><Relationship Id="rId2868" Type="http://schemas.openxmlformats.org/officeDocument/2006/relationships/hyperlink" Target="https://www.vdigitalservices.com/first-party-data-activation-meta-advertising/" TargetMode="External"/><Relationship Id="rId1538" Type="http://schemas.openxmlformats.org/officeDocument/2006/relationships/hyperlink" Target="http://182adflow.com" TargetMode="External"/><Relationship Id="rId2869" Type="http://schemas.openxmlformats.org/officeDocument/2006/relationships/hyperlink" Target="http://vdigitalservices.com" TargetMode="External"/><Relationship Id="rId1539" Type="http://schemas.openxmlformats.org/officeDocument/2006/relationships/hyperlink" Target="https://1stpage.ae/services/ai-search-optimization/" TargetMode="External"/><Relationship Id="rId949" Type="http://schemas.openxmlformats.org/officeDocument/2006/relationships/hyperlink" Target="http://digitalmediasapiens.com" TargetMode="External"/><Relationship Id="rId948" Type="http://schemas.openxmlformats.org/officeDocument/2006/relationships/hyperlink" Target="https://digitalmediasapiens.com/which-is-the-best-digital-marketing-agency-in-dubai/" TargetMode="External"/><Relationship Id="rId943" Type="http://schemas.openxmlformats.org/officeDocument/2006/relationships/hyperlink" Target="http://digital-qube.com" TargetMode="External"/><Relationship Id="rId942" Type="http://schemas.openxmlformats.org/officeDocument/2006/relationships/hyperlink" Target="https://www.digital-qube.com/ai" TargetMode="External"/><Relationship Id="rId941" Type="http://schemas.openxmlformats.org/officeDocument/2006/relationships/hyperlink" Target="http://digital-agency.ae" TargetMode="External"/><Relationship Id="rId940" Type="http://schemas.openxmlformats.org/officeDocument/2006/relationships/hyperlink" Target="https://digital-agency.ae/" TargetMode="External"/><Relationship Id="rId947" Type="http://schemas.openxmlformats.org/officeDocument/2006/relationships/hyperlink" Target="http://digitalagencynetwork.com" TargetMode="External"/><Relationship Id="rId946" Type="http://schemas.openxmlformats.org/officeDocument/2006/relationships/hyperlink" Target="https://digitalagencynetwork.com/agencies/mena/" TargetMode="External"/><Relationship Id="rId945" Type="http://schemas.openxmlformats.org/officeDocument/2006/relationships/hyperlink" Target="http://digitalagencynetwork.com" TargetMode="External"/><Relationship Id="rId944" Type="http://schemas.openxmlformats.org/officeDocument/2006/relationships/hyperlink" Target="https://digitalagencynetwork.com/agencies/dubai/social-media-marketing/" TargetMode="External"/><Relationship Id="rId2860" Type="http://schemas.openxmlformats.org/officeDocument/2006/relationships/hyperlink" Target="http://ugcengine.ai" TargetMode="External"/><Relationship Id="rId1530" Type="http://schemas.openxmlformats.org/officeDocument/2006/relationships/hyperlink" Target="http://wordofgpt.com" TargetMode="External"/><Relationship Id="rId2861" Type="http://schemas.openxmlformats.org/officeDocument/2006/relationships/hyperlink" Target="https://www.universalads.com/partners" TargetMode="External"/><Relationship Id="rId1531" Type="http://schemas.openxmlformats.org/officeDocument/2006/relationships/hyperlink" Target="https://www.wsj.com/articles/ey-joins-consultants-race-for-marketing-dollars-with-new-unit-b1a79544" TargetMode="External"/><Relationship Id="rId2862" Type="http://schemas.openxmlformats.org/officeDocument/2006/relationships/hyperlink" Target="http://universalads.com" TargetMode="External"/><Relationship Id="rId1521" Type="http://schemas.openxmlformats.org/officeDocument/2006/relationships/hyperlink" Target="https://www.webtonic.io/blog/best-performance-marketing-agencies-2026" TargetMode="External"/><Relationship Id="rId2852" Type="http://schemas.openxmlformats.org/officeDocument/2006/relationships/hyperlink" Target="http://truenorthmarketing.ae" TargetMode="External"/><Relationship Id="rId1522" Type="http://schemas.openxmlformats.org/officeDocument/2006/relationships/hyperlink" Target="http://webtonic.io" TargetMode="External"/><Relationship Id="rId2853" Type="http://schemas.openxmlformats.org/officeDocument/2006/relationships/hyperlink" Target="https://www.tvtechnology.com/news/magnite-acxiom-announce-integration" TargetMode="External"/><Relationship Id="rId1523" Type="http://schemas.openxmlformats.org/officeDocument/2006/relationships/hyperlink" Target="https://www.webtonic.io/blog/top-creative-performance-agencies" TargetMode="External"/><Relationship Id="rId2854" Type="http://schemas.openxmlformats.org/officeDocument/2006/relationships/hyperlink" Target="http://tvtechnology.com" TargetMode="External"/><Relationship Id="rId1524" Type="http://schemas.openxmlformats.org/officeDocument/2006/relationships/hyperlink" Target="http://webtonic.io" TargetMode="External"/><Relationship Id="rId2855" Type="http://schemas.openxmlformats.org/officeDocument/2006/relationships/hyperlink" Target="https://udjat.ae/10-top-marketing-agencies-in-dubai-how-to-choose-the-right-partner-for-business-growth/" TargetMode="External"/><Relationship Id="rId1525" Type="http://schemas.openxmlformats.org/officeDocument/2006/relationships/hyperlink" Target="https://weframetech.com/blog/best-ai-seo-agencies-powering-uae-brands-2026" TargetMode="External"/><Relationship Id="rId2856" Type="http://schemas.openxmlformats.org/officeDocument/2006/relationships/hyperlink" Target="http://udjat.ae" TargetMode="External"/><Relationship Id="rId1526" Type="http://schemas.openxmlformats.org/officeDocument/2006/relationships/hyperlink" Target="http://weframetech.com" TargetMode="External"/><Relationship Id="rId2857" Type="http://schemas.openxmlformats.org/officeDocument/2006/relationships/hyperlink" Target="https://udjat.ae/best-roi-for-small-businesses/" TargetMode="External"/><Relationship Id="rId1527" Type="http://schemas.openxmlformats.org/officeDocument/2006/relationships/hyperlink" Target="https://www.werankle.com/en" TargetMode="External"/><Relationship Id="rId2858" Type="http://schemas.openxmlformats.org/officeDocument/2006/relationships/hyperlink" Target="http://udjat.ae" TargetMode="External"/><Relationship Id="rId1528" Type="http://schemas.openxmlformats.org/officeDocument/2006/relationships/hyperlink" Target="http://werankle.com" TargetMode="External"/><Relationship Id="rId2859" Type="http://schemas.openxmlformats.org/officeDocument/2006/relationships/hyperlink" Target="https://ugcengine.ai/blog/best-aeo-agencies" TargetMode="External"/><Relationship Id="rId1529" Type="http://schemas.openxmlformats.org/officeDocument/2006/relationships/hyperlink" Target="https://www.wordofgpt.com/geo-agency/abu-dhabi/" TargetMode="External"/><Relationship Id="rId939" Type="http://schemas.openxmlformats.org/officeDocument/2006/relationships/hyperlink" Target="http://designrush.com" TargetMode="External"/><Relationship Id="rId938" Type="http://schemas.openxmlformats.org/officeDocument/2006/relationships/hyperlink" Target="https://www.designrush.com/agency/creative-agencies/ae" TargetMode="External"/><Relationship Id="rId937" Type="http://schemas.openxmlformats.org/officeDocument/2006/relationships/hyperlink" Target="http://dejaoffice.com" TargetMode="External"/><Relationship Id="rId932" Type="http://schemas.openxmlformats.org/officeDocument/2006/relationships/hyperlink" Target="https://www.cometly.com/post/marketing-attribution-software-for-agencies" TargetMode="External"/><Relationship Id="rId931" Type="http://schemas.openxmlformats.org/officeDocument/2006/relationships/hyperlink" Target="http://clutch.co" TargetMode="External"/><Relationship Id="rId930" Type="http://schemas.openxmlformats.org/officeDocument/2006/relationships/hyperlink" Target="https://clutch.co/ae/consulting/ai?page=1" TargetMode="External"/><Relationship Id="rId936" Type="http://schemas.openxmlformats.org/officeDocument/2006/relationships/hyperlink" Target="https://www.dejaoffice.com/blog/2026/06/15/9-best-aeo-agencies-helping-brands-win-in-the-age-of-ai/" TargetMode="External"/><Relationship Id="rId935" Type="http://schemas.openxmlformats.org/officeDocument/2006/relationships/hyperlink" Target="http://creativemediahouse.ae" TargetMode="External"/><Relationship Id="rId934" Type="http://schemas.openxmlformats.org/officeDocument/2006/relationships/hyperlink" Target="https://creativemediahouse.ae/top-10-creative-agencies-in-dubai-2023/" TargetMode="External"/><Relationship Id="rId933" Type="http://schemas.openxmlformats.org/officeDocument/2006/relationships/hyperlink" Target="http://cometly.com" TargetMode="External"/><Relationship Id="rId2850" Type="http://schemas.openxmlformats.org/officeDocument/2006/relationships/hyperlink" Target="http://truelift.ai" TargetMode="External"/><Relationship Id="rId1520" Type="http://schemas.openxmlformats.org/officeDocument/2006/relationships/hyperlink" Target="http://webtonic.io" TargetMode="External"/><Relationship Id="rId2851" Type="http://schemas.openxmlformats.org/officeDocument/2006/relationships/hyperlink" Target="https://www.truenorthmarketing.ae/en/about" TargetMode="External"/><Relationship Id="rId1554" Type="http://schemas.openxmlformats.org/officeDocument/2006/relationships/hyperlink" Target="http://aceofperformance.com" TargetMode="External"/><Relationship Id="rId2401" Type="http://schemas.openxmlformats.org/officeDocument/2006/relationships/hyperlink" Target="http://marketnavigator.ae" TargetMode="External"/><Relationship Id="rId2885" Type="http://schemas.openxmlformats.org/officeDocument/2006/relationships/hyperlink" Target="http://wamdigital.com" TargetMode="External"/><Relationship Id="rId1555" Type="http://schemas.openxmlformats.org/officeDocument/2006/relationships/hyperlink" Target="https://www.activeadsmedia.com/" TargetMode="External"/><Relationship Id="rId2402" Type="http://schemas.openxmlformats.org/officeDocument/2006/relationships/hyperlink" Target="https://martal.ca/marketing-agencies-dubai/" TargetMode="External"/><Relationship Id="rId2886" Type="http://schemas.openxmlformats.org/officeDocument/2006/relationships/hyperlink" Target="https://www.weareqry.com/blog/best-paid-media-agencies" TargetMode="External"/><Relationship Id="rId1556" Type="http://schemas.openxmlformats.org/officeDocument/2006/relationships/hyperlink" Target="http://activeadsmedia.com" TargetMode="External"/><Relationship Id="rId2403" Type="http://schemas.openxmlformats.org/officeDocument/2006/relationships/hyperlink" Target="http://martal.ca" TargetMode="External"/><Relationship Id="rId2887" Type="http://schemas.openxmlformats.org/officeDocument/2006/relationships/hyperlink" Target="http://weareqry.com" TargetMode="External"/><Relationship Id="rId1557" Type="http://schemas.openxmlformats.org/officeDocument/2006/relationships/hyperlink" Target="https://www.actuatemedia.com/digital-marketing-services/" TargetMode="External"/><Relationship Id="rId2404" Type="http://schemas.openxmlformats.org/officeDocument/2006/relationships/hyperlink" Target="https://mass-analytics.com/" TargetMode="External"/><Relationship Id="rId2888" Type="http://schemas.openxmlformats.org/officeDocument/2006/relationships/hyperlink" Target="https://www.weareqry.com/blog/best-performance-marketing-agencies" TargetMode="External"/><Relationship Id="rId1558" Type="http://schemas.openxmlformats.org/officeDocument/2006/relationships/hyperlink" Target="http://actuatemedia.com" TargetMode="External"/><Relationship Id="rId2405" Type="http://schemas.openxmlformats.org/officeDocument/2006/relationships/hyperlink" Target="http://mass-analytics.com" TargetMode="External"/><Relationship Id="rId2889" Type="http://schemas.openxmlformats.org/officeDocument/2006/relationships/hyperlink" Target="http://weareqry.com" TargetMode="External"/><Relationship Id="rId1559" Type="http://schemas.openxmlformats.org/officeDocument/2006/relationships/hyperlink" Target="https://adaptsmedia.com/blog/how-desgin-eye-catching-display-ads/" TargetMode="External"/><Relationship Id="rId2406" Type="http://schemas.openxmlformats.org/officeDocument/2006/relationships/hyperlink" Target="https://maxsell.ae/services/geo-services-in-dubai/" TargetMode="External"/><Relationship Id="rId2407" Type="http://schemas.openxmlformats.org/officeDocument/2006/relationships/hyperlink" Target="http://maxsell.ae" TargetMode="External"/><Relationship Id="rId2408" Type="http://schemas.openxmlformats.org/officeDocument/2006/relationships/hyperlink" Target="https://meaccurate.com/top-10-market-research-companies-in-dubai-uae/" TargetMode="External"/><Relationship Id="rId2409" Type="http://schemas.openxmlformats.org/officeDocument/2006/relationships/hyperlink" Target="http://meaccurate.com" TargetMode="External"/><Relationship Id="rId965" Type="http://schemas.openxmlformats.org/officeDocument/2006/relationships/hyperlink" Target="http://goedix.com" TargetMode="External"/><Relationship Id="rId964" Type="http://schemas.openxmlformats.org/officeDocument/2006/relationships/hyperlink" Target="https://goedix.com/" TargetMode="External"/><Relationship Id="rId963" Type="http://schemas.openxmlformats.org/officeDocument/2006/relationships/hyperlink" Target="http://gcctechgroup.com" TargetMode="External"/><Relationship Id="rId962" Type="http://schemas.openxmlformats.org/officeDocument/2006/relationships/hyperlink" Target="https://gcctechgroup.com/google-ads-management-services/" TargetMode="External"/><Relationship Id="rId969" Type="http://schemas.openxmlformats.org/officeDocument/2006/relationships/hyperlink" Target="http://goodfirms.co" TargetMode="External"/><Relationship Id="rId968" Type="http://schemas.openxmlformats.org/officeDocument/2006/relationships/hyperlink" Target="https://www.goodfirms.co/directory/city/top-digital-marketing-companies/dubai" TargetMode="External"/><Relationship Id="rId967" Type="http://schemas.openxmlformats.org/officeDocument/2006/relationships/hyperlink" Target="http://goodfirms.co" TargetMode="External"/><Relationship Id="rId966" Type="http://schemas.openxmlformats.org/officeDocument/2006/relationships/hyperlink" Target="https://www.goodfirms.co/blog/digital-marketing-agency-pricing-uae" TargetMode="External"/><Relationship Id="rId2880" Type="http://schemas.openxmlformats.org/officeDocument/2006/relationships/hyperlink" Target="http://vistabylara.com" TargetMode="External"/><Relationship Id="rId961" Type="http://schemas.openxmlformats.org/officeDocument/2006/relationships/hyperlink" Target="http://feedbax.ai" TargetMode="External"/><Relationship Id="rId1550" Type="http://schemas.openxmlformats.org/officeDocument/2006/relationships/hyperlink" Target="http://aarmeh.ae" TargetMode="External"/><Relationship Id="rId2881" Type="http://schemas.openxmlformats.org/officeDocument/2006/relationships/hyperlink" Target="https://waimhub.com/ai-analytics-marketing-agency-dubai/" TargetMode="External"/><Relationship Id="rId960" Type="http://schemas.openxmlformats.org/officeDocument/2006/relationships/hyperlink" Target="https://feedbax.ai/performance-marketing/united-arab-emirates" TargetMode="External"/><Relationship Id="rId1551" Type="http://schemas.openxmlformats.org/officeDocument/2006/relationships/hyperlink" Target="https://abovedigital.com/" TargetMode="External"/><Relationship Id="rId2882" Type="http://schemas.openxmlformats.org/officeDocument/2006/relationships/hyperlink" Target="http://waimhub.com" TargetMode="External"/><Relationship Id="rId1552" Type="http://schemas.openxmlformats.org/officeDocument/2006/relationships/hyperlink" Target="http://abovedigital.com" TargetMode="External"/><Relationship Id="rId2883" Type="http://schemas.openxmlformats.org/officeDocument/2006/relationships/hyperlink" Target="https://wam.global/solutions/media-optimization-grow/martech-performance/" TargetMode="External"/><Relationship Id="rId1553" Type="http://schemas.openxmlformats.org/officeDocument/2006/relationships/hyperlink" Target="https://aceofperformance.com/" TargetMode="External"/><Relationship Id="rId2400" Type="http://schemas.openxmlformats.org/officeDocument/2006/relationships/hyperlink" Target="https://www.marketnavigator.ae/top-10-seo-agencies-uae-2026" TargetMode="External"/><Relationship Id="rId2884" Type="http://schemas.openxmlformats.org/officeDocument/2006/relationships/hyperlink" Target="https://wamdigital.com/blog/top-5-creative-and-web-development-agencies-for-scalable-production-in-2026" TargetMode="External"/><Relationship Id="rId1543" Type="http://schemas.openxmlformats.org/officeDocument/2006/relationships/hyperlink" Target="https://www.2pointagency.com/glossary/why-first-party-data-activation-is-the-top-use-for-agentic-ai/" TargetMode="External"/><Relationship Id="rId2874" Type="http://schemas.openxmlformats.org/officeDocument/2006/relationships/hyperlink" Target="https://videnglobe.com/" TargetMode="External"/><Relationship Id="rId1544" Type="http://schemas.openxmlformats.org/officeDocument/2006/relationships/hyperlink" Target="http://2pointagency.com" TargetMode="External"/><Relationship Id="rId2875" Type="http://schemas.openxmlformats.org/officeDocument/2006/relationships/hyperlink" Target="http://videnglobe.com" TargetMode="External"/><Relationship Id="rId1545" Type="http://schemas.openxmlformats.org/officeDocument/2006/relationships/hyperlink" Target="https://aargroup.co.uk/services-for-marketers/platform-readiness/genai-readiness-assessment/" TargetMode="External"/><Relationship Id="rId2876" Type="http://schemas.openxmlformats.org/officeDocument/2006/relationships/hyperlink" Target="https://videofactory.agency/" TargetMode="External"/><Relationship Id="rId1546" Type="http://schemas.openxmlformats.org/officeDocument/2006/relationships/hyperlink" Target="http://aargroup.co.uk" TargetMode="External"/><Relationship Id="rId2877" Type="http://schemas.openxmlformats.org/officeDocument/2006/relationships/hyperlink" Target="https://virtualadagency.com.au/advertising-agencies-in-australia/" TargetMode="External"/><Relationship Id="rId1547" Type="http://schemas.openxmlformats.org/officeDocument/2006/relationships/hyperlink" Target="https://aarkmarketing.com/performance-marketing-agency-dubai/" TargetMode="External"/><Relationship Id="rId2878" Type="http://schemas.openxmlformats.org/officeDocument/2006/relationships/hyperlink" Target="http://virtualadagency.com.au" TargetMode="External"/><Relationship Id="rId1548" Type="http://schemas.openxmlformats.org/officeDocument/2006/relationships/hyperlink" Target="http://aarkmarketing.com" TargetMode="External"/><Relationship Id="rId2879" Type="http://schemas.openxmlformats.org/officeDocument/2006/relationships/hyperlink" Target="https://www.vistabylara.com/" TargetMode="External"/><Relationship Id="rId1549" Type="http://schemas.openxmlformats.org/officeDocument/2006/relationships/hyperlink" Target="https://www.aarmeh.ae/generative-ai-consulting-company" TargetMode="External"/><Relationship Id="rId959" Type="http://schemas.openxmlformats.org/officeDocument/2006/relationships/hyperlink" Target="http://eykdata.com" TargetMode="External"/><Relationship Id="rId954" Type="http://schemas.openxmlformats.org/officeDocument/2006/relationships/hyperlink" Target="https://elioplus.com/middle-east/united-arab-emirates/channel-partners/google" TargetMode="External"/><Relationship Id="rId953" Type="http://schemas.openxmlformats.org/officeDocument/2006/relationships/hyperlink" Target="http://edvido.ae" TargetMode="External"/><Relationship Id="rId952" Type="http://schemas.openxmlformats.org/officeDocument/2006/relationships/hyperlink" Target="https://www.edvido.ae/performance-marketing-agencies/dubai" TargetMode="External"/><Relationship Id="rId951" Type="http://schemas.openxmlformats.org/officeDocument/2006/relationships/hyperlink" Target="http://dreamizegroup.com" TargetMode="External"/><Relationship Id="rId958" Type="http://schemas.openxmlformats.org/officeDocument/2006/relationships/hyperlink" Target="https://www.eykdata.com/eyk-data-incrementality" TargetMode="External"/><Relationship Id="rId957" Type="http://schemas.openxmlformats.org/officeDocument/2006/relationships/hyperlink" Target="http://emblixsolutions.ae" TargetMode="External"/><Relationship Id="rId956" Type="http://schemas.openxmlformats.org/officeDocument/2006/relationships/hyperlink" Target="https://emblixsolutions.ae/google-ads-partner-agency-in-dubai/" TargetMode="External"/><Relationship Id="rId955" Type="http://schemas.openxmlformats.org/officeDocument/2006/relationships/hyperlink" Target="http://elioplus.com" TargetMode="External"/><Relationship Id="rId950" Type="http://schemas.openxmlformats.org/officeDocument/2006/relationships/hyperlink" Target="https://dreamizegroup.com/how-to-choose-the-best-social-media-marketing-agency-in-uae/" TargetMode="External"/><Relationship Id="rId2870" Type="http://schemas.openxmlformats.org/officeDocument/2006/relationships/hyperlink" Target="https://www.velocitygrowth.ae/services/experimentation-cro-systems" TargetMode="External"/><Relationship Id="rId1540" Type="http://schemas.openxmlformats.org/officeDocument/2006/relationships/hyperlink" Target="http://1stpage.ae" TargetMode="External"/><Relationship Id="rId2871" Type="http://schemas.openxmlformats.org/officeDocument/2006/relationships/hyperlink" Target="http://velocitygrowth.ae" TargetMode="External"/><Relationship Id="rId1541" Type="http://schemas.openxmlformats.org/officeDocument/2006/relationships/hyperlink" Target="https://247agency.ae/" TargetMode="External"/><Relationship Id="rId2872" Type="http://schemas.openxmlformats.org/officeDocument/2006/relationships/hyperlink" Target="https://vibebranding.com/blog/best-performance-marketing-agencies/" TargetMode="External"/><Relationship Id="rId1542" Type="http://schemas.openxmlformats.org/officeDocument/2006/relationships/hyperlink" Target="http://247agency.ae" TargetMode="External"/><Relationship Id="rId2873" Type="http://schemas.openxmlformats.org/officeDocument/2006/relationships/hyperlink" Target="http://vibebranding.com" TargetMode="External"/><Relationship Id="rId2027" Type="http://schemas.openxmlformats.org/officeDocument/2006/relationships/hyperlink" Target="http://feedbax.ai" TargetMode="External"/><Relationship Id="rId2028" Type="http://schemas.openxmlformats.org/officeDocument/2006/relationships/hyperlink" Target="https://www.fieldtrip.agency/post/best-ai-marketing-agencies" TargetMode="External"/><Relationship Id="rId2029" Type="http://schemas.openxmlformats.org/officeDocument/2006/relationships/hyperlink" Target="https://www.fieldtrip.agency/post/best-creative-agencies-for-global-brands" TargetMode="External"/><Relationship Id="rId590" Type="http://schemas.openxmlformats.org/officeDocument/2006/relationships/hyperlink" Target="https://www.scaled.ae/" TargetMode="External"/><Relationship Id="rId107" Type="http://schemas.openxmlformats.org/officeDocument/2006/relationships/hyperlink" Target="https://clutch.co/ae/agencies/creative/dubai" TargetMode="External"/><Relationship Id="rId106" Type="http://schemas.openxmlformats.org/officeDocument/2006/relationships/hyperlink" Target="http://thatware.co" TargetMode="External"/><Relationship Id="rId105" Type="http://schemas.openxmlformats.org/officeDocument/2006/relationships/hyperlink" Target="https://thatware.co/top-10-geo-companies-in-dubai/" TargetMode="External"/><Relationship Id="rId589" Type="http://schemas.openxmlformats.org/officeDocument/2006/relationships/hyperlink" Target="http://ruleranalytics.com" TargetMode="External"/><Relationship Id="rId104" Type="http://schemas.openxmlformats.org/officeDocument/2006/relationships/hyperlink" Target="http://leadsdubai.com" TargetMode="External"/><Relationship Id="rId588" Type="http://schemas.openxmlformats.org/officeDocument/2006/relationships/hyperlink" Target="https://www.ruleranalytics.com/" TargetMode="External"/><Relationship Id="rId109" Type="http://schemas.openxmlformats.org/officeDocument/2006/relationships/hyperlink" Target="https://www.designrush.com/agency/digital-marketing/ae" TargetMode="External"/><Relationship Id="rId1170" Type="http://schemas.openxmlformats.org/officeDocument/2006/relationships/hyperlink" Target="http://reddit.com" TargetMode="External"/><Relationship Id="rId108" Type="http://schemas.openxmlformats.org/officeDocument/2006/relationships/hyperlink" Target="http://clutch.co" TargetMode="External"/><Relationship Id="rId1171" Type="http://schemas.openxmlformats.org/officeDocument/2006/relationships/hyperlink" Target="https://revclickmarketing.com/services/incrementality-testing-mmm/" TargetMode="External"/><Relationship Id="rId583" Type="http://schemas.openxmlformats.org/officeDocument/2006/relationships/hyperlink" Target="http://omnieclipse.ai" TargetMode="External"/><Relationship Id="rId1172" Type="http://schemas.openxmlformats.org/officeDocument/2006/relationships/hyperlink" Target="http://revclickmarketing.com" TargetMode="External"/><Relationship Id="rId582" Type="http://schemas.openxmlformats.org/officeDocument/2006/relationships/hyperlink" Target="https://omnieclipse.ai/blog/best-aeo-agencies-dubai-2026" TargetMode="External"/><Relationship Id="rId1173" Type="http://schemas.openxmlformats.org/officeDocument/2006/relationships/hyperlink" Target="https://rifoa.com/ai-consulting-uae" TargetMode="External"/><Relationship Id="rId2020" Type="http://schemas.openxmlformats.org/officeDocument/2006/relationships/hyperlink" Target="https://www.expertsure.com/uk/digital-marketing/best-b2b-lead-generation-agencies/" TargetMode="External"/><Relationship Id="rId581" Type="http://schemas.openxmlformats.org/officeDocument/2006/relationships/hyperlink" Target="https://www.octopusmarketing.agency/digital-marketing/analytics-and-cro/attribution-tools-intergration-service/" TargetMode="External"/><Relationship Id="rId1174" Type="http://schemas.openxmlformats.org/officeDocument/2006/relationships/hyperlink" Target="http://rifoa.com" TargetMode="External"/><Relationship Id="rId2021" Type="http://schemas.openxmlformats.org/officeDocument/2006/relationships/hyperlink" Target="http://expertsure.com" TargetMode="External"/><Relationship Id="rId580" Type="http://schemas.openxmlformats.org/officeDocument/2006/relationships/hyperlink" Target="http://marketingagencyabudhabi.com" TargetMode="External"/><Relationship Id="rId1175" Type="http://schemas.openxmlformats.org/officeDocument/2006/relationships/hyperlink" Target="https://search.agency/" TargetMode="External"/><Relationship Id="rId2022" Type="http://schemas.openxmlformats.org/officeDocument/2006/relationships/hyperlink" Target="https://eyemedia.ae/" TargetMode="External"/><Relationship Id="rId103" Type="http://schemas.openxmlformats.org/officeDocument/2006/relationships/hyperlink" Target="https://www.leadsdubai.com/premier-google-partner-agency-dubai/" TargetMode="External"/><Relationship Id="rId587" Type="http://schemas.openxmlformats.org/officeDocument/2006/relationships/hyperlink" Target="http://prontosys.ae" TargetMode="External"/><Relationship Id="rId1176" Type="http://schemas.openxmlformats.org/officeDocument/2006/relationships/hyperlink" Target="https://www.semabrands.com/ai-digital-marketing-services/ai-seo/" TargetMode="External"/><Relationship Id="rId2023" Type="http://schemas.openxmlformats.org/officeDocument/2006/relationships/hyperlink" Target="http://eyemedia.ae" TargetMode="External"/><Relationship Id="rId102" Type="http://schemas.openxmlformats.org/officeDocument/2006/relationships/hyperlink" Target="http://influencermarketinghub.com" TargetMode="External"/><Relationship Id="rId586" Type="http://schemas.openxmlformats.org/officeDocument/2006/relationships/hyperlink" Target="https://www.prontosys.ae/blog/10-best-google-ads-management-agencies-in-dubai-uae/" TargetMode="External"/><Relationship Id="rId1177" Type="http://schemas.openxmlformats.org/officeDocument/2006/relationships/hyperlink" Target="http://semabrands.com" TargetMode="External"/><Relationship Id="rId2024" Type="http://schemas.openxmlformats.org/officeDocument/2006/relationships/hyperlink" Target="https://www.f6s.com/software/category/first-party-data-activation" TargetMode="External"/><Relationship Id="rId101" Type="http://schemas.openxmlformats.org/officeDocument/2006/relationships/hyperlink" Target="https://influencermarketinghub.com/uae-advertising-agencies/" TargetMode="External"/><Relationship Id="rId585" Type="http://schemas.openxmlformats.org/officeDocument/2006/relationships/hyperlink" Target="http://opinosis-analytics.com" TargetMode="External"/><Relationship Id="rId1178" Type="http://schemas.openxmlformats.org/officeDocument/2006/relationships/hyperlink" Target="https://seoprofy.com/blog/generative-engine-optimization-agencies/" TargetMode="External"/><Relationship Id="rId2025" Type="http://schemas.openxmlformats.org/officeDocument/2006/relationships/hyperlink" Target="http://f6s.com" TargetMode="External"/><Relationship Id="rId100" Type="http://schemas.openxmlformats.org/officeDocument/2006/relationships/hyperlink" Target="http://clutch.co" TargetMode="External"/><Relationship Id="rId584" Type="http://schemas.openxmlformats.org/officeDocument/2006/relationships/hyperlink" Target="https://www.opinosis-analytics.com/ai-consulting-in-uae/" TargetMode="External"/><Relationship Id="rId1179" Type="http://schemas.openxmlformats.org/officeDocument/2006/relationships/hyperlink" Target="http://seoprofy.com" TargetMode="External"/><Relationship Id="rId2026" Type="http://schemas.openxmlformats.org/officeDocument/2006/relationships/hyperlink" Target="https://feedbax.ai/creative-agencies/united-arab-emirates" TargetMode="External"/><Relationship Id="rId1169" Type="http://schemas.openxmlformats.org/officeDocument/2006/relationships/hyperlink" Target="https://www.reddit.com/r/agency/comments/1ok212i/performance_marketing_incrementality/" TargetMode="External"/><Relationship Id="rId2016" Type="http://schemas.openxmlformats.org/officeDocument/2006/relationships/hyperlink" Target="https://www.experian.com/blogs/marketing-forward/first-party-data-activation-2026/" TargetMode="External"/><Relationship Id="rId2017" Type="http://schemas.openxmlformats.org/officeDocument/2006/relationships/hyperlink" Target="http://experian.com" TargetMode="External"/><Relationship Id="rId2018" Type="http://schemas.openxmlformats.org/officeDocument/2006/relationships/hyperlink" Target="https://www.experiture.com/channel/paid-media/" TargetMode="External"/><Relationship Id="rId2019" Type="http://schemas.openxmlformats.org/officeDocument/2006/relationships/hyperlink" Target="http://experiture.com" TargetMode="External"/><Relationship Id="rId579" Type="http://schemas.openxmlformats.org/officeDocument/2006/relationships/hyperlink" Target="https://marketingagencyabudhabi.com/paid-media-agencies/abu-dhabi" TargetMode="External"/><Relationship Id="rId578" Type="http://schemas.openxmlformats.org/officeDocument/2006/relationships/hyperlink" Target="http://lengreo.com" TargetMode="External"/><Relationship Id="rId577" Type="http://schemas.openxmlformats.org/officeDocument/2006/relationships/hyperlink" Target="https://lengreo.com/best-google-ads-agencies-in-uae/" TargetMode="External"/><Relationship Id="rId2490" Type="http://schemas.openxmlformats.org/officeDocument/2006/relationships/hyperlink" Target="http://nogood.io" TargetMode="External"/><Relationship Id="rId1160" Type="http://schemas.openxmlformats.org/officeDocument/2006/relationships/hyperlink" Target="http://ninjapromo.io" TargetMode="External"/><Relationship Id="rId2491" Type="http://schemas.openxmlformats.org/officeDocument/2006/relationships/hyperlink" Target="https://nogood.io/blog/marketing-automation-agencies/" TargetMode="External"/><Relationship Id="rId572" Type="http://schemas.openxmlformats.org/officeDocument/2006/relationships/hyperlink" Target="https://inbeat.agency/blog/top-marketing-measurement-and-analytics-companies" TargetMode="External"/><Relationship Id="rId1161" Type="http://schemas.openxmlformats.org/officeDocument/2006/relationships/hyperlink" Target="https://nucleusmedia.ae/blog/the-best-digital-marketing-agencies-in-uae-2025-the-ultimate-list/" TargetMode="External"/><Relationship Id="rId2492" Type="http://schemas.openxmlformats.org/officeDocument/2006/relationships/hyperlink" Target="http://nogood.io" TargetMode="External"/><Relationship Id="rId571" Type="http://schemas.openxmlformats.org/officeDocument/2006/relationships/hyperlink" Target="http://google.com" TargetMode="External"/><Relationship Id="rId1162" Type="http://schemas.openxmlformats.org/officeDocument/2006/relationships/hyperlink" Target="http://nucleusmedia.ae" TargetMode="External"/><Relationship Id="rId2493" Type="http://schemas.openxmlformats.org/officeDocument/2006/relationships/hyperlink" Target="https://noirandblanco.com/ae/peformance-marketing-agency-in-dubai/" TargetMode="External"/><Relationship Id="rId570" Type="http://schemas.openxmlformats.org/officeDocument/2006/relationships/hyperlink" Target="https://www.google.com/intl/en_GB/ads/publisher/partners/find-a-partner/" TargetMode="External"/><Relationship Id="rId1163" Type="http://schemas.openxmlformats.org/officeDocument/2006/relationships/hyperlink" Target="https://nucleusmedia.ae/service/performance-marketing-uae/" TargetMode="External"/><Relationship Id="rId2010" Type="http://schemas.openxmlformats.org/officeDocument/2006/relationships/hyperlink" Target="https://estran.io/agence-geo" TargetMode="External"/><Relationship Id="rId2494" Type="http://schemas.openxmlformats.org/officeDocument/2006/relationships/hyperlink" Target="http://noirandblanco.com" TargetMode="External"/><Relationship Id="rId1164" Type="http://schemas.openxmlformats.org/officeDocument/2006/relationships/hyperlink" Target="http://nucleusmedia.ae" TargetMode="External"/><Relationship Id="rId2011" Type="http://schemas.openxmlformats.org/officeDocument/2006/relationships/hyperlink" Target="http://estran.io" TargetMode="External"/><Relationship Id="rId2495" Type="http://schemas.openxmlformats.org/officeDocument/2006/relationships/hyperlink" Target="https://nomadx.ae/blog/ai-agent-development-companies-dubai-uae-2026/" TargetMode="External"/><Relationship Id="rId576" Type="http://schemas.openxmlformats.org/officeDocument/2006/relationships/hyperlink" Target="http://indexlab.ai" TargetMode="External"/><Relationship Id="rId1165" Type="http://schemas.openxmlformats.org/officeDocument/2006/relationships/hyperlink" Target="https://onelittleweb.com/top-agencies/top-performance-marketing-agencies/" TargetMode="External"/><Relationship Id="rId2012" Type="http://schemas.openxmlformats.org/officeDocument/2006/relationships/hyperlink" Target="https://eticamediatech.com/" TargetMode="External"/><Relationship Id="rId2496" Type="http://schemas.openxmlformats.org/officeDocument/2006/relationships/hyperlink" Target="http://nomadx.ae" TargetMode="External"/><Relationship Id="rId575" Type="http://schemas.openxmlformats.org/officeDocument/2006/relationships/hyperlink" Target="https://www.indexlab.ai/blog/what-are-the-10-best-ai-visibility-agencies-in-dubai" TargetMode="External"/><Relationship Id="rId1166" Type="http://schemas.openxmlformats.org/officeDocument/2006/relationships/hyperlink" Target="http://onelittleweb.com" TargetMode="External"/><Relationship Id="rId2013" Type="http://schemas.openxmlformats.org/officeDocument/2006/relationships/hyperlink" Target="http://eticamediatech.com" TargetMode="External"/><Relationship Id="rId2497" Type="http://schemas.openxmlformats.org/officeDocument/2006/relationships/hyperlink" Target="https://www.northbeam.io/" TargetMode="External"/><Relationship Id="rId574" Type="http://schemas.openxmlformats.org/officeDocument/2006/relationships/hyperlink" Target="http://incrementors.com" TargetMode="External"/><Relationship Id="rId1167" Type="http://schemas.openxmlformats.org/officeDocument/2006/relationships/hyperlink" Target="https://www.reach360.ae/" TargetMode="External"/><Relationship Id="rId2014" Type="http://schemas.openxmlformats.org/officeDocument/2006/relationships/hyperlink" Target="https://www.exalogic.co/geospatial-services" TargetMode="External"/><Relationship Id="rId2498" Type="http://schemas.openxmlformats.org/officeDocument/2006/relationships/hyperlink" Target="http://northbeam.io" TargetMode="External"/><Relationship Id="rId573" Type="http://schemas.openxmlformats.org/officeDocument/2006/relationships/hyperlink" Target="https://www.incrementors.com/best-ppc-agency-in-sharjah-uae/" TargetMode="External"/><Relationship Id="rId1168" Type="http://schemas.openxmlformats.org/officeDocument/2006/relationships/hyperlink" Target="http://reach360.ae" TargetMode="External"/><Relationship Id="rId2015" Type="http://schemas.openxmlformats.org/officeDocument/2006/relationships/hyperlink" Target="http://exalogic.co" TargetMode="External"/><Relationship Id="rId2499" Type="http://schemas.openxmlformats.org/officeDocument/2006/relationships/hyperlink" Target="https://nucleusmedia.ae/blog/top-10-best-digital-marketing-agencies-in-dubai-uae-2026/" TargetMode="External"/><Relationship Id="rId2049" Type="http://schemas.openxmlformats.org/officeDocument/2006/relationships/hyperlink" Target="https://www.gartner.com/reviews/market/developer-skills-assessment-and-interview-platforms" TargetMode="External"/><Relationship Id="rId129" Type="http://schemas.openxmlformats.org/officeDocument/2006/relationships/hyperlink" Target="https://www.housesofgrowth.com/post/aeo-agencies-in-dubai" TargetMode="External"/><Relationship Id="rId128" Type="http://schemas.openxmlformats.org/officeDocument/2006/relationships/hyperlink" Target="http://harisand.co" TargetMode="External"/><Relationship Id="rId127" Type="http://schemas.openxmlformats.org/officeDocument/2006/relationships/hyperlink" Target="https://harisand.co/blog/10-award-winning-digital-marketing-agencies-in-dubai/" TargetMode="External"/><Relationship Id="rId126" Type="http://schemas.openxmlformats.org/officeDocument/2006/relationships/hyperlink" Target="http://semrush.com" TargetMode="External"/><Relationship Id="rId1190" Type="http://schemas.openxmlformats.org/officeDocument/2006/relationships/hyperlink" Target="http://techradar.com" TargetMode="External"/><Relationship Id="rId1191" Type="http://schemas.openxmlformats.org/officeDocument/2006/relationships/hyperlink" Target="https://thatware.co/top-10-aeo-companies-in-gulf-gcc/" TargetMode="External"/><Relationship Id="rId1192" Type="http://schemas.openxmlformats.org/officeDocument/2006/relationships/hyperlink" Target="http://thatware.co" TargetMode="External"/><Relationship Id="rId1193" Type="http://schemas.openxmlformats.org/officeDocument/2006/relationships/hyperlink" Target="https://thebuzihub.com/page/48/ai-marketing-solutions-uae" TargetMode="External"/><Relationship Id="rId2040" Type="http://schemas.openxmlformats.org/officeDocument/2006/relationships/hyperlink" Target="http://forrester.com" TargetMode="External"/><Relationship Id="rId121" Type="http://schemas.openxmlformats.org/officeDocument/2006/relationships/hyperlink" Target="https://www.gcc-marketing.com/en/ai-consulting-dubai/" TargetMode="External"/><Relationship Id="rId1194" Type="http://schemas.openxmlformats.org/officeDocument/2006/relationships/hyperlink" Target="http://thebuzihub.com" TargetMode="External"/><Relationship Id="rId2041" Type="http://schemas.openxmlformats.org/officeDocument/2006/relationships/hyperlink" Target="https://www.fortismedia.com/en/articles/roi-marketing-agency/" TargetMode="External"/><Relationship Id="rId120" Type="http://schemas.openxmlformats.org/officeDocument/2006/relationships/hyperlink" Target="http://bicommunications.ae" TargetMode="External"/><Relationship Id="rId1195" Type="http://schemas.openxmlformats.org/officeDocument/2006/relationships/hyperlink" Target="https://tidal.digital/" TargetMode="External"/><Relationship Id="rId2042" Type="http://schemas.openxmlformats.org/officeDocument/2006/relationships/hyperlink" Target="http://fortismedia.com" TargetMode="External"/><Relationship Id="rId1196" Type="http://schemas.openxmlformats.org/officeDocument/2006/relationships/hyperlink" Target="https://tidal.digital/what-we-do/conversion-rate-optimisation-agency/" TargetMode="External"/><Relationship Id="rId2043" Type="http://schemas.openxmlformats.org/officeDocument/2006/relationships/hyperlink" Target="https://www.freshcoast.ai/services.html" TargetMode="External"/><Relationship Id="rId1197" Type="http://schemas.openxmlformats.org/officeDocument/2006/relationships/hyperlink" Target="https://www.trefon.com/" TargetMode="External"/><Relationship Id="rId2044" Type="http://schemas.openxmlformats.org/officeDocument/2006/relationships/hyperlink" Target="http://freshcoast.ai" TargetMode="External"/><Relationship Id="rId125" Type="http://schemas.openxmlformats.org/officeDocument/2006/relationships/hyperlink" Target="https://agencies.semrush.com/list/ai-optimization/united-arab-emirates/" TargetMode="External"/><Relationship Id="rId1198" Type="http://schemas.openxmlformats.org/officeDocument/2006/relationships/hyperlink" Target="http://trefon.com" TargetMode="External"/><Relationship Id="rId2045" Type="http://schemas.openxmlformats.org/officeDocument/2006/relationships/hyperlink" Target="https://www.ft.com/content/ccf5ea33-1398-4b9d-8bf6-a403f2f5493e" TargetMode="External"/><Relationship Id="rId124" Type="http://schemas.openxmlformats.org/officeDocument/2006/relationships/hyperlink" Target="http://thatware.co" TargetMode="External"/><Relationship Id="rId1199" Type="http://schemas.openxmlformats.org/officeDocument/2006/relationships/hyperlink" Target="https://tudoopiq.com/geo-agency-dubai/" TargetMode="External"/><Relationship Id="rId2046" Type="http://schemas.openxmlformats.org/officeDocument/2006/relationships/hyperlink" Target="http://ft.com" TargetMode="External"/><Relationship Id="rId123" Type="http://schemas.openxmlformats.org/officeDocument/2006/relationships/hyperlink" Target="https://thatware.co/top-10-aeo-companies-in-dubai/" TargetMode="External"/><Relationship Id="rId2047" Type="http://schemas.openxmlformats.org/officeDocument/2006/relationships/hyperlink" Target="https://www.gartner.com/reviews/market/customer-data-platforms" TargetMode="External"/><Relationship Id="rId122" Type="http://schemas.openxmlformats.org/officeDocument/2006/relationships/hyperlink" Target="http://gcc-marketing.com" TargetMode="External"/><Relationship Id="rId2048" Type="http://schemas.openxmlformats.org/officeDocument/2006/relationships/hyperlink" Target="http://gartner.com" TargetMode="External"/><Relationship Id="rId2038" Type="http://schemas.openxmlformats.org/officeDocument/2006/relationships/hyperlink" Target="http://foreplay.co" TargetMode="External"/><Relationship Id="rId2039" Type="http://schemas.openxmlformats.org/officeDocument/2006/relationships/hyperlink" Target="https://www.forrester.com/blogs/picking-an-agency-to-maximize-the-value-of-your-first-party-data/" TargetMode="External"/><Relationship Id="rId118" Type="http://schemas.openxmlformats.org/officeDocument/2006/relationships/hyperlink" Target="http://upscale-digital.com" TargetMode="External"/><Relationship Id="rId117" Type="http://schemas.openxmlformats.org/officeDocument/2006/relationships/hyperlink" Target="https://upscale-digital.com/blog/top-10-ai-seo-agencies-in-dubai/" TargetMode="External"/><Relationship Id="rId116" Type="http://schemas.openxmlformats.org/officeDocument/2006/relationships/hyperlink" Target="http://triplewhale.com" TargetMode="External"/><Relationship Id="rId115" Type="http://schemas.openxmlformats.org/officeDocument/2006/relationships/hyperlink" Target="https://www.triplewhale.com/blog/best-incrementality-testing-tools" TargetMode="External"/><Relationship Id="rId599" Type="http://schemas.openxmlformats.org/officeDocument/2006/relationships/hyperlink" Target="http://sortlist.com" TargetMode="External"/><Relationship Id="rId1180" Type="http://schemas.openxmlformats.org/officeDocument/2006/relationships/hyperlink" Target="https://sixthfactor.com/" TargetMode="External"/><Relationship Id="rId1181" Type="http://schemas.openxmlformats.org/officeDocument/2006/relationships/hyperlink" Target="http://sixthfactor.com" TargetMode="External"/><Relationship Id="rId119" Type="http://schemas.openxmlformats.org/officeDocument/2006/relationships/hyperlink" Target="https://www.bicommunications.ae/blog/best-ppc-agencies-dubai/" TargetMode="External"/><Relationship Id="rId1182" Type="http://schemas.openxmlformats.org/officeDocument/2006/relationships/hyperlink" Target="https://www.skmcglobal.com/blog/aeo-registration-in-uae" TargetMode="External"/><Relationship Id="rId110" Type="http://schemas.openxmlformats.org/officeDocument/2006/relationships/hyperlink" Target="http://designrush.com" TargetMode="External"/><Relationship Id="rId594" Type="http://schemas.openxmlformats.org/officeDocument/2006/relationships/hyperlink" Target="https://www.signatureglobalmedia.com/performance-marketing" TargetMode="External"/><Relationship Id="rId1183" Type="http://schemas.openxmlformats.org/officeDocument/2006/relationships/hyperlink" Target="http://skmcglobal.com" TargetMode="External"/><Relationship Id="rId2030" Type="http://schemas.openxmlformats.org/officeDocument/2006/relationships/hyperlink" Target="https://www.fieldtrip.agency/post/overcoming-creative-production-challenges-for-large-brand" TargetMode="External"/><Relationship Id="rId593" Type="http://schemas.openxmlformats.org/officeDocument/2006/relationships/hyperlink" Target="http://selectedfirms.co" TargetMode="External"/><Relationship Id="rId1184" Type="http://schemas.openxmlformats.org/officeDocument/2006/relationships/hyperlink" Target="https://www.stackwise.site/blog/best-ai-consulting-firms-business-process-automation-uae" TargetMode="External"/><Relationship Id="rId2031" Type="http://schemas.openxmlformats.org/officeDocument/2006/relationships/hyperlink" Target="https://firstpartydigital.com/" TargetMode="External"/><Relationship Id="rId592" Type="http://schemas.openxmlformats.org/officeDocument/2006/relationships/hyperlink" Target="https://selectedfirms.co/companies/digital-marketing-agencies/uae" TargetMode="External"/><Relationship Id="rId1185" Type="http://schemas.openxmlformats.org/officeDocument/2006/relationships/hyperlink" Target="https://superbcompanies.com/categories/digital-marketing-companies-in-the-uae/" TargetMode="External"/><Relationship Id="rId2032" Type="http://schemas.openxmlformats.org/officeDocument/2006/relationships/hyperlink" Target="http://firstpartydigital.com" TargetMode="External"/><Relationship Id="rId591" Type="http://schemas.openxmlformats.org/officeDocument/2006/relationships/hyperlink" Target="http://scaled.ae" TargetMode="External"/><Relationship Id="rId1186" Type="http://schemas.openxmlformats.org/officeDocument/2006/relationships/hyperlink" Target="http://superbcompanies.com" TargetMode="External"/><Relationship Id="rId2033" Type="http://schemas.openxmlformats.org/officeDocument/2006/relationships/hyperlink" Target="https://flypix.ai/geospatial-companies-in-dubai/" TargetMode="External"/><Relationship Id="rId114" Type="http://schemas.openxmlformats.org/officeDocument/2006/relationships/hyperlink" Target="http://sortlist.com" TargetMode="External"/><Relationship Id="rId598" Type="http://schemas.openxmlformats.org/officeDocument/2006/relationships/hyperlink" Target="https://www.sortlist.com/s/paid-media/united-arab-emirates-ae?page=2" TargetMode="External"/><Relationship Id="rId1187" Type="http://schemas.openxmlformats.org/officeDocument/2006/relationships/hyperlink" Target="https://techhive.ae/digital-marketing-in-dubai/" TargetMode="External"/><Relationship Id="rId2034" Type="http://schemas.openxmlformats.org/officeDocument/2006/relationships/hyperlink" Target="http://flypix.ai" TargetMode="External"/><Relationship Id="rId113" Type="http://schemas.openxmlformats.org/officeDocument/2006/relationships/hyperlink" Target="https://www.sortlist.com/s/performance-marketing/dubai-ae" TargetMode="External"/><Relationship Id="rId597" Type="http://schemas.openxmlformats.org/officeDocument/2006/relationships/hyperlink" Target="http://socially.ae" TargetMode="External"/><Relationship Id="rId1188" Type="http://schemas.openxmlformats.org/officeDocument/2006/relationships/hyperlink" Target="http://techhive.ae" TargetMode="External"/><Relationship Id="rId2035" Type="http://schemas.openxmlformats.org/officeDocument/2006/relationships/hyperlink" Target="https://fntmanagement.com/top-marketing-agencies/" TargetMode="External"/><Relationship Id="rId112" Type="http://schemas.openxmlformats.org/officeDocument/2006/relationships/hyperlink" Target="http://sortlist.com" TargetMode="External"/><Relationship Id="rId596" Type="http://schemas.openxmlformats.org/officeDocument/2006/relationships/hyperlink" Target="https://www.socially.ae/" TargetMode="External"/><Relationship Id="rId1189" Type="http://schemas.openxmlformats.org/officeDocument/2006/relationships/hyperlink" Target="https://www.techradar.com/pro/agentic-search-optimization-reshapes-brand-visibility-in-ai-search" TargetMode="External"/><Relationship Id="rId2036" Type="http://schemas.openxmlformats.org/officeDocument/2006/relationships/hyperlink" Target="http://fntmanagement.com" TargetMode="External"/><Relationship Id="rId111" Type="http://schemas.openxmlformats.org/officeDocument/2006/relationships/hyperlink" Target="https://www.sortlist.com/s/ai-marketing/dubai-ae" TargetMode="External"/><Relationship Id="rId595" Type="http://schemas.openxmlformats.org/officeDocument/2006/relationships/hyperlink" Target="http://signatureglobalmedia.com" TargetMode="External"/><Relationship Id="rId2037" Type="http://schemas.openxmlformats.org/officeDocument/2006/relationships/hyperlink" Target="https://www.foreplay.co/post/madgicx-alternatives" TargetMode="External"/><Relationship Id="rId1136" Type="http://schemas.openxmlformats.org/officeDocument/2006/relationships/hyperlink" Target="http://ichelonconsulting.com" TargetMode="External"/><Relationship Id="rId2467" Type="http://schemas.openxmlformats.org/officeDocument/2006/relationships/hyperlink" Target="https://www.naukrigulf.com/chain-reaction-overview-cid-157093" TargetMode="External"/><Relationship Id="rId1137" Type="http://schemas.openxmlformats.org/officeDocument/2006/relationships/hyperlink" Target="https://www.incremental.com/" TargetMode="External"/><Relationship Id="rId2468" Type="http://schemas.openxmlformats.org/officeDocument/2006/relationships/hyperlink" Target="http://naukrigulf.com" TargetMode="External"/><Relationship Id="rId1138" Type="http://schemas.openxmlformats.org/officeDocument/2006/relationships/hyperlink" Target="http://incremental.com" TargetMode="External"/><Relationship Id="rId2469" Type="http://schemas.openxmlformats.org/officeDocument/2006/relationships/hyperlink" Target="https://neuralhorizonsai.com/" TargetMode="External"/><Relationship Id="rId1139" Type="http://schemas.openxmlformats.org/officeDocument/2006/relationships/hyperlink" Target="https://www.innovatedigital.ae/" TargetMode="External"/><Relationship Id="rId547" Type="http://schemas.openxmlformats.org/officeDocument/2006/relationships/hyperlink" Target="http://xparro.com" TargetMode="External"/><Relationship Id="rId546" Type="http://schemas.openxmlformats.org/officeDocument/2006/relationships/hyperlink" Target="https://xparro.com/services/ai-marketing-agency-in-dubai/" TargetMode="External"/><Relationship Id="rId545" Type="http://schemas.openxmlformats.org/officeDocument/2006/relationships/hyperlink" Target="http://avixa.org" TargetMode="External"/><Relationship Id="rId544" Type="http://schemas.openxmlformats.org/officeDocument/2006/relationships/hyperlink" Target="https://xchange.avixa.org/posts/top-10-digital-marketing-agencies-in-dubai-uae-2026" TargetMode="External"/><Relationship Id="rId549" Type="http://schemas.openxmlformats.org/officeDocument/2006/relationships/hyperlink" Target="http://adaptsmedia.com" TargetMode="External"/><Relationship Id="rId548" Type="http://schemas.openxmlformats.org/officeDocument/2006/relationships/hyperlink" Target="https://adaptsmedia.com/display-campaign-management/" TargetMode="External"/><Relationship Id="rId2460" Type="http://schemas.openxmlformats.org/officeDocument/2006/relationships/hyperlink" Target="http://gac.com" TargetMode="External"/><Relationship Id="rId1130" Type="http://schemas.openxmlformats.org/officeDocument/2006/relationships/hyperlink" Target="http://hillsadvertising.com" TargetMode="External"/><Relationship Id="rId2461" Type="http://schemas.openxmlformats.org/officeDocument/2006/relationships/hyperlink" Target="https://www.munro.agency/best-digital-marketing-agencies-in-dubai/" TargetMode="External"/><Relationship Id="rId1131" Type="http://schemas.openxmlformats.org/officeDocument/2006/relationships/hyperlink" Target="https://www.hostino.ae/seo-agency-uae/" TargetMode="External"/><Relationship Id="rId2462" Type="http://schemas.openxmlformats.org/officeDocument/2006/relationships/hyperlink" Target="https://musemind.agency/blog/top-design-agencies-in-dubai" TargetMode="External"/><Relationship Id="rId543" Type="http://schemas.openxmlformats.org/officeDocument/2006/relationships/hyperlink" Target="https://vocal.media/journal/best-performance-marketing-agencies-in-dubai" TargetMode="External"/><Relationship Id="rId1132" Type="http://schemas.openxmlformats.org/officeDocument/2006/relationships/hyperlink" Target="http://hostino.ae" TargetMode="External"/><Relationship Id="rId2463" Type="http://schemas.openxmlformats.org/officeDocument/2006/relationships/hyperlink" Target="https://www.n-ix.com/tech-consulting-firms/" TargetMode="External"/><Relationship Id="rId542" Type="http://schemas.openxmlformats.org/officeDocument/2006/relationships/hyperlink" Target="http://topdevelopers.co" TargetMode="External"/><Relationship Id="rId1133" Type="http://schemas.openxmlformats.org/officeDocument/2006/relationships/hyperlink" Target="https://www.housesofgrowth.com/post/marketing-agencies-in-dubai" TargetMode="External"/><Relationship Id="rId2464" Type="http://schemas.openxmlformats.org/officeDocument/2006/relationships/hyperlink" Target="http://n-ix.com" TargetMode="External"/><Relationship Id="rId541" Type="http://schemas.openxmlformats.org/officeDocument/2006/relationships/hyperlink" Target="https://www.topdevelopers.co/companies/ai-consulting/uae" TargetMode="External"/><Relationship Id="rId1134" Type="http://schemas.openxmlformats.org/officeDocument/2006/relationships/hyperlink" Target="http://housesofgrowth.com" TargetMode="External"/><Relationship Id="rId2465" Type="http://schemas.openxmlformats.org/officeDocument/2006/relationships/hyperlink" Target="https://namaccountants.com/the-uae-advertiser-permit-a-comprehensive-compliance-guide-for-social-media-promotion/?srsltid=AfmBOopC65D-zgwZM2sfv3bb1Tb27_skL-u9utcRWkauK0hCzLBs_K1N" TargetMode="External"/><Relationship Id="rId540" Type="http://schemas.openxmlformats.org/officeDocument/2006/relationships/hyperlink" Target="http://top-media-companies-in-dubai.com" TargetMode="External"/><Relationship Id="rId1135" Type="http://schemas.openxmlformats.org/officeDocument/2006/relationships/hyperlink" Target="https://ichelonconsulting.com/aeo-agency-uae" TargetMode="External"/><Relationship Id="rId2466" Type="http://schemas.openxmlformats.org/officeDocument/2006/relationships/hyperlink" Target="http://namaccountants.com" TargetMode="External"/><Relationship Id="rId1125" Type="http://schemas.openxmlformats.org/officeDocument/2006/relationships/hyperlink" Target="https://heroiks.com/mena/" TargetMode="External"/><Relationship Id="rId2456" Type="http://schemas.openxmlformats.org/officeDocument/2006/relationships/hyperlink" Target="https://www.motionlabs.agency/blog/top-digital-marketing-agencies-in-dubai" TargetMode="External"/><Relationship Id="rId1126" Type="http://schemas.openxmlformats.org/officeDocument/2006/relationships/hyperlink" Target="http://heroiks.com" TargetMode="External"/><Relationship Id="rId2457" Type="http://schemas.openxmlformats.org/officeDocument/2006/relationships/hyperlink" Target="https://moujsolutions.com/services/geo" TargetMode="External"/><Relationship Id="rId1127" Type="http://schemas.openxmlformats.org/officeDocument/2006/relationships/hyperlink" Target="https://www.hikmahaiagency.com/blog/how-to-track-marketing-roi-dubai-2026" TargetMode="External"/><Relationship Id="rId2458" Type="http://schemas.openxmlformats.org/officeDocument/2006/relationships/hyperlink" Target="http://moujsolutions.com" TargetMode="External"/><Relationship Id="rId1128" Type="http://schemas.openxmlformats.org/officeDocument/2006/relationships/hyperlink" Target="http://hikmahaiagency.com" TargetMode="External"/><Relationship Id="rId2459" Type="http://schemas.openxmlformats.org/officeDocument/2006/relationships/hyperlink" Target="https://moving.gac.com/certifications/aeo" TargetMode="External"/><Relationship Id="rId1129" Type="http://schemas.openxmlformats.org/officeDocument/2006/relationships/hyperlink" Target="https://hillsadvertising.com/" TargetMode="External"/><Relationship Id="rId536" Type="http://schemas.openxmlformats.org/officeDocument/2006/relationships/hyperlink" Target="http://thatware.co" TargetMode="External"/><Relationship Id="rId535" Type="http://schemas.openxmlformats.org/officeDocument/2006/relationships/hyperlink" Target="https://thatware.co/top-10-geo-companies-in-uae/" TargetMode="External"/><Relationship Id="rId534" Type="http://schemas.openxmlformats.org/officeDocument/2006/relationships/hyperlink" Target="http://sortlist.com" TargetMode="External"/><Relationship Id="rId533" Type="http://schemas.openxmlformats.org/officeDocument/2006/relationships/hyperlink" Target="https://www.sortlist.com/s/marketing-analytics/dubai-ae?page=2" TargetMode="External"/><Relationship Id="rId539" Type="http://schemas.openxmlformats.org/officeDocument/2006/relationships/hyperlink" Target="https://www.top-media-companies-in-dubai.com/dubai/display-advertising" TargetMode="External"/><Relationship Id="rId538" Type="http://schemas.openxmlformats.org/officeDocument/2006/relationships/hyperlink" Target="http://themarketingagency.ca" TargetMode="External"/><Relationship Id="rId537" Type="http://schemas.openxmlformats.org/officeDocument/2006/relationships/hyperlink" Target="https://themarketingagency.ca/blog/top-digital-marketing-agencies-in-dubai/" TargetMode="External"/><Relationship Id="rId2450" Type="http://schemas.openxmlformats.org/officeDocument/2006/relationships/hyperlink" Target="https://www.morismedia.in/united-arab-emirates-top-10-ai-based-advertising-agency-for-marketing-advertising-in-2026" TargetMode="External"/><Relationship Id="rId1120" Type="http://schemas.openxmlformats.org/officeDocument/2006/relationships/hyperlink" Target="http://goodfirms.co" TargetMode="External"/><Relationship Id="rId2451" Type="http://schemas.openxmlformats.org/officeDocument/2006/relationships/hyperlink" Target="http://morismedia.in" TargetMode="External"/><Relationship Id="rId532" Type="http://schemas.openxmlformats.org/officeDocument/2006/relationships/hyperlink" Target="http://withgoogle.com" TargetMode="External"/><Relationship Id="rId1121" Type="http://schemas.openxmlformats.org/officeDocument/2006/relationships/hyperlink" Target="https://www.google.com/intl/ar/ads/publisher/partners/find-a-partner/" TargetMode="External"/><Relationship Id="rId2452" Type="http://schemas.openxmlformats.org/officeDocument/2006/relationships/hyperlink" Target="https://www.morispr.com/dubai-top-10-programmatic-advertising-agency-serving-education-in-2026" TargetMode="External"/><Relationship Id="rId531" Type="http://schemas.openxmlformats.org/officeDocument/2006/relationships/hyperlink" Target="https://www.partnersdirectory.withgoogle.com/" TargetMode="External"/><Relationship Id="rId1122" Type="http://schemas.openxmlformats.org/officeDocument/2006/relationships/hyperlink" Target="http://google.com" TargetMode="External"/><Relationship Id="rId2453" Type="http://schemas.openxmlformats.org/officeDocument/2006/relationships/hyperlink" Target="http://morispr.com" TargetMode="External"/><Relationship Id="rId530" Type="http://schemas.openxmlformats.org/officeDocument/2006/relationships/hyperlink" Target="http://nuundigital.com" TargetMode="External"/><Relationship Id="rId1123" Type="http://schemas.openxmlformats.org/officeDocument/2006/relationships/hyperlink" Target="https://hawkemedia.com/insights/top-performance-marketing-agencies/" TargetMode="External"/><Relationship Id="rId2454" Type="http://schemas.openxmlformats.org/officeDocument/2006/relationships/hyperlink" Target="https://www.mosaicdigital.ae/social-media-marketing-for-real-estate-companies-in-uae/" TargetMode="External"/><Relationship Id="rId1124" Type="http://schemas.openxmlformats.org/officeDocument/2006/relationships/hyperlink" Target="http://hawkemedia.com" TargetMode="External"/><Relationship Id="rId2455" Type="http://schemas.openxmlformats.org/officeDocument/2006/relationships/hyperlink" Target="http://mosaicdigital.ae" TargetMode="External"/><Relationship Id="rId1158" Type="http://schemas.openxmlformats.org/officeDocument/2006/relationships/hyperlink" Target="http://newengen.com" TargetMode="External"/><Relationship Id="rId2005" Type="http://schemas.openxmlformats.org/officeDocument/2006/relationships/hyperlink" Target="http://whatjobs.com" TargetMode="External"/><Relationship Id="rId2489" Type="http://schemas.openxmlformats.org/officeDocument/2006/relationships/hyperlink" Target="https://nogood.io/blog/marketing-attribution-tools/" TargetMode="External"/><Relationship Id="rId1159" Type="http://schemas.openxmlformats.org/officeDocument/2006/relationships/hyperlink" Target="https://ninjapromo.io/best-digital-marketing-agencies-in-dubai" TargetMode="External"/><Relationship Id="rId2006" Type="http://schemas.openxmlformats.org/officeDocument/2006/relationships/hyperlink" Target="https://ensun.io/search/geospatial-data/united-arab-emirates" TargetMode="External"/><Relationship Id="rId2007" Type="http://schemas.openxmlformats.org/officeDocument/2006/relationships/hyperlink" Target="http://ensun.io" TargetMode="External"/><Relationship Id="rId2008" Type="http://schemas.openxmlformats.org/officeDocument/2006/relationships/hyperlink" Target="https://www.enzuzo.com/blog/best-performance-marketing-agencies" TargetMode="External"/><Relationship Id="rId2009" Type="http://schemas.openxmlformats.org/officeDocument/2006/relationships/hyperlink" Target="http://enzuzo.com" TargetMode="External"/><Relationship Id="rId569" Type="http://schemas.openxmlformats.org/officeDocument/2006/relationships/hyperlink" Target="http://google.com" TargetMode="External"/><Relationship Id="rId568" Type="http://schemas.openxmlformats.org/officeDocument/2006/relationships/hyperlink" Target="https://www.google.com/ads/publisher/partners/find-a-partner/" TargetMode="External"/><Relationship Id="rId567" Type="http://schemas.openxmlformats.org/officeDocument/2006/relationships/hyperlink" Target="http://enhmedia.com" TargetMode="External"/><Relationship Id="rId566" Type="http://schemas.openxmlformats.org/officeDocument/2006/relationships/hyperlink" Target="https://enhmedia.com/" TargetMode="External"/><Relationship Id="rId2480" Type="http://schemas.openxmlformats.org/officeDocument/2006/relationships/hyperlink" Target="http://nicodigital.com" TargetMode="External"/><Relationship Id="rId561" Type="http://schemas.openxmlformats.org/officeDocument/2006/relationships/hyperlink" Target="http://chainreaction.ae" TargetMode="External"/><Relationship Id="rId1150" Type="http://schemas.openxmlformats.org/officeDocument/2006/relationships/hyperlink" Target="http://mediaroi.io" TargetMode="External"/><Relationship Id="rId2481" Type="http://schemas.openxmlformats.org/officeDocument/2006/relationships/hyperlink" Target="https://ninjapromo.io/best-marketing-consulting-firms" TargetMode="External"/><Relationship Id="rId560" Type="http://schemas.openxmlformats.org/officeDocument/2006/relationships/hyperlink" Target="https://www.chainreaction.ae/" TargetMode="External"/><Relationship Id="rId1151" Type="http://schemas.openxmlformats.org/officeDocument/2006/relationships/hyperlink" Target="https://www.monks.com/google-partnership" TargetMode="External"/><Relationship Id="rId2482" Type="http://schemas.openxmlformats.org/officeDocument/2006/relationships/hyperlink" Target="http://ninjapromo.io" TargetMode="External"/><Relationship Id="rId1152" Type="http://schemas.openxmlformats.org/officeDocument/2006/relationships/hyperlink" Target="http://monks.com" TargetMode="External"/><Relationship Id="rId2483" Type="http://schemas.openxmlformats.org/officeDocument/2006/relationships/hyperlink" Target="https://ninjapromo.io/best-performance-marketing-agencies" TargetMode="External"/><Relationship Id="rId1153" Type="http://schemas.openxmlformats.org/officeDocument/2006/relationships/hyperlink" Target="https://www.morismedia.in/dubais-top-analytics-and-data-agency-in-dubai-ajman-united-arab-emirates" TargetMode="External"/><Relationship Id="rId2000" Type="http://schemas.openxmlformats.org/officeDocument/2006/relationships/hyperlink" Target="https://emblixsolutions.ae/ai-powered-digital-marketing-services-in-dubai/" TargetMode="External"/><Relationship Id="rId2484" Type="http://schemas.openxmlformats.org/officeDocument/2006/relationships/hyperlink" Target="http://ninjapromo.io" TargetMode="External"/><Relationship Id="rId565" Type="http://schemas.openxmlformats.org/officeDocument/2006/relationships/hyperlink" Target="http://ebiquity.com" TargetMode="External"/><Relationship Id="rId1154" Type="http://schemas.openxmlformats.org/officeDocument/2006/relationships/hyperlink" Target="http://morismedia.in" TargetMode="External"/><Relationship Id="rId2001" Type="http://schemas.openxmlformats.org/officeDocument/2006/relationships/hyperlink" Target="http://emblixsolutions.ae" TargetMode="External"/><Relationship Id="rId2485" Type="http://schemas.openxmlformats.org/officeDocument/2006/relationships/hyperlink" Target="https://nogood.io/blog/ai-marketing-agency/" TargetMode="External"/><Relationship Id="rId564" Type="http://schemas.openxmlformats.org/officeDocument/2006/relationships/hyperlink" Target="https://ebiquity.com/solutions/grow/testmatch/" TargetMode="External"/><Relationship Id="rId1155" Type="http://schemas.openxmlformats.org/officeDocument/2006/relationships/hyperlink" Target="https://music.amazon.in/podcasts/ab0c6775-0756-4b4a-9584-c0818438a009/episodes/48290346-a1af-4264-a808-6eaa2ac56efd/how-to-rank-in-ai-%E2%80%94-sqseo-podcast-what-are-the-best-generative-engine-optimization-geo-agencies-in-united-arab-emirates" TargetMode="External"/><Relationship Id="rId2002" Type="http://schemas.openxmlformats.org/officeDocument/2006/relationships/hyperlink" Target="https://emergedigital.com/digital-analytics-measurement-services/" TargetMode="External"/><Relationship Id="rId2486" Type="http://schemas.openxmlformats.org/officeDocument/2006/relationships/hyperlink" Target="http://nogood.io" TargetMode="External"/><Relationship Id="rId563" Type="http://schemas.openxmlformats.org/officeDocument/2006/relationships/hyperlink" Target="http://designrush.com" TargetMode="External"/><Relationship Id="rId1156" Type="http://schemas.openxmlformats.org/officeDocument/2006/relationships/hyperlink" Target="http://amazon.in" TargetMode="External"/><Relationship Id="rId2003" Type="http://schemas.openxmlformats.org/officeDocument/2006/relationships/hyperlink" Target="http://emergedigital.com" TargetMode="External"/><Relationship Id="rId2487" Type="http://schemas.openxmlformats.org/officeDocument/2006/relationships/hyperlink" Target="https://nogood.io/blog/best-answer-engine-optimization-agencies/" TargetMode="External"/><Relationship Id="rId562" Type="http://schemas.openxmlformats.org/officeDocument/2006/relationships/hyperlink" Target="https://www.designrush.com/agency/media-buying-agencies/ae/dubai" TargetMode="External"/><Relationship Id="rId1157" Type="http://schemas.openxmlformats.org/officeDocument/2006/relationships/hyperlink" Target="https://newengen.com/services/measurement/" TargetMode="External"/><Relationship Id="rId2004" Type="http://schemas.openxmlformats.org/officeDocument/2006/relationships/hyperlink" Target="https://en-ae.whatjobs.com/jobs/programmatic-director-head-of/dubai-fujairah?id=92781445" TargetMode="External"/><Relationship Id="rId2488" Type="http://schemas.openxmlformats.org/officeDocument/2006/relationships/hyperlink" Target="http://nogood.io" TargetMode="External"/><Relationship Id="rId1147" Type="http://schemas.openxmlformats.org/officeDocument/2006/relationships/hyperlink" Target="https://liftlab.com/solutions/incrementality-testing/" TargetMode="External"/><Relationship Id="rId2478" Type="http://schemas.openxmlformats.org/officeDocument/2006/relationships/hyperlink" Target="http://nextsol.ae" TargetMode="External"/><Relationship Id="rId1148" Type="http://schemas.openxmlformats.org/officeDocument/2006/relationships/hyperlink" Target="http://liftlab.com" TargetMode="External"/><Relationship Id="rId2479" Type="http://schemas.openxmlformats.org/officeDocument/2006/relationships/hyperlink" Target="https://www.nicodigital.com/seo-agency-dubai/" TargetMode="External"/><Relationship Id="rId1149" Type="http://schemas.openxmlformats.org/officeDocument/2006/relationships/hyperlink" Target="https://www.mediaroi.io/en" TargetMode="External"/><Relationship Id="rId558" Type="http://schemas.openxmlformats.org/officeDocument/2006/relationships/hyperlink" Target="https://www.alwafaagroup.com/ai-consultation" TargetMode="External"/><Relationship Id="rId557" Type="http://schemas.openxmlformats.org/officeDocument/2006/relationships/hyperlink" Target="http://semrush.com" TargetMode="External"/><Relationship Id="rId556" Type="http://schemas.openxmlformats.org/officeDocument/2006/relationships/hyperlink" Target="https://agencies.semrush.com/list/ai-optimization/dubai/small-business/" TargetMode="External"/><Relationship Id="rId555" Type="http://schemas.openxmlformats.org/officeDocument/2006/relationships/hyperlink" Target="http://aeovision.ai" TargetMode="External"/><Relationship Id="rId559" Type="http://schemas.openxmlformats.org/officeDocument/2006/relationships/hyperlink" Target="http://alwafaagroup.com" TargetMode="External"/><Relationship Id="rId550" Type="http://schemas.openxmlformats.org/officeDocument/2006/relationships/hyperlink" Target="https://www.adcountable.com/" TargetMode="External"/><Relationship Id="rId2470" Type="http://schemas.openxmlformats.org/officeDocument/2006/relationships/hyperlink" Target="http://neuralhorizonsai.com" TargetMode="External"/><Relationship Id="rId1140" Type="http://schemas.openxmlformats.org/officeDocument/2006/relationships/hyperlink" Target="http://innovatedigital.ae" TargetMode="External"/><Relationship Id="rId2471" Type="http://schemas.openxmlformats.org/officeDocument/2006/relationships/hyperlink" Target="https://neurons-lab.com/articles/top-ai-consulting-firms/" TargetMode="External"/><Relationship Id="rId1141" Type="http://schemas.openxmlformats.org/officeDocument/2006/relationships/hyperlink" Target="https://klic.ae/9-digital-marketing-agencies-dubai-2026/" TargetMode="External"/><Relationship Id="rId2472" Type="http://schemas.openxmlformats.org/officeDocument/2006/relationships/hyperlink" Target="http://neurons-lab.com" TargetMode="External"/><Relationship Id="rId1142" Type="http://schemas.openxmlformats.org/officeDocument/2006/relationships/hyperlink" Target="http://klic.ae" TargetMode="External"/><Relationship Id="rId2473" Type="http://schemas.openxmlformats.org/officeDocument/2006/relationships/hyperlink" Target="https://nevolearn.com/blog/%20top-performance-marketing-agencies-dubai" TargetMode="External"/><Relationship Id="rId554" Type="http://schemas.openxmlformats.org/officeDocument/2006/relationships/hyperlink" Target="https://aeovision.ai/articles/best-aeo-geo-agencies-2026/" TargetMode="External"/><Relationship Id="rId1143" Type="http://schemas.openxmlformats.org/officeDocument/2006/relationships/hyperlink" Target="https://lengreo.com/ar/top-answer-engine-optimization-aeo-agencies-for-uae-businesses-in-2025/" TargetMode="External"/><Relationship Id="rId2474" Type="http://schemas.openxmlformats.org/officeDocument/2006/relationships/hyperlink" Target="http://nevolearn.com" TargetMode="External"/><Relationship Id="rId553" Type="http://schemas.openxmlformats.org/officeDocument/2006/relationships/hyperlink" Target="http://aeoagency.org" TargetMode="External"/><Relationship Id="rId1144" Type="http://schemas.openxmlformats.org/officeDocument/2006/relationships/hyperlink" Target="http://lengreo.com" TargetMode="External"/><Relationship Id="rId2475" Type="http://schemas.openxmlformats.org/officeDocument/2006/relationships/hyperlink" Target="https://www.nexa.com/services/voice-ai/" TargetMode="External"/><Relationship Id="rId552" Type="http://schemas.openxmlformats.org/officeDocument/2006/relationships/hyperlink" Target="https://aeoagency.org/best-aeo-agencies/" TargetMode="External"/><Relationship Id="rId1145" Type="http://schemas.openxmlformats.org/officeDocument/2006/relationships/hyperlink" Target="https://liftlab.com/platform/incrementality-testing-engine/" TargetMode="External"/><Relationship Id="rId2476" Type="http://schemas.openxmlformats.org/officeDocument/2006/relationships/hyperlink" Target="http://nexa.com" TargetMode="External"/><Relationship Id="rId551" Type="http://schemas.openxmlformats.org/officeDocument/2006/relationships/hyperlink" Target="http://adcountable.com" TargetMode="External"/><Relationship Id="rId1146" Type="http://schemas.openxmlformats.org/officeDocument/2006/relationships/hyperlink" Target="http://liftlab.com" TargetMode="External"/><Relationship Id="rId2477" Type="http://schemas.openxmlformats.org/officeDocument/2006/relationships/hyperlink" Target="https://www.nextsol.ae/" TargetMode="External"/><Relationship Id="rId2090" Type="http://schemas.openxmlformats.org/officeDocument/2006/relationships/hyperlink" Target="http://goodfirms.co" TargetMode="External"/><Relationship Id="rId2091" Type="http://schemas.openxmlformats.org/officeDocument/2006/relationships/hyperlink" Target="https://www.goodfirms.co/artificial-intelligence/uae" TargetMode="External"/><Relationship Id="rId2092" Type="http://schemas.openxmlformats.org/officeDocument/2006/relationships/hyperlink" Target="http://goodfirms.co" TargetMode="External"/><Relationship Id="rId2093" Type="http://schemas.openxmlformats.org/officeDocument/2006/relationships/hyperlink" Target="https://www.goodfirms.co/seo-agencies/uae" TargetMode="External"/><Relationship Id="rId2094" Type="http://schemas.openxmlformats.org/officeDocument/2006/relationships/hyperlink" Target="http://goodfirms.co" TargetMode="External"/><Relationship Id="rId2095" Type="http://schemas.openxmlformats.org/officeDocument/2006/relationships/hyperlink" Target="https://google.assemblyglobal.com/" TargetMode="External"/><Relationship Id="rId2096" Type="http://schemas.openxmlformats.org/officeDocument/2006/relationships/hyperlink" Target="http://assemblyglobal.com" TargetMode="External"/><Relationship Id="rId2097" Type="http://schemas.openxmlformats.org/officeDocument/2006/relationships/hyperlink" Target="https://www.google.com/searchviewer/10?svid=CAwSGxIZCgNwdnESEkNnc3ZaeTh4ZEdSM2REUmpkdxgK" TargetMode="External"/><Relationship Id="rId2098" Type="http://schemas.openxmlformats.org/officeDocument/2006/relationships/hyperlink" Target="http://google.com" TargetMode="External"/><Relationship Id="rId2099" Type="http://schemas.openxmlformats.org/officeDocument/2006/relationships/hyperlink" Target="https://www.google.com/searchviewer/10?svid=CAwSHBIaCgNwdnESE0Nnd3ZaeTh4Y1RZMFpGOW1ZamcYCg" TargetMode="External"/><Relationship Id="rId2060" Type="http://schemas.openxmlformats.org/officeDocument/2006/relationships/hyperlink" Target="http://geniecrawl.com" TargetMode="External"/><Relationship Id="rId2061" Type="http://schemas.openxmlformats.org/officeDocument/2006/relationships/hyperlink" Target="https://www.geovate.com/" TargetMode="External"/><Relationship Id="rId2062" Type="http://schemas.openxmlformats.org/officeDocument/2006/relationships/hyperlink" Target="http://geovate.com" TargetMode="External"/><Relationship Id="rId2063" Type="http://schemas.openxmlformats.org/officeDocument/2006/relationships/hyperlink" Target="https://www.get-ryze.ai/blog/how-agencies-scale-ad-creative-production" TargetMode="External"/><Relationship Id="rId2064" Type="http://schemas.openxmlformats.org/officeDocument/2006/relationships/hyperlink" Target="http://get-ryze.ai" TargetMode="External"/><Relationship Id="rId2065" Type="http://schemas.openxmlformats.org/officeDocument/2006/relationships/hyperlink" Target="https://www.getkard.com/blog/geo-lift-test-measuring-marketing-incrementality-through-geographic-experiments" TargetMode="External"/><Relationship Id="rId2066" Type="http://schemas.openxmlformats.org/officeDocument/2006/relationships/hyperlink" Target="http://getkard.com" TargetMode="External"/><Relationship Id="rId2067" Type="http://schemas.openxmlformats.org/officeDocument/2006/relationships/hyperlink" Target="https://www.getonwebs.com/data-analytics-insights/" TargetMode="External"/><Relationship Id="rId2068" Type="http://schemas.openxmlformats.org/officeDocument/2006/relationships/hyperlink" Target="http://getonwebs.com" TargetMode="External"/><Relationship Id="rId2069" Type="http://schemas.openxmlformats.org/officeDocument/2006/relationships/hyperlink" Target="https://gigawattgroup.com/insights/best-geo-agencies-in-2026-who-actually-drives-ai-visibility-and-citations/" TargetMode="External"/><Relationship Id="rId2050" Type="http://schemas.openxmlformats.org/officeDocument/2006/relationships/hyperlink" Target="http://gartner.com" TargetMode="External"/><Relationship Id="rId2051" Type="http://schemas.openxmlformats.org/officeDocument/2006/relationships/hyperlink" Target="https://gatewaymarketingdigital.ae/" TargetMode="External"/><Relationship Id="rId495" Type="http://schemas.openxmlformats.org/officeDocument/2006/relationships/hyperlink" Target="http://aeo-collective.com" TargetMode="External"/><Relationship Id="rId2052" Type="http://schemas.openxmlformats.org/officeDocument/2006/relationships/hyperlink" Target="http://gatewaymarketingdigital.ae" TargetMode="External"/><Relationship Id="rId494" Type="http://schemas.openxmlformats.org/officeDocument/2006/relationships/hyperlink" Target="https://aeo-collective.com/blog/top-10-aeo-geo-aio-marketing-agencies-in-april-2026/" TargetMode="External"/><Relationship Id="rId2053" Type="http://schemas.openxmlformats.org/officeDocument/2006/relationships/hyperlink" Target="https://www.gcc-marketing.com/en/ai-automation-agency-dubai/" TargetMode="External"/><Relationship Id="rId493" Type="http://schemas.openxmlformats.org/officeDocument/2006/relationships/hyperlink" Target="http://doorsstudio.com" TargetMode="External"/><Relationship Id="rId2054" Type="http://schemas.openxmlformats.org/officeDocument/2006/relationships/hyperlink" Target="http://gcc-marketing.com" TargetMode="External"/><Relationship Id="rId492" Type="http://schemas.openxmlformats.org/officeDocument/2006/relationships/hyperlink" Target="https://ae.doorsstudio.com/performance-marketing" TargetMode="External"/><Relationship Id="rId2055" Type="http://schemas.openxmlformats.org/officeDocument/2006/relationships/hyperlink" Target="https://www.gcc-marketing.com/en/case-studies/" TargetMode="External"/><Relationship Id="rId499" Type="http://schemas.openxmlformats.org/officeDocument/2006/relationships/hyperlink" Target="http://enhmedia.com" TargetMode="External"/><Relationship Id="rId2056" Type="http://schemas.openxmlformats.org/officeDocument/2006/relationships/hyperlink" Target="http://gcc-marketing.com" TargetMode="External"/><Relationship Id="rId498" Type="http://schemas.openxmlformats.org/officeDocument/2006/relationships/hyperlink" Target="https://ai.enhmedia.com/" TargetMode="External"/><Relationship Id="rId2057" Type="http://schemas.openxmlformats.org/officeDocument/2006/relationships/hyperlink" Target="https://gcctechgroup.com/generative-engine-optimization-agency-dubai/" TargetMode="External"/><Relationship Id="rId497" Type="http://schemas.openxmlformats.org/officeDocument/2006/relationships/hyperlink" Target="http://semrush.com" TargetMode="External"/><Relationship Id="rId2058" Type="http://schemas.openxmlformats.org/officeDocument/2006/relationships/hyperlink" Target="http://gcctechgroup.com" TargetMode="External"/><Relationship Id="rId496" Type="http://schemas.openxmlformats.org/officeDocument/2006/relationships/hyperlink" Target="https://agencies.semrush.com/list/ppc/dubai/" TargetMode="External"/><Relationship Id="rId2059" Type="http://schemas.openxmlformats.org/officeDocument/2006/relationships/hyperlink" Target="https://www.geniecrawl.com/top-50-geo-and-ai-marketing-agencies-in-the-uk-2026-rankings/" TargetMode="External"/><Relationship Id="rId2080" Type="http://schemas.openxmlformats.org/officeDocument/2006/relationships/hyperlink" Target="http://globalsurf.ae" TargetMode="External"/><Relationship Id="rId2081" Type="http://schemas.openxmlformats.org/officeDocument/2006/relationships/hyperlink" Target="https://glomm.co/top-answer-engine-optimization-aeo-agencies-in-dubai/" TargetMode="External"/><Relationship Id="rId2082" Type="http://schemas.openxmlformats.org/officeDocument/2006/relationships/hyperlink" Target="http://glomm.co" TargetMode="External"/><Relationship Id="rId2083" Type="http://schemas.openxmlformats.org/officeDocument/2006/relationships/hyperlink" Target="https://glomm.co/top-social-media-marketing-agencies-in-dubai-compared/" TargetMode="External"/><Relationship Id="rId2084" Type="http://schemas.openxmlformats.org/officeDocument/2006/relationships/hyperlink" Target="http://glomm.co" TargetMode="External"/><Relationship Id="rId2085" Type="http://schemas.openxmlformats.org/officeDocument/2006/relationships/hyperlink" Target="https://gmp.incubeta.com/dv360-licensing" TargetMode="External"/><Relationship Id="rId2086" Type="http://schemas.openxmlformats.org/officeDocument/2006/relationships/hyperlink" Target="http://incubeta.com" TargetMode="External"/><Relationship Id="rId2087" Type="http://schemas.openxmlformats.org/officeDocument/2006/relationships/hyperlink" Target="https://www.goodfirms.co/advertising-companies/dubai" TargetMode="External"/><Relationship Id="rId2088" Type="http://schemas.openxmlformats.org/officeDocument/2006/relationships/hyperlink" Target="http://goodfirms.co" TargetMode="External"/><Relationship Id="rId2089" Type="http://schemas.openxmlformats.org/officeDocument/2006/relationships/hyperlink" Target="https://www.goodfirms.co/artificial-intelligence/abu-dhabi" TargetMode="External"/><Relationship Id="rId2070" Type="http://schemas.openxmlformats.org/officeDocument/2006/relationships/hyperlink" Target="http://gigawattgroup.com" TargetMode="External"/><Relationship Id="rId2071" Type="http://schemas.openxmlformats.org/officeDocument/2006/relationships/hyperlink" Target="https://gitnux.org/service/uae-digital-marketing/" TargetMode="External"/><Relationship Id="rId2072" Type="http://schemas.openxmlformats.org/officeDocument/2006/relationships/hyperlink" Target="http://gitnux.org" TargetMode="External"/><Relationship Id="rId2073" Type="http://schemas.openxmlformats.org/officeDocument/2006/relationships/hyperlink" Target="https://www.globalmediainsight.com/" TargetMode="External"/><Relationship Id="rId2074" Type="http://schemas.openxmlformats.org/officeDocument/2006/relationships/hyperlink" Target="http://globalmediainsight.com" TargetMode="External"/><Relationship Id="rId2075" Type="http://schemas.openxmlformats.org/officeDocument/2006/relationships/hyperlink" Target="https://www.globalmediainsight.com/digital-analytics-dashboard/" TargetMode="External"/><Relationship Id="rId2076" Type="http://schemas.openxmlformats.org/officeDocument/2006/relationships/hyperlink" Target="http://globalmediainsight.com" TargetMode="External"/><Relationship Id="rId2077" Type="http://schemas.openxmlformats.org/officeDocument/2006/relationships/hyperlink" Target="https://www.globalmediainsight.com/seo-company-dubai/" TargetMode="External"/><Relationship Id="rId2078" Type="http://schemas.openxmlformats.org/officeDocument/2006/relationships/hyperlink" Target="http://globalmediainsight.com" TargetMode="External"/><Relationship Id="rId2079" Type="http://schemas.openxmlformats.org/officeDocument/2006/relationships/hyperlink" Target="https://www.globalsurf.ae/generative-engine-optimization" TargetMode="External"/><Relationship Id="rId2940" Type="http://schemas.openxmlformats.org/officeDocument/2006/relationships/hyperlink" Target="http://z2adigital.com" TargetMode="External"/><Relationship Id="rId1610" Type="http://schemas.openxmlformats.org/officeDocument/2006/relationships/hyperlink" Target="http://affinco.com" TargetMode="External"/><Relationship Id="rId2941" Type="http://schemas.openxmlformats.org/officeDocument/2006/relationships/hyperlink" Target="https://www.zawya.com/en/press-release/companies-news/trkkn-mena-becomes-a-google-cloud-platform-premier-partner-fbvjvryz" TargetMode="External"/><Relationship Id="rId1611" Type="http://schemas.openxmlformats.org/officeDocument/2006/relationships/hyperlink" Target="https://agencies.semrush.com/legend1st-marketing-and-mobile-applications-fze-llc/" TargetMode="External"/><Relationship Id="rId2942" Type="http://schemas.openxmlformats.org/officeDocument/2006/relationships/hyperlink" Target="http://zawya.com" TargetMode="External"/><Relationship Id="rId1612" Type="http://schemas.openxmlformats.org/officeDocument/2006/relationships/hyperlink" Target="http://semrush.com" TargetMode="External"/><Relationship Id="rId2943" Type="http://schemas.openxmlformats.org/officeDocument/2006/relationships/hyperlink" Target="https://www.zawya.com/en/press-release/companies-news/uae-startups-lead-the-regions-adoption-of-generative-engine-optimization-as-ai-reshapes-business-discovery-gma2h0gc" TargetMode="External"/><Relationship Id="rId1613" Type="http://schemas.openxmlformats.org/officeDocument/2006/relationships/hyperlink" Target="https://agencies.semrush.com/list/ai-optimization/united-arab-emirates/enterprise-business/" TargetMode="External"/><Relationship Id="rId2944" Type="http://schemas.openxmlformats.org/officeDocument/2006/relationships/hyperlink" Target="http://zawya.com" TargetMode="External"/><Relationship Id="rId1614" Type="http://schemas.openxmlformats.org/officeDocument/2006/relationships/hyperlink" Target="http://semrush.com" TargetMode="External"/><Relationship Id="rId2945" Type="http://schemas.openxmlformats.org/officeDocument/2006/relationships/hyperlink" Target="https://zenerom.ae/seo-services/aeo-services/" TargetMode="External"/><Relationship Id="rId1615" Type="http://schemas.openxmlformats.org/officeDocument/2006/relationships/hyperlink" Target="https://agencies.semrush.com/list/analytics-data-science/dubai/" TargetMode="External"/><Relationship Id="rId2946" Type="http://schemas.openxmlformats.org/officeDocument/2006/relationships/hyperlink" Target="http://zenerom.ae" TargetMode="External"/><Relationship Id="rId1616" Type="http://schemas.openxmlformats.org/officeDocument/2006/relationships/hyperlink" Target="http://semrush.com" TargetMode="External"/><Relationship Id="rId2947" Type="http://schemas.openxmlformats.org/officeDocument/2006/relationships/hyperlink" Target="https://zenerom.ae/seo-services/geo-services/" TargetMode="External"/><Relationship Id="rId907" Type="http://schemas.openxmlformats.org/officeDocument/2006/relationships/hyperlink" Target="https://www.astudio.ae/creative-digital-agency/" TargetMode="External"/><Relationship Id="rId1617" Type="http://schemas.openxmlformats.org/officeDocument/2006/relationships/hyperlink" Target="https://agencies.semrush.com/list/display-advertising/ecommerce/dubai/" TargetMode="External"/><Relationship Id="rId2948" Type="http://schemas.openxmlformats.org/officeDocument/2006/relationships/hyperlink" Target="http://zenerom.ae" TargetMode="External"/><Relationship Id="rId906" Type="http://schemas.openxmlformats.org/officeDocument/2006/relationships/hyperlink" Target="http://alstudio.ai" TargetMode="External"/><Relationship Id="rId1618" Type="http://schemas.openxmlformats.org/officeDocument/2006/relationships/hyperlink" Target="http://semrush.com" TargetMode="External"/><Relationship Id="rId2949" Type="http://schemas.openxmlformats.org/officeDocument/2006/relationships/hyperlink" Target="https://zetaglobal.com/resource-center/ai-first-party-data-agency-growth/" TargetMode="External"/><Relationship Id="rId905" Type="http://schemas.openxmlformats.org/officeDocument/2006/relationships/hyperlink" Target="https://alstudio.ai/ar/blog/top-agencies" TargetMode="External"/><Relationship Id="rId1619" Type="http://schemas.openxmlformats.org/officeDocument/2006/relationships/hyperlink" Target="https://agencies.semrush.com/list/los-angeles/" TargetMode="External"/><Relationship Id="rId904" Type="http://schemas.openxmlformats.org/officeDocument/2006/relationships/hyperlink" Target="http://aimarketingpro.ae" TargetMode="External"/><Relationship Id="rId909" Type="http://schemas.openxmlformats.org/officeDocument/2006/relationships/hyperlink" Target="https://www.avinityconsulting.com/" TargetMode="External"/><Relationship Id="rId908" Type="http://schemas.openxmlformats.org/officeDocument/2006/relationships/hyperlink" Target="http://astudio.ae" TargetMode="External"/><Relationship Id="rId903" Type="http://schemas.openxmlformats.org/officeDocument/2006/relationships/hyperlink" Target="https://aimarketingpro.ae/services/ai-powered-seo/" TargetMode="External"/><Relationship Id="rId902" Type="http://schemas.openxmlformats.org/officeDocument/2006/relationships/hyperlink" Target="http://semrush.com" TargetMode="External"/><Relationship Id="rId901" Type="http://schemas.openxmlformats.org/officeDocument/2006/relationships/hyperlink" Target="https://agencies.semrush.com/list/analytics-data-science/business-professional-services/dubai/" TargetMode="External"/><Relationship Id="rId900" Type="http://schemas.openxmlformats.org/officeDocument/2006/relationships/hyperlink" Target="http://webtonic.io" TargetMode="External"/><Relationship Id="rId2930" Type="http://schemas.openxmlformats.org/officeDocument/2006/relationships/hyperlink" Target="http://yall.co" TargetMode="External"/><Relationship Id="rId1600" Type="http://schemas.openxmlformats.org/officeDocument/2006/relationships/hyperlink" Target="https://ae.linkedin.com/in/sumedh-gaikwad-b3799854" TargetMode="External"/><Relationship Id="rId2931" Type="http://schemas.openxmlformats.org/officeDocument/2006/relationships/hyperlink" Target="https://www.yesoptimist.com/aeo-agency/" TargetMode="External"/><Relationship Id="rId1601" Type="http://schemas.openxmlformats.org/officeDocument/2006/relationships/hyperlink" Target="http://linkedin.com" TargetMode="External"/><Relationship Id="rId2932" Type="http://schemas.openxmlformats.org/officeDocument/2006/relationships/hyperlink" Target="http://yesoptimist.com" TargetMode="External"/><Relationship Id="rId1602" Type="http://schemas.openxmlformats.org/officeDocument/2006/relationships/hyperlink" Target="https://aeo.ltd/services/ai-search-optimization/" TargetMode="External"/><Relationship Id="rId2933" Type="http://schemas.openxmlformats.org/officeDocument/2006/relationships/hyperlink" Target="https://www.yesoptimist.com/best-aeo-agencies/" TargetMode="External"/><Relationship Id="rId1603" Type="http://schemas.openxmlformats.org/officeDocument/2006/relationships/hyperlink" Target="https://www.aeoera.com/" TargetMode="External"/><Relationship Id="rId2934" Type="http://schemas.openxmlformats.org/officeDocument/2006/relationships/hyperlink" Target="http://yesoptimist.com" TargetMode="External"/><Relationship Id="rId1604" Type="http://schemas.openxmlformats.org/officeDocument/2006/relationships/hyperlink" Target="http://aeoera.com" TargetMode="External"/><Relationship Id="rId2935" Type="http://schemas.openxmlformats.org/officeDocument/2006/relationships/hyperlink" Target="https://www.yesoptimist.com/best-geo-agencies/" TargetMode="External"/><Relationship Id="rId1605" Type="http://schemas.openxmlformats.org/officeDocument/2006/relationships/hyperlink" Target="https://aeon-movies.com/" TargetMode="External"/><Relationship Id="rId2936" Type="http://schemas.openxmlformats.org/officeDocument/2006/relationships/hyperlink" Target="http://yesoptimist.com" TargetMode="External"/><Relationship Id="rId1606" Type="http://schemas.openxmlformats.org/officeDocument/2006/relationships/hyperlink" Target="http://aeon-movies.com" TargetMode="External"/><Relationship Id="rId2937" Type="http://schemas.openxmlformats.org/officeDocument/2006/relationships/hyperlink" Target="https://www.youtube.com/watch?v=_6r4JfsFDAQ" TargetMode="External"/><Relationship Id="rId1607" Type="http://schemas.openxmlformats.org/officeDocument/2006/relationships/hyperlink" Target="https://www.aerobusinesssolutions.com/blog/seo-companies-in-uae/" TargetMode="External"/><Relationship Id="rId2938" Type="http://schemas.openxmlformats.org/officeDocument/2006/relationships/hyperlink" Target="http://youtube.com" TargetMode="External"/><Relationship Id="rId1608" Type="http://schemas.openxmlformats.org/officeDocument/2006/relationships/hyperlink" Target="http://aerobusinesssolutions.com" TargetMode="External"/><Relationship Id="rId2939" Type="http://schemas.openxmlformats.org/officeDocument/2006/relationships/hyperlink" Target="https://www.z2adigital.com/blog-content/incrementality-testing-guide" TargetMode="External"/><Relationship Id="rId1609" Type="http://schemas.openxmlformats.org/officeDocument/2006/relationships/hyperlink" Target="https://affinco.com/" TargetMode="External"/><Relationship Id="rId1631" Type="http://schemas.openxmlformats.org/officeDocument/2006/relationships/hyperlink" Target="https://www.ai-heroes.co/en-us/blog/best-ai-search-agencies-2026" TargetMode="External"/><Relationship Id="rId2962" Type="http://schemas.openxmlformats.org/officeDocument/2006/relationships/hyperlink" Target="http://zyppy.com" TargetMode="External"/><Relationship Id="rId1632" Type="http://schemas.openxmlformats.org/officeDocument/2006/relationships/hyperlink" Target="http://ai-heroes.co" TargetMode="External"/><Relationship Id="rId2963" Type="http://schemas.openxmlformats.org/officeDocument/2006/relationships/drawing" Target="../drawings/drawing2.xml"/><Relationship Id="rId1633" Type="http://schemas.openxmlformats.org/officeDocument/2006/relationships/hyperlink" Target="https://ai-solutions.daviesmeyer.com/en/blog/marketing-measurement-2026-guide" TargetMode="External"/><Relationship Id="rId1634" Type="http://schemas.openxmlformats.org/officeDocument/2006/relationships/hyperlink" Target="http://daviesmeyer.com" TargetMode="External"/><Relationship Id="rId1635" Type="http://schemas.openxmlformats.org/officeDocument/2006/relationships/hyperlink" Target="https://ai-solutions.daviesmeyer.com/en/resources/measurement-attribution-hub" TargetMode="External"/><Relationship Id="rId1636" Type="http://schemas.openxmlformats.org/officeDocument/2006/relationships/hyperlink" Target="http://daviesmeyer.com" TargetMode="External"/><Relationship Id="rId1637" Type="http://schemas.openxmlformats.org/officeDocument/2006/relationships/hyperlink" Target="https://www.ai360review.com/" TargetMode="External"/><Relationship Id="rId1638" Type="http://schemas.openxmlformats.org/officeDocument/2006/relationships/hyperlink" Target="http://ai360review.com" TargetMode="External"/><Relationship Id="rId929" Type="http://schemas.openxmlformats.org/officeDocument/2006/relationships/hyperlink" Target="http://clutch.co" TargetMode="External"/><Relationship Id="rId1639" Type="http://schemas.openxmlformats.org/officeDocument/2006/relationships/hyperlink" Target="https://aidatalizer.com/blog/best-ai-marketing-agency-in-dubai-for-b2b-growth-in-2026/" TargetMode="External"/><Relationship Id="rId928" Type="http://schemas.openxmlformats.org/officeDocument/2006/relationships/hyperlink" Target="https://clutch.co/ae/consulting/ai/maturation" TargetMode="External"/><Relationship Id="rId927" Type="http://schemas.openxmlformats.org/officeDocument/2006/relationships/hyperlink" Target="http://clutch.co" TargetMode="External"/><Relationship Id="rId926" Type="http://schemas.openxmlformats.org/officeDocument/2006/relationships/hyperlink" Target="https://clutch.co/ae/consulting/ai" TargetMode="External"/><Relationship Id="rId921" Type="http://schemas.openxmlformats.org/officeDocument/2006/relationships/hyperlink" Target="http://google.com" TargetMode="External"/><Relationship Id="rId920" Type="http://schemas.openxmlformats.org/officeDocument/2006/relationships/hyperlink" Target="https://business.google.com/us/think/measurement/incrementality-testing/" TargetMode="External"/><Relationship Id="rId925" Type="http://schemas.openxmlformats.org/officeDocument/2006/relationships/hyperlink" Target="http://clutch.co" TargetMode="External"/><Relationship Id="rId924" Type="http://schemas.openxmlformats.org/officeDocument/2006/relationships/hyperlink" Target="https://clutch.co/ae/agencies/programmatic/dubai" TargetMode="External"/><Relationship Id="rId923" Type="http://schemas.openxmlformats.org/officeDocument/2006/relationships/hyperlink" Target="http://clutch.co" TargetMode="External"/><Relationship Id="rId922" Type="http://schemas.openxmlformats.org/officeDocument/2006/relationships/hyperlink" Target="https://clutch.co/ae/agencies/ppc/advertising-industry/dubai" TargetMode="External"/><Relationship Id="rId2960" Type="http://schemas.openxmlformats.org/officeDocument/2006/relationships/hyperlink" Target="http://zyppy.com" TargetMode="External"/><Relationship Id="rId1630" Type="http://schemas.openxmlformats.org/officeDocument/2006/relationships/hyperlink" Target="http://agencyhelix.com" TargetMode="External"/><Relationship Id="rId2961" Type="http://schemas.openxmlformats.org/officeDocument/2006/relationships/hyperlink" Target="https://zyppy.com/companies/e-cens/" TargetMode="External"/><Relationship Id="rId1620" Type="http://schemas.openxmlformats.org/officeDocument/2006/relationships/hyperlink" Target="http://semrush.com" TargetMode="External"/><Relationship Id="rId2951" Type="http://schemas.openxmlformats.org/officeDocument/2006/relationships/hyperlink" Target="https://www.zionmarketresearch.com/report/artificial-intelligence-ai-consulting-market" TargetMode="External"/><Relationship Id="rId1621" Type="http://schemas.openxmlformats.org/officeDocument/2006/relationships/hyperlink" Target="https://agencies.semrush.com/list/ppc/ecommerce/united-arab-emirates/" TargetMode="External"/><Relationship Id="rId2952" Type="http://schemas.openxmlformats.org/officeDocument/2006/relationships/hyperlink" Target="http://zionmarketresearch.com" TargetMode="External"/><Relationship Id="rId1622" Type="http://schemas.openxmlformats.org/officeDocument/2006/relationships/hyperlink" Target="http://semrush.com" TargetMode="External"/><Relationship Id="rId2953" Type="http://schemas.openxmlformats.org/officeDocument/2006/relationships/hyperlink" Target="https://www.ziprecruiter.com/e/Tier-One-Marketing-Who-are-the-big-4-in-marketing" TargetMode="External"/><Relationship Id="rId1623" Type="http://schemas.openxmlformats.org/officeDocument/2006/relationships/hyperlink" Target="https://agencies.semrush.com/list/programmatic-advertising/dubai/" TargetMode="External"/><Relationship Id="rId2954" Type="http://schemas.openxmlformats.org/officeDocument/2006/relationships/hyperlink" Target="http://ziprecruiter.com" TargetMode="External"/><Relationship Id="rId1624" Type="http://schemas.openxmlformats.org/officeDocument/2006/relationships/hyperlink" Target="http://semrush.com" TargetMode="External"/><Relationship Id="rId2955" Type="http://schemas.openxmlformats.org/officeDocument/2006/relationships/hyperlink" Target="https://zoomdigital.ae/services/omnichannel-marketing/" TargetMode="External"/><Relationship Id="rId1625" Type="http://schemas.openxmlformats.org/officeDocument/2006/relationships/hyperlink" Target="https://agencies.semrush.com/list/programmatic-advertising/united-arab-emirates/" TargetMode="External"/><Relationship Id="rId2956" Type="http://schemas.openxmlformats.org/officeDocument/2006/relationships/hyperlink" Target="http://zoomdigital.ae" TargetMode="External"/><Relationship Id="rId1626" Type="http://schemas.openxmlformats.org/officeDocument/2006/relationships/hyperlink" Target="http://semrush.com" TargetMode="External"/><Relationship Id="rId2957" Type="http://schemas.openxmlformats.org/officeDocument/2006/relationships/hyperlink" Target="https://zoomdigital.ae/services/performance-marketing/" TargetMode="External"/><Relationship Id="rId1627" Type="http://schemas.openxmlformats.org/officeDocument/2006/relationships/hyperlink" Target="https://agencyaeo.com/" TargetMode="External"/><Relationship Id="rId2958" Type="http://schemas.openxmlformats.org/officeDocument/2006/relationships/hyperlink" Target="http://zoomdigital.ae" TargetMode="External"/><Relationship Id="rId918" Type="http://schemas.openxmlformats.org/officeDocument/2006/relationships/hyperlink" Target="https://www.bizcommunity.com/article/the-one-club-for-creativity-reveals-2025-global-rankings-627131a" TargetMode="External"/><Relationship Id="rId1628" Type="http://schemas.openxmlformats.org/officeDocument/2006/relationships/hyperlink" Target="http://agencyaeo.com" TargetMode="External"/><Relationship Id="rId2959" Type="http://schemas.openxmlformats.org/officeDocument/2006/relationships/hyperlink" Target="https://zyppy.com/companies/c/analytics-data/united-arab-emirates/dubai/" TargetMode="External"/><Relationship Id="rId917" Type="http://schemas.openxmlformats.org/officeDocument/2006/relationships/hyperlink" Target="http://bird.ae" TargetMode="External"/><Relationship Id="rId1629" Type="http://schemas.openxmlformats.org/officeDocument/2006/relationships/hyperlink" Target="https://agencyhelix.com/blog/best-social-media-agencies-in-dubai/" TargetMode="External"/><Relationship Id="rId916" Type="http://schemas.openxmlformats.org/officeDocument/2006/relationships/hyperlink" Target="https://bird.ae/" TargetMode="External"/><Relationship Id="rId915" Type="http://schemas.openxmlformats.org/officeDocument/2006/relationships/hyperlink" Target="http://biglab.ae" TargetMode="External"/><Relationship Id="rId919" Type="http://schemas.openxmlformats.org/officeDocument/2006/relationships/hyperlink" Target="http://bizcommunity.com" TargetMode="External"/><Relationship Id="rId910" Type="http://schemas.openxmlformats.org/officeDocument/2006/relationships/hyperlink" Target="http://avinityconsulting.com" TargetMode="External"/><Relationship Id="rId914" Type="http://schemas.openxmlformats.org/officeDocument/2006/relationships/hyperlink" Target="https://biglab.ae/services/seo/ai-search-geo/" TargetMode="External"/><Relationship Id="rId913" Type="http://schemas.openxmlformats.org/officeDocument/2006/relationships/hyperlink" Target="https://www.beyond.agency/ai-agency/dubai" TargetMode="External"/><Relationship Id="rId912" Type="http://schemas.openxmlformats.org/officeDocument/2006/relationships/hyperlink" Target="http://bconic.com" TargetMode="External"/><Relationship Id="rId911" Type="http://schemas.openxmlformats.org/officeDocument/2006/relationships/hyperlink" Target="https://bconic.com/" TargetMode="External"/><Relationship Id="rId2950" Type="http://schemas.openxmlformats.org/officeDocument/2006/relationships/hyperlink" Target="http://zetaglobal.com" TargetMode="External"/><Relationship Id="rId2900" Type="http://schemas.openxmlformats.org/officeDocument/2006/relationships/hyperlink" Target="https://www.webtonic.io/blog/best-performance-marketing-agencies" TargetMode="External"/><Relationship Id="rId2901" Type="http://schemas.openxmlformats.org/officeDocument/2006/relationships/hyperlink" Target="http://webtonic.io" TargetMode="External"/><Relationship Id="rId2902" Type="http://schemas.openxmlformats.org/officeDocument/2006/relationships/hyperlink" Target="https://www.webtonic.io/blog/top-content-creation-agencies-dubai" TargetMode="External"/><Relationship Id="rId2903" Type="http://schemas.openxmlformats.org/officeDocument/2006/relationships/hyperlink" Target="http://webtonic.io" TargetMode="External"/><Relationship Id="rId2904" Type="http://schemas.openxmlformats.org/officeDocument/2006/relationships/hyperlink" Target="https://www.webtonic.io/blog/top-social-media-marketing-agencies-dubai" TargetMode="External"/><Relationship Id="rId2905" Type="http://schemas.openxmlformats.org/officeDocument/2006/relationships/hyperlink" Target="http://webtonic.io" TargetMode="External"/><Relationship Id="rId2906" Type="http://schemas.openxmlformats.org/officeDocument/2006/relationships/hyperlink" Target="https://www.weforum.org/stories/2026/06/ai-workplace-adoption-readiness/" TargetMode="External"/><Relationship Id="rId2907" Type="http://schemas.openxmlformats.org/officeDocument/2006/relationships/hyperlink" Target="http://weforum.org" TargetMode="External"/><Relationship Id="rId2908" Type="http://schemas.openxmlformats.org/officeDocument/2006/relationships/hyperlink" Target="https://werunads.studio/" TargetMode="External"/><Relationship Id="rId2909" Type="http://schemas.openxmlformats.org/officeDocument/2006/relationships/hyperlink" Target="https://wide-wings.ae/analytics-performance-marketing/" TargetMode="External"/><Relationship Id="rId2920" Type="http://schemas.openxmlformats.org/officeDocument/2006/relationships/hyperlink" Target="http://fundsforngos.org" TargetMode="External"/><Relationship Id="rId2921" Type="http://schemas.openxmlformats.org/officeDocument/2006/relationships/hyperlink" Target="https://wynter.com/post/roa-marketing" TargetMode="External"/><Relationship Id="rId2922" Type="http://schemas.openxmlformats.org/officeDocument/2006/relationships/hyperlink" Target="http://wynter.com" TargetMode="External"/><Relationship Id="rId2923" Type="http://schemas.openxmlformats.org/officeDocument/2006/relationships/hyperlink" Target="https://x3cs.com/best-digital-marketing-agencies-uae/" TargetMode="External"/><Relationship Id="rId2924" Type="http://schemas.openxmlformats.org/officeDocument/2006/relationships/hyperlink" Target="http://x3cs.com" TargetMode="External"/><Relationship Id="rId2925" Type="http://schemas.openxmlformats.org/officeDocument/2006/relationships/hyperlink" Target="https://xrtechgroup.com/geospatial-solutions-company-in-dubai-uae/" TargetMode="External"/><Relationship Id="rId2926" Type="http://schemas.openxmlformats.org/officeDocument/2006/relationships/hyperlink" Target="http://xrtechgroup.com" TargetMode="External"/><Relationship Id="rId2927" Type="http://schemas.openxmlformats.org/officeDocument/2006/relationships/hyperlink" Target="https://xyagent.ai/ai-readiness-assessment/" TargetMode="External"/><Relationship Id="rId2928" Type="http://schemas.openxmlformats.org/officeDocument/2006/relationships/hyperlink" Target="http://xyagent.ai" TargetMode="External"/><Relationship Id="rId2929" Type="http://schemas.openxmlformats.org/officeDocument/2006/relationships/hyperlink" Target="https://www.yall.co/post/top-dtc-performance-creative-agencies-in-2026" TargetMode="External"/><Relationship Id="rId2910" Type="http://schemas.openxmlformats.org/officeDocument/2006/relationships/hyperlink" Target="http://wide-wings.ae" TargetMode="External"/><Relationship Id="rId2911" Type="http://schemas.openxmlformats.org/officeDocument/2006/relationships/hyperlink" Target="https://www.workmagic.io/" TargetMode="External"/><Relationship Id="rId2912" Type="http://schemas.openxmlformats.org/officeDocument/2006/relationships/hyperlink" Target="http://workmagic.io" TargetMode="External"/><Relationship Id="rId2913" Type="http://schemas.openxmlformats.org/officeDocument/2006/relationships/hyperlink" Target="https://www.workmagic.io/academy-course/what-is-incrementality" TargetMode="External"/><Relationship Id="rId2914" Type="http://schemas.openxmlformats.org/officeDocument/2006/relationships/hyperlink" Target="http://workmagic.io" TargetMode="External"/><Relationship Id="rId2915" Type="http://schemas.openxmlformats.org/officeDocument/2006/relationships/hyperlink" Target="https://worldhappinesscode.com/ae/blog/top-advertising-agencies-in-dubai-why-they-dominate-the-regional-market/" TargetMode="External"/><Relationship Id="rId2916" Type="http://schemas.openxmlformats.org/officeDocument/2006/relationships/hyperlink" Target="http://worldhappinesscode.com" TargetMode="External"/><Relationship Id="rId2917" Type="http://schemas.openxmlformats.org/officeDocument/2006/relationships/hyperlink" Target="https://worldmetrics.org/service/uae-digital-marketing/" TargetMode="External"/><Relationship Id="rId2918" Type="http://schemas.openxmlformats.org/officeDocument/2006/relationships/hyperlink" Target="http://worldmetrics.org" TargetMode="External"/><Relationship Id="rId2919" Type="http://schemas.openxmlformats.org/officeDocument/2006/relationships/hyperlink" Target="https://www2.fundsforngos.org/innovation/open-call-accelerating-ai-readiness-and-adoption-united-states/" TargetMode="External"/><Relationship Id="rId1213" Type="http://schemas.openxmlformats.org/officeDocument/2006/relationships/hyperlink" Target="https://www.youtube.com/watch?v=PYot-krI4rA" TargetMode="External"/><Relationship Id="rId1697" Type="http://schemas.openxmlformats.org/officeDocument/2006/relationships/hyperlink" Target="http://attnagency.com" TargetMode="External"/><Relationship Id="rId2544" Type="http://schemas.openxmlformats.org/officeDocument/2006/relationships/hyperlink" Target="https://pointconsultancy.com/blog/branding-ideas-for-small-business-in-dubai/" TargetMode="External"/><Relationship Id="rId1214" Type="http://schemas.openxmlformats.org/officeDocument/2006/relationships/hyperlink" Target="http://youtube.com" TargetMode="External"/><Relationship Id="rId1698" Type="http://schemas.openxmlformats.org/officeDocument/2006/relationships/hyperlink" Target="https://www.attributionapp.com/multi-touch-attribution-software/" TargetMode="External"/><Relationship Id="rId2545" Type="http://schemas.openxmlformats.org/officeDocument/2006/relationships/hyperlink" Target="http://pointconsultancy.com" TargetMode="External"/><Relationship Id="rId1215" Type="http://schemas.openxmlformats.org/officeDocument/2006/relationships/hyperlink" Target="https://www.10seos.com/ae/display-advertising-companies-in-dubai-uae?page=2" TargetMode="External"/><Relationship Id="rId1699" Type="http://schemas.openxmlformats.org/officeDocument/2006/relationships/hyperlink" Target="http://attributionapp.com" TargetMode="External"/><Relationship Id="rId2546" Type="http://schemas.openxmlformats.org/officeDocument/2006/relationships/hyperlink" Target="https://www.popcomms.ae/" TargetMode="External"/><Relationship Id="rId1216" Type="http://schemas.openxmlformats.org/officeDocument/2006/relationships/hyperlink" Target="http://10seos.com" TargetMode="External"/><Relationship Id="rId2547" Type="http://schemas.openxmlformats.org/officeDocument/2006/relationships/hyperlink" Target="http://popcomms.ae" TargetMode="External"/><Relationship Id="rId1217" Type="http://schemas.openxmlformats.org/officeDocument/2006/relationships/hyperlink" Target="https://www.2pointagency.com/glossary/data-activation-and-first-party-data-strategy-a-comprehensive-guide-for-businesses/" TargetMode="External"/><Relationship Id="rId2548" Type="http://schemas.openxmlformats.org/officeDocument/2006/relationships/hyperlink" Target="https://www.position.digital/blog/top-geo-agencies/" TargetMode="External"/><Relationship Id="rId1218" Type="http://schemas.openxmlformats.org/officeDocument/2006/relationships/hyperlink" Target="http://2pointagency.com" TargetMode="External"/><Relationship Id="rId2549" Type="http://schemas.openxmlformats.org/officeDocument/2006/relationships/hyperlink" Target="https://www.prism-me.com/blog/ai-based-attribution-model-%20explained-5-questions-every-executive-is-asking-in-2026" TargetMode="External"/><Relationship Id="rId1219" Type="http://schemas.openxmlformats.org/officeDocument/2006/relationships/hyperlink" Target="https://www.3rdscreendigital.com/blog/best-performance-marketing-agency-dubai-uae" TargetMode="External"/><Relationship Id="rId866" Type="http://schemas.openxmlformats.org/officeDocument/2006/relationships/hyperlink" Target="http://ogilvy.com" TargetMode="External"/><Relationship Id="rId865" Type="http://schemas.openxmlformats.org/officeDocument/2006/relationships/hyperlink" Target="https://www.ogilvy.com/ae/about" TargetMode="External"/><Relationship Id="rId864" Type="http://schemas.openxmlformats.org/officeDocument/2006/relationships/hyperlink" Target="http://medium.com" TargetMode="External"/><Relationship Id="rId863" Type="http://schemas.openxmlformats.org/officeDocument/2006/relationships/hyperlink" Target="https://medium.com/@tweet2faizal/best-70-digital-marketing-agencies-in-uae-a893126b7674" TargetMode="External"/><Relationship Id="rId869" Type="http://schemas.openxmlformats.org/officeDocument/2006/relationships/hyperlink" Target="https://www.planaletix.com/" TargetMode="External"/><Relationship Id="rId868" Type="http://schemas.openxmlformats.org/officeDocument/2006/relationships/hyperlink" Target="http://outdooradvertisinguae.com" TargetMode="External"/><Relationship Id="rId867" Type="http://schemas.openxmlformats.org/officeDocument/2006/relationships/hyperlink" Target="https://outdooradvertisinguae.com/" TargetMode="External"/><Relationship Id="rId1690" Type="http://schemas.openxmlformats.org/officeDocument/2006/relationships/hyperlink" Target="https://www.askneedle.com/blog/best-ecommerce-marketing-agencies" TargetMode="External"/><Relationship Id="rId1691" Type="http://schemas.openxmlformats.org/officeDocument/2006/relationships/hyperlink" Target="http://askneedle.com" TargetMode="External"/><Relationship Id="rId1692" Type="http://schemas.openxmlformats.org/officeDocument/2006/relationships/hyperlink" Target="https://www.astudio.ae/digital-marketing-agency/social-media-marketing/" TargetMode="External"/><Relationship Id="rId862" Type="http://schemas.openxmlformats.org/officeDocument/2006/relationships/hyperlink" Target="http://measured.com" TargetMode="External"/><Relationship Id="rId1693" Type="http://schemas.openxmlformats.org/officeDocument/2006/relationships/hyperlink" Target="http://astudio.ae" TargetMode="External"/><Relationship Id="rId2540" Type="http://schemas.openxmlformats.org/officeDocument/2006/relationships/hyperlink" Target="https://phloz.com/blog/incrementality-testing-for-agencies" TargetMode="External"/><Relationship Id="rId861" Type="http://schemas.openxmlformats.org/officeDocument/2006/relationships/hyperlink" Target="https://www.measured.com/" TargetMode="External"/><Relationship Id="rId1210" Type="http://schemas.openxmlformats.org/officeDocument/2006/relationships/hyperlink" Target="http://wittwise.com" TargetMode="External"/><Relationship Id="rId1694" Type="http://schemas.openxmlformats.org/officeDocument/2006/relationships/hyperlink" Target="https://www.atlasdigital.co/startups" TargetMode="External"/><Relationship Id="rId2541" Type="http://schemas.openxmlformats.org/officeDocument/2006/relationships/hyperlink" Target="http://phloz.com" TargetMode="External"/><Relationship Id="rId860" Type="http://schemas.openxmlformats.org/officeDocument/2006/relationships/hyperlink" Target="http://google.com" TargetMode="External"/><Relationship Id="rId1211" Type="http://schemas.openxmlformats.org/officeDocument/2006/relationships/hyperlink" Target="https://ycp.com/lp/uae-ai-consultant" TargetMode="External"/><Relationship Id="rId1695" Type="http://schemas.openxmlformats.org/officeDocument/2006/relationships/hyperlink" Target="http://atlasdigital.co" TargetMode="External"/><Relationship Id="rId2542" Type="http://schemas.openxmlformats.org/officeDocument/2006/relationships/hyperlink" Target="https://www.pipame.com/" TargetMode="External"/><Relationship Id="rId1212" Type="http://schemas.openxmlformats.org/officeDocument/2006/relationships/hyperlink" Target="http://ycp.com" TargetMode="External"/><Relationship Id="rId1696" Type="http://schemas.openxmlformats.org/officeDocument/2006/relationships/hyperlink" Target="https://www.attnagency.com/blog/first-party-data-activation-cdp-ad-platform-strategy" TargetMode="External"/><Relationship Id="rId2543" Type="http://schemas.openxmlformats.org/officeDocument/2006/relationships/hyperlink" Target="http://pipame.com" TargetMode="External"/><Relationship Id="rId1202" Type="http://schemas.openxmlformats.org/officeDocument/2006/relationships/hyperlink" Target="http://upscale-digital.com" TargetMode="External"/><Relationship Id="rId1686" Type="http://schemas.openxmlformats.org/officeDocument/2006/relationships/hyperlink" Target="https://www.artefact.com/company/about-us/" TargetMode="External"/><Relationship Id="rId2533" Type="http://schemas.openxmlformats.org/officeDocument/2006/relationships/hyperlink" Target="http://paramark.com" TargetMode="External"/><Relationship Id="rId1203" Type="http://schemas.openxmlformats.org/officeDocument/2006/relationships/hyperlink" Target="https://vimdrive.com/" TargetMode="External"/><Relationship Id="rId1687" Type="http://schemas.openxmlformats.org/officeDocument/2006/relationships/hyperlink" Target="http://artefact.com" TargetMode="External"/><Relationship Id="rId2534" Type="http://schemas.openxmlformats.org/officeDocument/2006/relationships/hyperlink" Target="https://partners.amazonaws.com/partners/0010L00001u53HvQAI/" TargetMode="External"/><Relationship Id="rId1204" Type="http://schemas.openxmlformats.org/officeDocument/2006/relationships/hyperlink" Target="http://vimdrive.com" TargetMode="External"/><Relationship Id="rId1688" Type="http://schemas.openxmlformats.org/officeDocument/2006/relationships/hyperlink" Target="https://www.artefact.com/wp-content/uploads/2024/09/Artefact-Data-and-AI-Marketing-Report.pdf" TargetMode="External"/><Relationship Id="rId2535" Type="http://schemas.openxmlformats.org/officeDocument/2006/relationships/hyperlink" Target="http://amazonaws.com" TargetMode="External"/><Relationship Id="rId1205" Type="http://schemas.openxmlformats.org/officeDocument/2006/relationships/hyperlink" Target="https://webperts.com/blog/top-digital-marketing-agencies-in-dubai" TargetMode="External"/><Relationship Id="rId1689" Type="http://schemas.openxmlformats.org/officeDocument/2006/relationships/hyperlink" Target="http://artefact.com" TargetMode="External"/><Relationship Id="rId2536" Type="http://schemas.openxmlformats.org/officeDocument/2006/relationships/hyperlink" Target="https://performancewebmarketing.com/" TargetMode="External"/><Relationship Id="rId1206" Type="http://schemas.openxmlformats.org/officeDocument/2006/relationships/hyperlink" Target="http://webperts.com" TargetMode="External"/><Relationship Id="rId2537" Type="http://schemas.openxmlformats.org/officeDocument/2006/relationships/hyperlink" Target="http://performancewebmarketing.com" TargetMode="External"/><Relationship Id="rId1207" Type="http://schemas.openxmlformats.org/officeDocument/2006/relationships/hyperlink" Target="https://www.webtonic.io/blog/best-advertising-companies-dubai" TargetMode="External"/><Relationship Id="rId2538" Type="http://schemas.openxmlformats.org/officeDocument/2006/relationships/hyperlink" Target="https://www.phdmedia.com/mena/services/measurement-and-reporting-2/" TargetMode="External"/><Relationship Id="rId1208" Type="http://schemas.openxmlformats.org/officeDocument/2006/relationships/hyperlink" Target="http://webtonic.io" TargetMode="External"/><Relationship Id="rId2539" Type="http://schemas.openxmlformats.org/officeDocument/2006/relationships/hyperlink" Target="http://phdmedia.com" TargetMode="External"/><Relationship Id="rId1209" Type="http://schemas.openxmlformats.org/officeDocument/2006/relationships/hyperlink" Target="https://wittwise.com/" TargetMode="External"/><Relationship Id="rId855" Type="http://schemas.openxmlformats.org/officeDocument/2006/relationships/hyperlink" Target="https://marketingplatform.google.com/about/contact-us/" TargetMode="External"/><Relationship Id="rId854" Type="http://schemas.openxmlformats.org/officeDocument/2006/relationships/hyperlink" Target="http://kdm.ae" TargetMode="External"/><Relationship Id="rId853" Type="http://schemas.openxmlformats.org/officeDocument/2006/relationships/hyperlink" Target="https://kdm.ae/" TargetMode="External"/><Relationship Id="rId852" Type="http://schemas.openxmlformats.org/officeDocument/2006/relationships/hyperlink" Target="http://jadasquad.com" TargetMode="External"/><Relationship Id="rId859" Type="http://schemas.openxmlformats.org/officeDocument/2006/relationships/hyperlink" Target="https://marketingplatform.google.com/intl/en_uk/about/" TargetMode="External"/><Relationship Id="rId858" Type="http://schemas.openxmlformats.org/officeDocument/2006/relationships/hyperlink" Target="http://google.com" TargetMode="External"/><Relationship Id="rId857" Type="http://schemas.openxmlformats.org/officeDocument/2006/relationships/hyperlink" Target="https://marketingplatform.google.com/about/partners/?authuser=1" TargetMode="External"/><Relationship Id="rId856" Type="http://schemas.openxmlformats.org/officeDocument/2006/relationships/hyperlink" Target="http://google.com" TargetMode="External"/><Relationship Id="rId1680" Type="http://schemas.openxmlformats.org/officeDocument/2006/relationships/hyperlink" Target="https://www.apptunix.com/blog/it-software-companies-in-middle-east/" TargetMode="External"/><Relationship Id="rId1681" Type="http://schemas.openxmlformats.org/officeDocument/2006/relationships/hyperlink" Target="http://apptunix.com" TargetMode="External"/><Relationship Id="rId851" Type="http://schemas.openxmlformats.org/officeDocument/2006/relationships/hyperlink" Target="https://www.jadasquad.com/blog/top-ai-agent-development-companies-in-dubai" TargetMode="External"/><Relationship Id="rId1682" Type="http://schemas.openxmlformats.org/officeDocument/2006/relationships/hyperlink" Target="https://www.apptunix.com/blog/top-ai-development-companies-in-dubai-uae/" TargetMode="External"/><Relationship Id="rId850" Type="http://schemas.openxmlformats.org/officeDocument/2006/relationships/hyperlink" Target="http://inbeat.co" TargetMode="External"/><Relationship Id="rId1683" Type="http://schemas.openxmlformats.org/officeDocument/2006/relationships/hyperlink" Target="http://apptunix.com" TargetMode="External"/><Relationship Id="rId2530" Type="http://schemas.openxmlformats.org/officeDocument/2006/relationships/hyperlink" Target="https://ovative.com/services/measurement/" TargetMode="External"/><Relationship Id="rId1200" Type="http://schemas.openxmlformats.org/officeDocument/2006/relationships/hyperlink" Target="http://tudoopiq.com" TargetMode="External"/><Relationship Id="rId1684" Type="http://schemas.openxmlformats.org/officeDocument/2006/relationships/hyperlink" Target="https://aqualisgroup.com/Aqualis-Lifting-Inspection" TargetMode="External"/><Relationship Id="rId2531" Type="http://schemas.openxmlformats.org/officeDocument/2006/relationships/hyperlink" Target="http://ovative.com" TargetMode="External"/><Relationship Id="rId1201" Type="http://schemas.openxmlformats.org/officeDocument/2006/relationships/hyperlink" Target="https://upscale-digital.com/blog/top-digital-marketing-agencies-in-dubai/" TargetMode="External"/><Relationship Id="rId1685" Type="http://schemas.openxmlformats.org/officeDocument/2006/relationships/hyperlink" Target="http://aqualisgroup.com" TargetMode="External"/><Relationship Id="rId2532" Type="http://schemas.openxmlformats.org/officeDocument/2006/relationships/hyperlink" Target="https://paramark.com/incrementality-testing" TargetMode="External"/><Relationship Id="rId1235" Type="http://schemas.openxmlformats.org/officeDocument/2006/relationships/hyperlink" Target="http://aoyawardsme.com" TargetMode="External"/><Relationship Id="rId2566" Type="http://schemas.openxmlformats.org/officeDocument/2006/relationships/hyperlink" Target="http://pulseo.ae" TargetMode="External"/><Relationship Id="rId1236" Type="http://schemas.openxmlformats.org/officeDocument/2006/relationships/hyperlink" Target="https://www.apptunix.com/blog/best-digital-marketing-companies-in-dubai/" TargetMode="External"/><Relationship Id="rId2567" Type="http://schemas.openxmlformats.org/officeDocument/2006/relationships/hyperlink" Target="https://pulseo.ae/en/performance-marketing-agency-abu-dhabi" TargetMode="External"/><Relationship Id="rId1237" Type="http://schemas.openxmlformats.org/officeDocument/2006/relationships/hyperlink" Target="http://apptunix.com" TargetMode="External"/><Relationship Id="rId2568" Type="http://schemas.openxmlformats.org/officeDocument/2006/relationships/hyperlink" Target="http://pulseo.ae" TargetMode="External"/><Relationship Id="rId1238" Type="http://schemas.openxmlformats.org/officeDocument/2006/relationships/hyperlink" Target="https://ardantisglobal.com/" TargetMode="External"/><Relationship Id="rId2569" Type="http://schemas.openxmlformats.org/officeDocument/2006/relationships/hyperlink" Target="https://pulseo.ae/en/performance-marketing-agency-ajman" TargetMode="External"/><Relationship Id="rId1239" Type="http://schemas.openxmlformats.org/officeDocument/2006/relationships/hyperlink" Target="http://ardantisglobal.com" TargetMode="External"/><Relationship Id="rId409" Type="http://schemas.openxmlformats.org/officeDocument/2006/relationships/hyperlink" Target="http://sortlist.com" TargetMode="External"/><Relationship Id="rId404" Type="http://schemas.openxmlformats.org/officeDocument/2006/relationships/hyperlink" Target="https://www.measured.com/incrementality-testing/" TargetMode="External"/><Relationship Id="rId888" Type="http://schemas.openxmlformats.org/officeDocument/2006/relationships/hyperlink" Target="http://google.com" TargetMode="External"/><Relationship Id="rId403" Type="http://schemas.openxmlformats.org/officeDocument/2006/relationships/hyperlink" Target="http://loomlinker.com" TargetMode="External"/><Relationship Id="rId887" Type="http://schemas.openxmlformats.org/officeDocument/2006/relationships/hyperlink" Target="https://support.google.com/analytics/answer/7237700?hl=en-AU" TargetMode="External"/><Relationship Id="rId402" Type="http://schemas.openxmlformats.org/officeDocument/2006/relationships/hyperlink" Target="https://loomlinker.com/blog/best-social-media-agencies-dubai/" TargetMode="External"/><Relationship Id="rId886" Type="http://schemas.openxmlformats.org/officeDocument/2006/relationships/hyperlink" Target="http://srccreationz.com" TargetMode="External"/><Relationship Id="rId401" Type="http://schemas.openxmlformats.org/officeDocument/2006/relationships/hyperlink" Target="http://lapaone.com" TargetMode="External"/><Relationship Id="rId885" Type="http://schemas.openxmlformats.org/officeDocument/2006/relationships/hyperlink" Target="https://srccreationz.com/2024/11/12/best-digital-marketing-agency-in-uae-2/" TargetMode="External"/><Relationship Id="rId408" Type="http://schemas.openxmlformats.org/officeDocument/2006/relationships/hyperlink" Target="https://www.sortlist.com/l/dubai-ae" TargetMode="External"/><Relationship Id="rId407" Type="http://schemas.openxmlformats.org/officeDocument/2006/relationships/hyperlink" Target="http://opinosis-analytics.com" TargetMode="External"/><Relationship Id="rId406" Type="http://schemas.openxmlformats.org/officeDocument/2006/relationships/hyperlink" Target="https://www.opinosis-analytics.com/ai-consulting-in-dubai/" TargetMode="External"/><Relationship Id="rId405" Type="http://schemas.openxmlformats.org/officeDocument/2006/relationships/hyperlink" Target="http://measured.com" TargetMode="External"/><Relationship Id="rId889" Type="http://schemas.openxmlformats.org/officeDocument/2006/relationships/hyperlink" Target="https://www.truenorthmarketing.ae/en/blog/top-martech-agency-uae" TargetMode="External"/><Relationship Id="rId880" Type="http://schemas.openxmlformats.org/officeDocument/2006/relationships/hyperlink" Target="http://sortlist.com" TargetMode="External"/><Relationship Id="rId2560" Type="http://schemas.openxmlformats.org/officeDocument/2006/relationships/hyperlink" Target="http://dacgroup.com" TargetMode="External"/><Relationship Id="rId1230" Type="http://schemas.openxmlformats.org/officeDocument/2006/relationships/hyperlink" Target="https://al-bahr-growth-advisory.com/en/services/digital-marketing-services-uae/" TargetMode="External"/><Relationship Id="rId2561" Type="http://schemas.openxmlformats.org/officeDocument/2006/relationships/hyperlink" Target="https://proxigy.net/?lng=en" TargetMode="External"/><Relationship Id="rId400" Type="http://schemas.openxmlformats.org/officeDocument/2006/relationships/hyperlink" Target="https://www.lapaone.com/digital-marketing-agencies-in-uae/" TargetMode="External"/><Relationship Id="rId884" Type="http://schemas.openxmlformats.org/officeDocument/2006/relationships/hyperlink" Target="http://sortlist.com" TargetMode="External"/><Relationship Id="rId1231" Type="http://schemas.openxmlformats.org/officeDocument/2006/relationships/hyperlink" Target="http://al-bahr-growth-advisory.com" TargetMode="External"/><Relationship Id="rId2562" Type="http://schemas.openxmlformats.org/officeDocument/2006/relationships/hyperlink" Target="http://proxigy.net" TargetMode="External"/><Relationship Id="rId883" Type="http://schemas.openxmlformats.org/officeDocument/2006/relationships/hyperlink" Target="https://www.sortlist.com/s/paid-media/abu-dhabi-ae" TargetMode="External"/><Relationship Id="rId1232" Type="http://schemas.openxmlformats.org/officeDocument/2006/relationships/hyperlink" Target="https://www.alcazmedia.ae/services/marketing-analytics-agency" TargetMode="External"/><Relationship Id="rId2563" Type="http://schemas.openxmlformats.org/officeDocument/2006/relationships/hyperlink" Target="https://pulseo.ae/en/paid-media-agency-abu-dhabi" TargetMode="External"/><Relationship Id="rId882" Type="http://schemas.openxmlformats.org/officeDocument/2006/relationships/hyperlink" Target="http://sortlist.com" TargetMode="External"/><Relationship Id="rId1233" Type="http://schemas.openxmlformats.org/officeDocument/2006/relationships/hyperlink" Target="http://alcazmedia.ae" TargetMode="External"/><Relationship Id="rId2564" Type="http://schemas.openxmlformats.org/officeDocument/2006/relationships/hyperlink" Target="http://pulseo.ae" TargetMode="External"/><Relationship Id="rId881" Type="http://schemas.openxmlformats.org/officeDocument/2006/relationships/hyperlink" Target="https://www.sortlist.com/s/media-buying/united-arab-emirates-ae" TargetMode="External"/><Relationship Id="rId1234" Type="http://schemas.openxmlformats.org/officeDocument/2006/relationships/hyperlink" Target="https://www.aoyawardsme.com/results-2025" TargetMode="External"/><Relationship Id="rId2565" Type="http://schemas.openxmlformats.org/officeDocument/2006/relationships/hyperlink" Target="https://pulseo.ae/en/paid-media-agency-dubai" TargetMode="External"/><Relationship Id="rId1224" Type="http://schemas.openxmlformats.org/officeDocument/2006/relationships/hyperlink" Target="https://aeoengine.ai/services/generative-engine-optimization" TargetMode="External"/><Relationship Id="rId2555" Type="http://schemas.openxmlformats.org/officeDocument/2006/relationships/hyperlink" Target="https://www.promodo.com/blog/best-geo-agencies" TargetMode="External"/><Relationship Id="rId1225" Type="http://schemas.openxmlformats.org/officeDocument/2006/relationships/hyperlink" Target="http://aeoengine.ai" TargetMode="External"/><Relationship Id="rId2556" Type="http://schemas.openxmlformats.org/officeDocument/2006/relationships/hyperlink" Target="http://promodo.com" TargetMode="External"/><Relationship Id="rId1226" Type="http://schemas.openxmlformats.org/officeDocument/2006/relationships/hyperlink" Target="https://aimenalabs.com/" TargetMode="External"/><Relationship Id="rId2557" Type="http://schemas.openxmlformats.org/officeDocument/2006/relationships/hyperlink" Target="https://www.prontosys.ae/blog/top-10-branding-agencies-in-dubai/" TargetMode="External"/><Relationship Id="rId1227" Type="http://schemas.openxmlformats.org/officeDocument/2006/relationships/hyperlink" Target="http://aimenalabs.com" TargetMode="External"/><Relationship Id="rId2558" Type="http://schemas.openxmlformats.org/officeDocument/2006/relationships/hyperlink" Target="http://prontosys.ae" TargetMode="External"/><Relationship Id="rId1228" Type="http://schemas.openxmlformats.org/officeDocument/2006/relationships/hyperlink" Target="https://aisuperior.com/geospatial-companies-in-uae/" TargetMode="External"/><Relationship Id="rId2559" Type="http://schemas.openxmlformats.org/officeDocument/2006/relationships/hyperlink" Target="https://proove.dacgroup.com/services/measurement-optimization/incrementality/" TargetMode="External"/><Relationship Id="rId1229" Type="http://schemas.openxmlformats.org/officeDocument/2006/relationships/hyperlink" Target="http://aisuperior.com" TargetMode="External"/><Relationship Id="rId877" Type="http://schemas.openxmlformats.org/officeDocument/2006/relationships/hyperlink" Target="https://www.sortlist.com/s/brand-advertising/united-arab-emirates-ae" TargetMode="External"/><Relationship Id="rId876" Type="http://schemas.openxmlformats.org/officeDocument/2006/relationships/hyperlink" Target="http://sortlist.com" TargetMode="External"/><Relationship Id="rId875" Type="http://schemas.openxmlformats.org/officeDocument/2006/relationships/hyperlink" Target="https://www.sortlist.com/branding/dubai-ae" TargetMode="External"/><Relationship Id="rId874" Type="http://schemas.openxmlformats.org/officeDocument/2006/relationships/hyperlink" Target="http://rollingpixel.ae" TargetMode="External"/><Relationship Id="rId879" Type="http://schemas.openxmlformats.org/officeDocument/2006/relationships/hyperlink" Target="https://www.sortlist.com/s/display-advertising/sharjah-ae" TargetMode="External"/><Relationship Id="rId878" Type="http://schemas.openxmlformats.org/officeDocument/2006/relationships/hyperlink" Target="http://sortlist.com" TargetMode="External"/><Relationship Id="rId2550" Type="http://schemas.openxmlformats.org/officeDocument/2006/relationships/hyperlink" Target="http://prism-me.com" TargetMode="External"/><Relationship Id="rId873" Type="http://schemas.openxmlformats.org/officeDocument/2006/relationships/hyperlink" Target="https://www.rollingpixel.ae/top-digital-marketing-agencies-in-dubai/" TargetMode="External"/><Relationship Id="rId1220" Type="http://schemas.openxmlformats.org/officeDocument/2006/relationships/hyperlink" Target="http://3rdscreendigital.com" TargetMode="External"/><Relationship Id="rId2551" Type="http://schemas.openxmlformats.org/officeDocument/2006/relationships/hyperlink" Target="https://www.prism-me.com/paid-media-agency/instagram-ads" TargetMode="External"/><Relationship Id="rId872" Type="http://schemas.openxmlformats.org/officeDocument/2006/relationships/hyperlink" Target="http://quoleady.com" TargetMode="External"/><Relationship Id="rId1221" Type="http://schemas.openxmlformats.org/officeDocument/2006/relationships/hyperlink" Target="https://aakashpareek.in/google-partner-dubai/" TargetMode="External"/><Relationship Id="rId2552" Type="http://schemas.openxmlformats.org/officeDocument/2006/relationships/hyperlink" Target="http://prism-me.com" TargetMode="External"/><Relationship Id="rId871" Type="http://schemas.openxmlformats.org/officeDocument/2006/relationships/hyperlink" Target="https://www.quoleady.com/aeo-agencies/" TargetMode="External"/><Relationship Id="rId1222" Type="http://schemas.openxmlformats.org/officeDocument/2006/relationships/hyperlink" Target="http://aakashpareek.in" TargetMode="External"/><Relationship Id="rId2553" Type="http://schemas.openxmlformats.org/officeDocument/2006/relationships/hyperlink" Target="https://www.processica.com/articles/top-15-ai-consulting-companies/" TargetMode="External"/><Relationship Id="rId870" Type="http://schemas.openxmlformats.org/officeDocument/2006/relationships/hyperlink" Target="http://planaletix.com" TargetMode="External"/><Relationship Id="rId1223" Type="http://schemas.openxmlformats.org/officeDocument/2006/relationships/hyperlink" Target="https://admoon.agency/" TargetMode="External"/><Relationship Id="rId2554" Type="http://schemas.openxmlformats.org/officeDocument/2006/relationships/hyperlink" Target="http://processica.com" TargetMode="External"/><Relationship Id="rId1653" Type="http://schemas.openxmlformats.org/officeDocument/2006/relationships/hyperlink" Target="https://aliseoservices.com/" TargetMode="External"/><Relationship Id="rId2500" Type="http://schemas.openxmlformats.org/officeDocument/2006/relationships/hyperlink" Target="http://nucleusmedia.ae" TargetMode="External"/><Relationship Id="rId1654" Type="http://schemas.openxmlformats.org/officeDocument/2006/relationships/hyperlink" Target="http://aliseoservices.com" TargetMode="External"/><Relationship Id="rId2501" Type="http://schemas.openxmlformats.org/officeDocument/2006/relationships/hyperlink" Target="https://www.nutshell.com/blog/top-geo-agencies" TargetMode="External"/><Relationship Id="rId1655" Type="http://schemas.openxmlformats.org/officeDocument/2006/relationships/hyperlink" Target="https://aliseoservices.com/ai-search-optimization/" TargetMode="External"/><Relationship Id="rId2502" Type="http://schemas.openxmlformats.org/officeDocument/2006/relationships/hyperlink" Target="http://nutshell.com" TargetMode="External"/><Relationship Id="rId1656" Type="http://schemas.openxmlformats.org/officeDocument/2006/relationships/hyperlink" Target="http://aliseoservices.com" TargetMode="External"/><Relationship Id="rId2503" Type="http://schemas.openxmlformats.org/officeDocument/2006/relationships/hyperlink" Target="https://www.nuundigital.com/insights/ai-and-data/gcc-enterprise-ai-readiness" TargetMode="External"/><Relationship Id="rId1657" Type="http://schemas.openxmlformats.org/officeDocument/2006/relationships/hyperlink" Target="https://almcorp.com/blog/ai-adoption-digital-agencies-best-practices/" TargetMode="External"/><Relationship Id="rId2504" Type="http://schemas.openxmlformats.org/officeDocument/2006/relationships/hyperlink" Target="http://nuundigital.com" TargetMode="External"/><Relationship Id="rId1658" Type="http://schemas.openxmlformats.org/officeDocument/2006/relationships/hyperlink" Target="http://almcorp.com" TargetMode="External"/><Relationship Id="rId2505" Type="http://schemas.openxmlformats.org/officeDocument/2006/relationships/hyperlink" Target="https://oakpool.xyz/drift/top-10-geo-aeo-ai-search-agencies/" TargetMode="External"/><Relationship Id="rId1659" Type="http://schemas.openxmlformats.org/officeDocument/2006/relationships/hyperlink" Target="https://www.almostimpossible.agency/about" TargetMode="External"/><Relationship Id="rId2506" Type="http://schemas.openxmlformats.org/officeDocument/2006/relationships/hyperlink" Target="http://oakpool.xyz" TargetMode="External"/><Relationship Id="rId2507" Type="http://schemas.openxmlformats.org/officeDocument/2006/relationships/hyperlink" Target="https://www.obilityb2b.com/services/generative-engine-optimization-geo/" TargetMode="External"/><Relationship Id="rId2508" Type="http://schemas.openxmlformats.org/officeDocument/2006/relationships/hyperlink" Target="http://obilityb2b.com" TargetMode="External"/><Relationship Id="rId829" Type="http://schemas.openxmlformats.org/officeDocument/2006/relationships/hyperlink" Target="https://www.edvido.ae/digital-marketing-agencies" TargetMode="External"/><Relationship Id="rId2509" Type="http://schemas.openxmlformats.org/officeDocument/2006/relationships/hyperlink" Target="https://www.octopusmarketing.agency/ai-services/" TargetMode="External"/><Relationship Id="rId828" Type="http://schemas.openxmlformats.org/officeDocument/2006/relationships/hyperlink" Target="http://dubaiweb.ae" TargetMode="External"/><Relationship Id="rId827" Type="http://schemas.openxmlformats.org/officeDocument/2006/relationships/hyperlink" Target="https://dubaiweb.ae/best-digital-marketing-agencies-in-dubai/" TargetMode="External"/><Relationship Id="rId822" Type="http://schemas.openxmlformats.org/officeDocument/2006/relationships/hyperlink" Target="http://clutch.co" TargetMode="External"/><Relationship Id="rId821" Type="http://schemas.openxmlformats.org/officeDocument/2006/relationships/hyperlink" Target="https://clutch.co/ae/agencies/ppc" TargetMode="External"/><Relationship Id="rId820" Type="http://schemas.openxmlformats.org/officeDocument/2006/relationships/hyperlink" Target="http://burjsahra.com" TargetMode="External"/><Relationship Id="rId826" Type="http://schemas.openxmlformats.org/officeDocument/2006/relationships/hyperlink" Target="http://digidot.ae" TargetMode="External"/><Relationship Id="rId825" Type="http://schemas.openxmlformats.org/officeDocument/2006/relationships/hyperlink" Target="https://digidot.ae/search-engine-optimization-seo/aeo-services-in-dubai/" TargetMode="External"/><Relationship Id="rId824" Type="http://schemas.openxmlformats.org/officeDocument/2006/relationships/hyperlink" Target="http://cometly.com" TargetMode="External"/><Relationship Id="rId823" Type="http://schemas.openxmlformats.org/officeDocument/2006/relationships/hyperlink" Target="https://www.cometly.com/post/marketing-attribution-companies" TargetMode="External"/><Relationship Id="rId1650" Type="http://schemas.openxmlformats.org/officeDocument/2006/relationships/hyperlink" Target="http://aisuperior.com" TargetMode="External"/><Relationship Id="rId1651" Type="http://schemas.openxmlformats.org/officeDocument/2006/relationships/hyperlink" Target="https://ajunais.com/" TargetMode="External"/><Relationship Id="rId1652" Type="http://schemas.openxmlformats.org/officeDocument/2006/relationships/hyperlink" Target="http://ajunais.com" TargetMode="External"/><Relationship Id="rId1642" Type="http://schemas.openxmlformats.org/officeDocument/2006/relationships/hyperlink" Target="http://aimedialab.ae" TargetMode="External"/><Relationship Id="rId1643" Type="http://schemas.openxmlformats.org/officeDocument/2006/relationships/hyperlink" Target="https://aiqusolutions.com/" TargetMode="External"/><Relationship Id="rId1644" Type="http://schemas.openxmlformats.org/officeDocument/2006/relationships/hyperlink" Target="http://aiqusolutions.com" TargetMode="External"/><Relationship Id="rId1645" Type="http://schemas.openxmlformats.org/officeDocument/2006/relationships/hyperlink" Target="https://www.airconsulting.ai/" TargetMode="External"/><Relationship Id="rId1646" Type="http://schemas.openxmlformats.org/officeDocument/2006/relationships/hyperlink" Target="http://airconsulting.ai" TargetMode="External"/><Relationship Id="rId1647" Type="http://schemas.openxmlformats.org/officeDocument/2006/relationships/hyperlink" Target="https://aiso.ae/" TargetMode="External"/><Relationship Id="rId1648" Type="http://schemas.openxmlformats.org/officeDocument/2006/relationships/hyperlink" Target="http://aiso.ae" TargetMode="External"/><Relationship Id="rId1649" Type="http://schemas.openxmlformats.org/officeDocument/2006/relationships/hyperlink" Target="https://aisuperior.com/ai-consulting-companies-in-the-uae/" TargetMode="External"/><Relationship Id="rId819" Type="http://schemas.openxmlformats.org/officeDocument/2006/relationships/hyperlink" Target="https://burjsahra.com/" TargetMode="External"/><Relationship Id="rId818" Type="http://schemas.openxmlformats.org/officeDocument/2006/relationships/hyperlink" Target="http://blueduckagency.com" TargetMode="External"/><Relationship Id="rId817" Type="http://schemas.openxmlformats.org/officeDocument/2006/relationships/hyperlink" Target="https://www.blueduckagency.com/blog/incrementality" TargetMode="External"/><Relationship Id="rId816" Type="http://schemas.openxmlformats.org/officeDocument/2006/relationships/hyperlink" Target="http://bird.ae" TargetMode="External"/><Relationship Id="rId811" Type="http://schemas.openxmlformats.org/officeDocument/2006/relationships/hyperlink" Target="https://www.bicommunications.ae/blog/best-ppc-agencies-abu-dhabi/" TargetMode="External"/><Relationship Id="rId810" Type="http://schemas.openxmlformats.org/officeDocument/2006/relationships/hyperlink" Target="http://baselinemix.com" TargetMode="External"/><Relationship Id="rId815" Type="http://schemas.openxmlformats.org/officeDocument/2006/relationships/hyperlink" Target="https://bird.ae/ai/agents-automation/" TargetMode="External"/><Relationship Id="rId814" Type="http://schemas.openxmlformats.org/officeDocument/2006/relationships/hyperlink" Target="http://biglab.ae" TargetMode="External"/><Relationship Id="rId813" Type="http://schemas.openxmlformats.org/officeDocument/2006/relationships/hyperlink" Target="https://biglab.ae/services/performance-marketing/paid-social/" TargetMode="External"/><Relationship Id="rId812" Type="http://schemas.openxmlformats.org/officeDocument/2006/relationships/hyperlink" Target="http://bicommunications.ae" TargetMode="External"/><Relationship Id="rId1640" Type="http://schemas.openxmlformats.org/officeDocument/2006/relationships/hyperlink" Target="http://aidatalizer.com" TargetMode="External"/><Relationship Id="rId1641" Type="http://schemas.openxmlformats.org/officeDocument/2006/relationships/hyperlink" Target="https://www.aimedialab.ae/" TargetMode="External"/><Relationship Id="rId1675" Type="http://schemas.openxmlformats.org/officeDocument/2006/relationships/hyperlink" Target="http://appinventiv.com" TargetMode="External"/><Relationship Id="rId2522" Type="http://schemas.openxmlformats.org/officeDocument/2006/relationships/hyperlink" Target="https://orm-tech.com/blog/best-marketing-attribution-software/" TargetMode="External"/><Relationship Id="rId1676" Type="http://schemas.openxmlformats.org/officeDocument/2006/relationships/hyperlink" Target="https://applabx.com/generative-engine-optimization-geo-agency-in-the-united-arab-emirates-uae/" TargetMode="External"/><Relationship Id="rId2523" Type="http://schemas.openxmlformats.org/officeDocument/2006/relationships/hyperlink" Target="http://orm-tech.com" TargetMode="External"/><Relationship Id="rId1677" Type="http://schemas.openxmlformats.org/officeDocument/2006/relationships/hyperlink" Target="http://applabx.com" TargetMode="External"/><Relationship Id="rId2524" Type="http://schemas.openxmlformats.org/officeDocument/2006/relationships/hyperlink" Target="https://outcomes.ae/social-media-marketing/" TargetMode="External"/><Relationship Id="rId1678" Type="http://schemas.openxmlformats.org/officeDocument/2006/relationships/hyperlink" Target="https://apptrove.com/incrementality-in-mobile-marketing/" TargetMode="External"/><Relationship Id="rId2525" Type="http://schemas.openxmlformats.org/officeDocument/2006/relationships/hyperlink" Target="http://outcomes.ae" TargetMode="External"/><Relationship Id="rId1679" Type="http://schemas.openxmlformats.org/officeDocument/2006/relationships/hyperlink" Target="http://apptrove.com" TargetMode="External"/><Relationship Id="rId2526" Type="http://schemas.openxmlformats.org/officeDocument/2006/relationships/hyperlink" Target="https://outreachz.com/blog/best-ai-marketing-agencies-2026/" TargetMode="External"/><Relationship Id="rId2527" Type="http://schemas.openxmlformats.org/officeDocument/2006/relationships/hyperlink" Target="http://outreachz.com" TargetMode="External"/><Relationship Id="rId2528" Type="http://schemas.openxmlformats.org/officeDocument/2006/relationships/hyperlink" Target="https://outsourcey.com/role/media-buying-agency/" TargetMode="External"/><Relationship Id="rId2529" Type="http://schemas.openxmlformats.org/officeDocument/2006/relationships/hyperlink" Target="http://outsourcey.com" TargetMode="External"/><Relationship Id="rId849" Type="http://schemas.openxmlformats.org/officeDocument/2006/relationships/hyperlink" Target="https://www.inbeat.co/articles/top-advertising-agencies-dubai/" TargetMode="External"/><Relationship Id="rId844" Type="http://schemas.openxmlformats.org/officeDocument/2006/relationships/hyperlink" Target="http://holm.com" TargetMode="External"/><Relationship Id="rId843" Type="http://schemas.openxmlformats.org/officeDocument/2006/relationships/hyperlink" Target="https://holm.com/en" TargetMode="External"/><Relationship Id="rId842" Type="http://schemas.openxmlformats.org/officeDocument/2006/relationships/hyperlink" Target="http://hikemytraffic.com" TargetMode="External"/><Relationship Id="rId841" Type="http://schemas.openxmlformats.org/officeDocument/2006/relationships/hyperlink" Target="https://hikemytraffic.com/ai-digital-marketing-services-in-uae/" TargetMode="External"/><Relationship Id="rId848" Type="http://schemas.openxmlformats.org/officeDocument/2006/relationships/hyperlink" Target="http://iasmedia.com" TargetMode="External"/><Relationship Id="rId847" Type="http://schemas.openxmlformats.org/officeDocument/2006/relationships/hyperlink" Target="https://www.iasmedia.com/programmatic-advertising/" TargetMode="External"/><Relationship Id="rId846" Type="http://schemas.openxmlformats.org/officeDocument/2006/relationships/hyperlink" Target="http://holm.com" TargetMode="External"/><Relationship Id="rId845" Type="http://schemas.openxmlformats.org/officeDocument/2006/relationships/hyperlink" Target="https://holm.com/en/services" TargetMode="External"/><Relationship Id="rId1670" Type="http://schemas.openxmlformats.org/officeDocument/2006/relationships/hyperlink" Target="https://www.amraandelma.com/performance-marketing-agencies/" TargetMode="External"/><Relationship Id="rId840" Type="http://schemas.openxmlformats.org/officeDocument/2006/relationships/hyperlink" Target="http://greenbook.org" TargetMode="External"/><Relationship Id="rId1671" Type="http://schemas.openxmlformats.org/officeDocument/2006/relationships/hyperlink" Target="http://amraandelma.com" TargetMode="External"/><Relationship Id="rId1672" Type="http://schemas.openxmlformats.org/officeDocument/2006/relationships/hyperlink" Target="https://appinventiv.com/blog/ai-readiness-in-uae/" TargetMode="External"/><Relationship Id="rId1673" Type="http://schemas.openxmlformats.org/officeDocument/2006/relationships/hyperlink" Target="http://appinventiv.com" TargetMode="External"/><Relationship Id="rId2520" Type="http://schemas.openxmlformats.org/officeDocument/2006/relationships/hyperlink" Target="https://orangemonke.com/blogs/seo-cost-in-dubai/" TargetMode="External"/><Relationship Id="rId1674" Type="http://schemas.openxmlformats.org/officeDocument/2006/relationships/hyperlink" Target="https://appinventiv.com/blog/ai-strategy-consulting-for-enterprises-in-dubai/" TargetMode="External"/><Relationship Id="rId2521" Type="http://schemas.openxmlformats.org/officeDocument/2006/relationships/hyperlink" Target="http://orangemonke.com" TargetMode="External"/><Relationship Id="rId1664" Type="http://schemas.openxmlformats.org/officeDocument/2006/relationships/hyperlink" Target="https://altinkey.com/" TargetMode="External"/><Relationship Id="rId2511" Type="http://schemas.openxmlformats.org/officeDocument/2006/relationships/hyperlink" Target="http://omc-uae.com" TargetMode="External"/><Relationship Id="rId1665" Type="http://schemas.openxmlformats.org/officeDocument/2006/relationships/hyperlink" Target="http://altinkey.com" TargetMode="External"/><Relationship Id="rId2512" Type="http://schemas.openxmlformats.org/officeDocument/2006/relationships/hyperlink" Target="https://oneday.agency/ooh-dubai" TargetMode="External"/><Relationship Id="rId1666" Type="http://schemas.openxmlformats.org/officeDocument/2006/relationships/hyperlink" Target="https://www.alwarqasurvey.com/gis-services" TargetMode="External"/><Relationship Id="rId2513" Type="http://schemas.openxmlformats.org/officeDocument/2006/relationships/hyperlink" Target="https://oneday.agency/programmatic-display" TargetMode="External"/><Relationship Id="rId1667" Type="http://schemas.openxmlformats.org/officeDocument/2006/relationships/hyperlink" Target="http://alwarqasurvey.com" TargetMode="External"/><Relationship Id="rId2514" Type="http://schemas.openxmlformats.org/officeDocument/2006/relationships/hyperlink" Target="https://www.onely.com/blog/best-digital-marketing-agencies/" TargetMode="External"/><Relationship Id="rId1668" Type="http://schemas.openxmlformats.org/officeDocument/2006/relationships/hyperlink" Target="https://www.amraandelma.com/digital-marketing-agencies-in-dubai/" TargetMode="External"/><Relationship Id="rId2515" Type="http://schemas.openxmlformats.org/officeDocument/2006/relationships/hyperlink" Target="http://onely.com" TargetMode="External"/><Relationship Id="rId1669" Type="http://schemas.openxmlformats.org/officeDocument/2006/relationships/hyperlink" Target="http://amraandelma.com" TargetMode="External"/><Relationship Id="rId2516" Type="http://schemas.openxmlformats.org/officeDocument/2006/relationships/hyperlink" Target="https://www.onetrust.com/blog/mastering-first-party-data-the-complete-playbook-for-marketers/" TargetMode="External"/><Relationship Id="rId2517" Type="http://schemas.openxmlformats.org/officeDocument/2006/relationships/hyperlink" Target="http://onetrust.com" TargetMode="External"/><Relationship Id="rId2518" Type="http://schemas.openxmlformats.org/officeDocument/2006/relationships/hyperlink" Target="https://optivaal.com/" TargetMode="External"/><Relationship Id="rId2519" Type="http://schemas.openxmlformats.org/officeDocument/2006/relationships/hyperlink" Target="http://optivaal.com" TargetMode="External"/><Relationship Id="rId839" Type="http://schemas.openxmlformats.org/officeDocument/2006/relationships/hyperlink" Target="https://greenbook.org/market-research-companies/united-arab-emirates" TargetMode="External"/><Relationship Id="rId838" Type="http://schemas.openxmlformats.org/officeDocument/2006/relationships/hyperlink" Target="http://goodfirms.co" TargetMode="External"/><Relationship Id="rId833" Type="http://schemas.openxmlformats.org/officeDocument/2006/relationships/hyperlink" Target="https://www.gartner.com/reviews/market/incrementality-measurement-platforms" TargetMode="External"/><Relationship Id="rId832" Type="http://schemas.openxmlformats.org/officeDocument/2006/relationships/hyperlink" Target="http://eliya.io" TargetMode="External"/><Relationship Id="rId831" Type="http://schemas.openxmlformats.org/officeDocument/2006/relationships/hyperlink" Target="https://www.eliya.io/" TargetMode="External"/><Relationship Id="rId830" Type="http://schemas.openxmlformats.org/officeDocument/2006/relationships/hyperlink" Target="http://edvido.ae" TargetMode="External"/><Relationship Id="rId837" Type="http://schemas.openxmlformats.org/officeDocument/2006/relationships/hyperlink" Target="https://www.goodfirms.co/directory/country/top-digital-marketing-companies/ae?sort_by=rating" TargetMode="External"/><Relationship Id="rId836" Type="http://schemas.openxmlformats.org/officeDocument/2006/relationships/hyperlink" Target="http://globalsurf.ae" TargetMode="External"/><Relationship Id="rId835" Type="http://schemas.openxmlformats.org/officeDocument/2006/relationships/hyperlink" Target="https://www.globalsurf.ae/programmatic-advertising-agency-dubai" TargetMode="External"/><Relationship Id="rId834" Type="http://schemas.openxmlformats.org/officeDocument/2006/relationships/hyperlink" Target="http://gartner.com" TargetMode="External"/><Relationship Id="rId1660" Type="http://schemas.openxmlformats.org/officeDocument/2006/relationships/hyperlink" Target="https://alphanode.ae/" TargetMode="External"/><Relationship Id="rId1661" Type="http://schemas.openxmlformats.org/officeDocument/2006/relationships/hyperlink" Target="http://alphanode.ae" TargetMode="External"/><Relationship Id="rId1662" Type="http://schemas.openxmlformats.org/officeDocument/2006/relationships/hyperlink" Target="https://alserhmedia.com/" TargetMode="External"/><Relationship Id="rId1663" Type="http://schemas.openxmlformats.org/officeDocument/2006/relationships/hyperlink" Target="http://alserhmedia.com" TargetMode="External"/><Relationship Id="rId2510" Type="http://schemas.openxmlformats.org/officeDocument/2006/relationships/hyperlink" Target="https://www.omc-uae.com/" TargetMode="External"/><Relationship Id="rId2148" Type="http://schemas.openxmlformats.org/officeDocument/2006/relationships/hyperlink" Target="https://growthanchors.com/geo-aeo" TargetMode="External"/><Relationship Id="rId2149" Type="http://schemas.openxmlformats.org/officeDocument/2006/relationships/hyperlink" Target="http://growthanchors.com" TargetMode="External"/><Relationship Id="rId469" Type="http://schemas.openxmlformats.org/officeDocument/2006/relationships/hyperlink" Target="http://savit.ae" TargetMode="External"/><Relationship Id="rId468" Type="http://schemas.openxmlformats.org/officeDocument/2006/relationships/hyperlink" Target="https://savit.ae/best-social-media-agencies-in-dubai-for-roi-driven-campaigns/" TargetMode="External"/><Relationship Id="rId467" Type="http://schemas.openxmlformats.org/officeDocument/2006/relationships/hyperlink" Target="http://sapience.ae" TargetMode="External"/><Relationship Id="rId1290" Type="http://schemas.openxmlformats.org/officeDocument/2006/relationships/hyperlink" Target="https://www.darkroomagency.com/observatory/best-performance-marketing-agencies-in-2026" TargetMode="External"/><Relationship Id="rId1291" Type="http://schemas.openxmlformats.org/officeDocument/2006/relationships/hyperlink" Target="http://darkroomagency.com" TargetMode="External"/><Relationship Id="rId1292" Type="http://schemas.openxmlformats.org/officeDocument/2006/relationships/hyperlink" Target="https://www.darkroomagency.com/observatory/the-12-top-rated-paid-media-agencies-this-year" TargetMode="External"/><Relationship Id="rId462" Type="http://schemas.openxmlformats.org/officeDocument/2006/relationships/hyperlink" Target="https://www.performancestimuli.com/services/marketing-analytics/" TargetMode="External"/><Relationship Id="rId1293" Type="http://schemas.openxmlformats.org/officeDocument/2006/relationships/hyperlink" Target="http://darkroomagency.com" TargetMode="External"/><Relationship Id="rId2140" Type="http://schemas.openxmlformats.org/officeDocument/2006/relationships/hyperlink" Target="https://www.grow.ae/" TargetMode="External"/><Relationship Id="rId461" Type="http://schemas.openxmlformats.org/officeDocument/2006/relationships/hyperlink" Target="http://nerdsey.com" TargetMode="External"/><Relationship Id="rId1294" Type="http://schemas.openxmlformats.org/officeDocument/2006/relationships/hyperlink" Target="https://www.dataterminal.co/about/blogs/ai-seo-companies-dubai-2026" TargetMode="External"/><Relationship Id="rId2141" Type="http://schemas.openxmlformats.org/officeDocument/2006/relationships/hyperlink" Target="http://grow.ae" TargetMode="External"/><Relationship Id="rId460" Type="http://schemas.openxmlformats.org/officeDocument/2006/relationships/hyperlink" Target="https://www.nerdsey.com/cite/aeo-agency-dubai/" TargetMode="External"/><Relationship Id="rId1295" Type="http://schemas.openxmlformats.org/officeDocument/2006/relationships/hyperlink" Target="http://dataterminal.co" TargetMode="External"/><Relationship Id="rId2142" Type="http://schemas.openxmlformats.org/officeDocument/2006/relationships/hyperlink" Target="https://www.growth-hackers.net/best-performance-marketing-agencies/" TargetMode="External"/><Relationship Id="rId1296" Type="http://schemas.openxmlformats.org/officeDocument/2006/relationships/hyperlink" Target="https://www.deducive.com/" TargetMode="External"/><Relationship Id="rId2143" Type="http://schemas.openxmlformats.org/officeDocument/2006/relationships/hyperlink" Target="http://growth-hackers.net" TargetMode="External"/><Relationship Id="rId466" Type="http://schemas.openxmlformats.org/officeDocument/2006/relationships/hyperlink" Target="https://www.sapience.ae/" TargetMode="External"/><Relationship Id="rId1297" Type="http://schemas.openxmlformats.org/officeDocument/2006/relationships/hyperlink" Target="http://deducive.com" TargetMode="External"/><Relationship Id="rId2144" Type="http://schemas.openxmlformats.org/officeDocument/2006/relationships/hyperlink" Target="https://www.growth-rocket.com/blog/what-high-performing-agencies-do-differently-with-first-party-data-strategy/" TargetMode="External"/><Relationship Id="rId465" Type="http://schemas.openxmlformats.org/officeDocument/2006/relationships/hyperlink" Target="http://roifromads.com" TargetMode="External"/><Relationship Id="rId1298" Type="http://schemas.openxmlformats.org/officeDocument/2006/relationships/hyperlink" Target="https://www.deloitte.com/middle-east/en/services/consulting/services/ai-readiness-middle-east.html" TargetMode="External"/><Relationship Id="rId2145" Type="http://schemas.openxmlformats.org/officeDocument/2006/relationships/hyperlink" Target="http://growth-rocket.com" TargetMode="External"/><Relationship Id="rId464" Type="http://schemas.openxmlformats.org/officeDocument/2006/relationships/hyperlink" Target="https://roifromads.com/" TargetMode="External"/><Relationship Id="rId1299" Type="http://schemas.openxmlformats.org/officeDocument/2006/relationships/hyperlink" Target="http://deloitte.com" TargetMode="External"/><Relationship Id="rId2146" Type="http://schemas.openxmlformats.org/officeDocument/2006/relationships/hyperlink" Target="https://growth.cx/blog/best-performance-marketing-agencies/" TargetMode="External"/><Relationship Id="rId463" Type="http://schemas.openxmlformats.org/officeDocument/2006/relationships/hyperlink" Target="http://performancestimuli.com" TargetMode="External"/><Relationship Id="rId2147" Type="http://schemas.openxmlformats.org/officeDocument/2006/relationships/hyperlink" Target="http://growth.cx" TargetMode="External"/><Relationship Id="rId2137" Type="http://schemas.openxmlformats.org/officeDocument/2006/relationships/hyperlink" Target="http://grantthornton.com" TargetMode="External"/><Relationship Id="rId2138" Type="http://schemas.openxmlformats.org/officeDocument/2006/relationships/hyperlink" Target="https://www.gravitatedesign.com/service/ai-seo/" TargetMode="External"/><Relationship Id="rId2139" Type="http://schemas.openxmlformats.org/officeDocument/2006/relationships/hyperlink" Target="http://gravitatedesign.com" TargetMode="External"/><Relationship Id="rId459" Type="http://schemas.openxmlformats.org/officeDocument/2006/relationships/hyperlink" Target="http://moonbox.ae" TargetMode="External"/><Relationship Id="rId458" Type="http://schemas.openxmlformats.org/officeDocument/2006/relationships/hyperlink" Target="https://www.moonbox.ae/" TargetMode="External"/><Relationship Id="rId457" Type="http://schemas.openxmlformats.org/officeDocument/2006/relationships/hyperlink" Target="http://measured.com" TargetMode="External"/><Relationship Id="rId456" Type="http://schemas.openxmlformats.org/officeDocument/2006/relationships/hyperlink" Target="https://www.measured.com/incremental-lift-tests/" TargetMode="External"/><Relationship Id="rId1280" Type="http://schemas.openxmlformats.org/officeDocument/2006/relationships/hyperlink" Target="https://www.clickpost.ai/blog/logistics-companies-in-uae" TargetMode="External"/><Relationship Id="rId1281" Type="http://schemas.openxmlformats.org/officeDocument/2006/relationships/hyperlink" Target="http://clickpost.ai" TargetMode="External"/><Relationship Id="rId451" Type="http://schemas.openxmlformats.org/officeDocument/2006/relationships/hyperlink" Target="http://impressionmedia.ae" TargetMode="External"/><Relationship Id="rId1282" Type="http://schemas.openxmlformats.org/officeDocument/2006/relationships/hyperlink" Target="https://clicksgeek.com/marketing-attribution-tracking-services/" TargetMode="External"/><Relationship Id="rId450" Type="http://schemas.openxmlformats.org/officeDocument/2006/relationships/hyperlink" Target="https://www.impressionmedia.ae/digital-marketing/ai-powered-digital-marketing-agencies-in-dubai-uae" TargetMode="External"/><Relationship Id="rId1283" Type="http://schemas.openxmlformats.org/officeDocument/2006/relationships/hyperlink" Target="http://clicksgeek.com" TargetMode="External"/><Relationship Id="rId2130" Type="http://schemas.openxmlformats.org/officeDocument/2006/relationships/hyperlink" Target="http://govanator.com" TargetMode="External"/><Relationship Id="rId1284" Type="http://schemas.openxmlformats.org/officeDocument/2006/relationships/hyperlink" Target="https://cornerstonecontent.com/best-generative-engine-optimization-geo-agencies/" TargetMode="External"/><Relationship Id="rId2131" Type="http://schemas.openxmlformats.org/officeDocument/2006/relationships/hyperlink" Target="https://gpcsolutions.ae/digital-marketing-agency-uae/" TargetMode="External"/><Relationship Id="rId1285" Type="http://schemas.openxmlformats.org/officeDocument/2006/relationships/hyperlink" Target="http://cornerstonecontent.com" TargetMode="External"/><Relationship Id="rId2132" Type="http://schemas.openxmlformats.org/officeDocument/2006/relationships/hyperlink" Target="http://gpcsolutions.ae" TargetMode="External"/><Relationship Id="rId455" Type="http://schemas.openxmlformats.org/officeDocument/2006/relationships/hyperlink" Target="http://linkedin.com" TargetMode="External"/><Relationship Id="rId1286" Type="http://schemas.openxmlformats.org/officeDocument/2006/relationships/hyperlink" Target="https://creativemediahouse.ae/top-ranked-digital-marketing-companies-in-abu-dhabi/" TargetMode="External"/><Relationship Id="rId2133" Type="http://schemas.openxmlformats.org/officeDocument/2006/relationships/hyperlink" Target="https://gr.agency/blog/ppc-companies-in-dubai" TargetMode="External"/><Relationship Id="rId454" Type="http://schemas.openxmlformats.org/officeDocument/2006/relationships/hyperlink" Target="https://www.linkedin.com/pulse/top-10-ai-consulting-services-providers-dubai-abu-dhabi-hazel-wilson-fvqvf" TargetMode="External"/><Relationship Id="rId1287" Type="http://schemas.openxmlformats.org/officeDocument/2006/relationships/hyperlink" Target="http://creativemediahouse.ae" TargetMode="External"/><Relationship Id="rId2134" Type="http://schemas.openxmlformats.org/officeDocument/2006/relationships/hyperlink" Target="https://gr.agency/blog/top-creative-agencies-in-dubai" TargetMode="External"/><Relationship Id="rId453" Type="http://schemas.openxmlformats.org/officeDocument/2006/relationships/hyperlink" Target="http://lifesight.io" TargetMode="External"/><Relationship Id="rId1288" Type="http://schemas.openxmlformats.org/officeDocument/2006/relationships/hyperlink" Target="https://daleel-ai.com/" TargetMode="External"/><Relationship Id="rId2135" Type="http://schemas.openxmlformats.org/officeDocument/2006/relationships/hyperlink" Target="https://gr.agency/blog/top-digital-marketing-agency" TargetMode="External"/><Relationship Id="rId452" Type="http://schemas.openxmlformats.org/officeDocument/2006/relationships/hyperlink" Target="https://lifesight.io/blog/best-incrementality-testing-tools/" TargetMode="External"/><Relationship Id="rId1289" Type="http://schemas.openxmlformats.org/officeDocument/2006/relationships/hyperlink" Target="http://daleel-ai.com" TargetMode="External"/><Relationship Id="rId2136" Type="http://schemas.openxmlformats.org/officeDocument/2006/relationships/hyperlink" Target="https://www.grantthornton.com/insights/articles/advisory/2026/ai-adoption-strategies-that-stick" TargetMode="External"/><Relationship Id="rId491" Type="http://schemas.openxmlformats.org/officeDocument/2006/relationships/hyperlink" Target="http://zabtechdigital.ae" TargetMode="External"/><Relationship Id="rId490" Type="http://schemas.openxmlformats.org/officeDocument/2006/relationships/hyperlink" Target="https://zabtechdigital.ae/our-services/digital-marketing-agency-dubai/digital-paid-ads-services/display-advertising-agency-in-dubai/" TargetMode="External"/><Relationship Id="rId489" Type="http://schemas.openxmlformats.org/officeDocument/2006/relationships/hyperlink" Target="http://topgeoagencies.com" TargetMode="External"/><Relationship Id="rId2160" Type="http://schemas.openxmlformats.org/officeDocument/2006/relationships/hyperlink" Target="https://grudva.com/services/ai-readiness-maturity/" TargetMode="External"/><Relationship Id="rId2161" Type="http://schemas.openxmlformats.org/officeDocument/2006/relationships/hyperlink" Target="http://grudva.com" TargetMode="External"/><Relationship Id="rId484" Type="http://schemas.openxmlformats.org/officeDocument/2006/relationships/hyperlink" Target="https://techbehemoths.com/companies/marketing-analytics/united-arab-emirates" TargetMode="External"/><Relationship Id="rId2162" Type="http://schemas.openxmlformats.org/officeDocument/2006/relationships/hyperlink" Target="https://www.gtechme.com/seo-company-in-dubai/" TargetMode="External"/><Relationship Id="rId483" Type="http://schemas.openxmlformats.org/officeDocument/2006/relationships/hyperlink" Target="http://teamlewis.com" TargetMode="External"/><Relationship Id="rId2163" Type="http://schemas.openxmlformats.org/officeDocument/2006/relationships/hyperlink" Target="http://gtechme.com" TargetMode="External"/><Relationship Id="rId482" Type="http://schemas.openxmlformats.org/officeDocument/2006/relationships/hyperlink" Target="https://www.teamlewis.com/ae/magazine/best-geo-agencies-uae/" TargetMode="External"/><Relationship Id="rId2164" Type="http://schemas.openxmlformats.org/officeDocument/2006/relationships/hyperlink" Target="https://www.gtm8020.com/services/marketing-analytics" TargetMode="External"/><Relationship Id="rId481" Type="http://schemas.openxmlformats.org/officeDocument/2006/relationships/hyperlink" Target="http://google.com" TargetMode="External"/><Relationship Id="rId2165" Type="http://schemas.openxmlformats.org/officeDocument/2006/relationships/hyperlink" Target="http://gtm8020.com" TargetMode="External"/><Relationship Id="rId488" Type="http://schemas.openxmlformats.org/officeDocument/2006/relationships/hyperlink" Target="https://topgeoagencies.com/" TargetMode="External"/><Relationship Id="rId2166" Type="http://schemas.openxmlformats.org/officeDocument/2006/relationships/hyperlink" Target="https://gulfnews.com/business/corporate-news/agn-it-services-launches-ai-framework-to-support-sme-digital-transformation-in-uae-1.500430076" TargetMode="External"/><Relationship Id="rId487" Type="http://schemas.openxmlformats.org/officeDocument/2006/relationships/hyperlink" Target="http://thatware.co" TargetMode="External"/><Relationship Id="rId2167" Type="http://schemas.openxmlformats.org/officeDocument/2006/relationships/hyperlink" Target="http://gulfnews.com" TargetMode="External"/><Relationship Id="rId486" Type="http://schemas.openxmlformats.org/officeDocument/2006/relationships/hyperlink" Target="https://thatware.co/top-10-ai-search-companies-in-dubai/" TargetMode="External"/><Relationship Id="rId2168" Type="http://schemas.openxmlformats.org/officeDocument/2006/relationships/hyperlink" Target="https://gulfnews.com/uae/uae-is-worlds-most-prepared-nation-for-ai-adoption-al-gergawi-1.500579983" TargetMode="External"/><Relationship Id="rId485" Type="http://schemas.openxmlformats.org/officeDocument/2006/relationships/hyperlink" Target="http://techbehemoths.com" TargetMode="External"/><Relationship Id="rId2169" Type="http://schemas.openxmlformats.org/officeDocument/2006/relationships/hyperlink" Target="http://gulfnews.com" TargetMode="External"/><Relationship Id="rId2159" Type="http://schemas.openxmlformats.org/officeDocument/2006/relationships/hyperlink" Target="http://growthspreeofficial.com" TargetMode="External"/><Relationship Id="rId480" Type="http://schemas.openxmlformats.org/officeDocument/2006/relationships/hyperlink" Target="https://support.google.com/analytics/answer/7237700?hl=en" TargetMode="External"/><Relationship Id="rId479" Type="http://schemas.openxmlformats.org/officeDocument/2006/relationships/hyperlink" Target="http://sortlist.com" TargetMode="External"/><Relationship Id="rId478" Type="http://schemas.openxmlformats.org/officeDocument/2006/relationships/hyperlink" Target="https://www.sortlist.com/s/ai-marketing/united-arab-emirates-ae" TargetMode="External"/><Relationship Id="rId2150" Type="http://schemas.openxmlformats.org/officeDocument/2006/relationships/hyperlink" Target="https://growthcurve.co/agency/digital-marketing-agency/best-growth-marketing-agencies" TargetMode="External"/><Relationship Id="rId473" Type="http://schemas.openxmlformats.org/officeDocument/2006/relationships/hyperlink" Target="http://sellforte.com" TargetMode="External"/><Relationship Id="rId2151" Type="http://schemas.openxmlformats.org/officeDocument/2006/relationships/hyperlink" Target="http://growthcurve.co" TargetMode="External"/><Relationship Id="rId472" Type="http://schemas.openxmlformats.org/officeDocument/2006/relationships/hyperlink" Target="https://sellforte.com/" TargetMode="External"/><Relationship Id="rId2152" Type="http://schemas.openxmlformats.org/officeDocument/2006/relationships/hyperlink" Target="https://www.growthensemble.com/ai-marketing" TargetMode="External"/><Relationship Id="rId471" Type="http://schemas.openxmlformats.org/officeDocument/2006/relationships/hyperlink" Target="http://segmentstream.com" TargetMode="External"/><Relationship Id="rId2153" Type="http://schemas.openxmlformats.org/officeDocument/2006/relationships/hyperlink" Target="http://growthensemble.com" TargetMode="External"/><Relationship Id="rId470" Type="http://schemas.openxmlformats.org/officeDocument/2006/relationships/hyperlink" Target="https://segmentstream.com/blog/articles/top-10-incrementality-testing-tools" TargetMode="External"/><Relationship Id="rId2154" Type="http://schemas.openxmlformats.org/officeDocument/2006/relationships/hyperlink" Target="https://growthmanager.ai/best-aeo-agency/in/dubai" TargetMode="External"/><Relationship Id="rId477" Type="http://schemas.openxmlformats.org/officeDocument/2006/relationships/hyperlink" Target="http://sociallypowerful.com" TargetMode="External"/><Relationship Id="rId2155" Type="http://schemas.openxmlformats.org/officeDocument/2006/relationships/hyperlink" Target="http://growthmanager.ai" TargetMode="External"/><Relationship Id="rId476" Type="http://schemas.openxmlformats.org/officeDocument/2006/relationships/hyperlink" Target="https://sociallypowerful.com/post/top-social-media-marketing-agencies-dubai" TargetMode="External"/><Relationship Id="rId2156" Type="http://schemas.openxmlformats.org/officeDocument/2006/relationships/hyperlink" Target="https://growthmarketing.ae/" TargetMode="External"/><Relationship Id="rId475" Type="http://schemas.openxmlformats.org/officeDocument/2006/relationships/hyperlink" Target="http://slashdot.org" TargetMode="External"/><Relationship Id="rId2157" Type="http://schemas.openxmlformats.org/officeDocument/2006/relationships/hyperlink" Target="http://growthmarketing.ae" TargetMode="External"/><Relationship Id="rId474" Type="http://schemas.openxmlformats.org/officeDocument/2006/relationships/hyperlink" Target="https://slashdot.org/software/incrementality-testing/in-middle-east/" TargetMode="External"/><Relationship Id="rId2158" Type="http://schemas.openxmlformats.org/officeDocument/2006/relationships/hyperlink" Target="https://www.growthspreeofficial.com/blogs/top-5-roi-focused-agencies-for-b2b-saas-growth-marketing-in-2026" TargetMode="External"/><Relationship Id="rId1257" Type="http://schemas.openxmlformats.org/officeDocument/2006/relationships/hyperlink" Target="http://brandmeadv.com" TargetMode="External"/><Relationship Id="rId2104" Type="http://schemas.openxmlformats.org/officeDocument/2006/relationships/hyperlink" Target="http://google.com" TargetMode="External"/><Relationship Id="rId2588" Type="http://schemas.openxmlformats.org/officeDocument/2006/relationships/hyperlink" Target="http://redberries.ae" TargetMode="External"/><Relationship Id="rId1258" Type="http://schemas.openxmlformats.org/officeDocument/2006/relationships/hyperlink" Target="https://www.brandstory.ae/industries/b2b-performance-marketing-agency-in-dubai-uae/" TargetMode="External"/><Relationship Id="rId2105" Type="http://schemas.openxmlformats.org/officeDocument/2006/relationships/hyperlink" Target="https://www.google.com/searchviewer/10?svid=CAwSHRIbCgNwdnESFENnMHZaeTh4TVc1dGVsOHhkSGxzGAo" TargetMode="External"/><Relationship Id="rId2589" Type="http://schemas.openxmlformats.org/officeDocument/2006/relationships/hyperlink" Target="https://www.reddit.com/r/LLMTraffic/comments/1t44tn7/which_geo_marketing_agencies_are_actually_worth/" TargetMode="External"/><Relationship Id="rId1259" Type="http://schemas.openxmlformats.org/officeDocument/2006/relationships/hyperlink" Target="http://brandstory.ae" TargetMode="External"/><Relationship Id="rId2106" Type="http://schemas.openxmlformats.org/officeDocument/2006/relationships/hyperlink" Target="http://google.com" TargetMode="External"/><Relationship Id="rId2107" Type="http://schemas.openxmlformats.org/officeDocument/2006/relationships/hyperlink" Target="https://www.google.com/searchviewer/10?svid=CAwSHRIbCgNwdnESFENnMHZaeTh4TVd4MGNUZzVYM055GAo" TargetMode="External"/><Relationship Id="rId2108" Type="http://schemas.openxmlformats.org/officeDocument/2006/relationships/hyperlink" Target="http://google.com" TargetMode="External"/><Relationship Id="rId2109" Type="http://schemas.openxmlformats.org/officeDocument/2006/relationships/hyperlink" Target="https://www.google.com/searchviewer/10?svid=CAwSHRIbCgNwdnESFENnMHZaeTh4TVdJMlpEQXdiRE54GAo" TargetMode="External"/><Relationship Id="rId426" Type="http://schemas.openxmlformats.org/officeDocument/2006/relationships/hyperlink" Target="https://artrevo.net/blog/best-ai-marketing-agency-dubai-uae/" TargetMode="External"/><Relationship Id="rId425" Type="http://schemas.openxmlformats.org/officeDocument/2006/relationships/hyperlink" Target="http://appinventiv.com" TargetMode="External"/><Relationship Id="rId424" Type="http://schemas.openxmlformats.org/officeDocument/2006/relationships/hyperlink" Target="https://appinventiv.com/ae/ai-consulting-services-in-dubai/" TargetMode="External"/><Relationship Id="rId423" Type="http://schemas.openxmlformats.org/officeDocument/2006/relationships/hyperlink" Target="http://allblogthings.com" TargetMode="External"/><Relationship Id="rId429" Type="http://schemas.openxmlformats.org/officeDocument/2006/relationships/hyperlink" Target="http://astudio.ae" TargetMode="External"/><Relationship Id="rId428" Type="http://schemas.openxmlformats.org/officeDocument/2006/relationships/hyperlink" Target="https://www.astudio.ae/digital-marketing-agency/" TargetMode="External"/><Relationship Id="rId427" Type="http://schemas.openxmlformats.org/officeDocument/2006/relationships/hyperlink" Target="http://artrevo.net" TargetMode="External"/><Relationship Id="rId2580" Type="http://schemas.openxmlformats.org/officeDocument/2006/relationships/hyperlink" Target="http://ranksiege.com" TargetMode="External"/><Relationship Id="rId1250" Type="http://schemas.openxmlformats.org/officeDocument/2006/relationships/hyperlink" Target="https://bird.ae/b2b/" TargetMode="External"/><Relationship Id="rId2581" Type="http://schemas.openxmlformats.org/officeDocument/2006/relationships/hyperlink" Target="https://www.reachadv.com/" TargetMode="External"/><Relationship Id="rId1251" Type="http://schemas.openxmlformats.org/officeDocument/2006/relationships/hyperlink" Target="http://bird.ae" TargetMode="External"/><Relationship Id="rId2582" Type="http://schemas.openxmlformats.org/officeDocument/2006/relationships/hyperlink" Target="http://reachadv.com" TargetMode="External"/><Relationship Id="rId1252" Type="http://schemas.openxmlformats.org/officeDocument/2006/relationships/hyperlink" Target="https://bird.ae/ppc/display/" TargetMode="External"/><Relationship Id="rId2583" Type="http://schemas.openxmlformats.org/officeDocument/2006/relationships/hyperlink" Target="https://www.rebootonline.com/paid-media/best-paid-media-agencies/" TargetMode="External"/><Relationship Id="rId422" Type="http://schemas.openxmlformats.org/officeDocument/2006/relationships/hyperlink" Target="https://www.allblogthings.com/2026/07/top-10-aiseo-aeo-agencies-in-uae.html" TargetMode="External"/><Relationship Id="rId1253" Type="http://schemas.openxmlformats.org/officeDocument/2006/relationships/hyperlink" Target="http://bird.ae" TargetMode="External"/><Relationship Id="rId2100" Type="http://schemas.openxmlformats.org/officeDocument/2006/relationships/hyperlink" Target="http://google.com" TargetMode="External"/><Relationship Id="rId2584" Type="http://schemas.openxmlformats.org/officeDocument/2006/relationships/hyperlink" Target="http://rebootonline.com" TargetMode="External"/><Relationship Id="rId421" Type="http://schemas.openxmlformats.org/officeDocument/2006/relationships/hyperlink" Target="https://aiims.group/services/ai-marketing-services/ai-seo-services-dubai/" TargetMode="External"/><Relationship Id="rId1254" Type="http://schemas.openxmlformats.org/officeDocument/2006/relationships/hyperlink" Target="https://boostmylocalbusiness.ai/ai-digital-marketing/digital-marketing-services" TargetMode="External"/><Relationship Id="rId2101" Type="http://schemas.openxmlformats.org/officeDocument/2006/relationships/hyperlink" Target="https://www.google.com/searchviewer/10?svid=CAwSHBIaCgNwdnESE0Nnd3ZaeTh4YUdjMGVHYzBkakkYCg" TargetMode="External"/><Relationship Id="rId2585" Type="http://schemas.openxmlformats.org/officeDocument/2006/relationships/hyperlink" Target="https://red-engage.com/blog/best-international-marketing-agencies" TargetMode="External"/><Relationship Id="rId420" Type="http://schemas.openxmlformats.org/officeDocument/2006/relationships/hyperlink" Target="http://2p.ae" TargetMode="External"/><Relationship Id="rId1255" Type="http://schemas.openxmlformats.org/officeDocument/2006/relationships/hyperlink" Target="http://boostmylocalbusiness.ai" TargetMode="External"/><Relationship Id="rId2102" Type="http://schemas.openxmlformats.org/officeDocument/2006/relationships/hyperlink" Target="http://google.com" TargetMode="External"/><Relationship Id="rId2586" Type="http://schemas.openxmlformats.org/officeDocument/2006/relationships/hyperlink" Target="http://red-engage.com" TargetMode="External"/><Relationship Id="rId1256" Type="http://schemas.openxmlformats.org/officeDocument/2006/relationships/hyperlink" Target="https://www.brandmeadv.com/" TargetMode="External"/><Relationship Id="rId2103" Type="http://schemas.openxmlformats.org/officeDocument/2006/relationships/hyperlink" Target="https://www.google.com/searchviewer/10?svid=CAwSHRIbCgNwdnESFENnMHZaeTh4TVc1NGNXMWpaM04zGAo" TargetMode="External"/><Relationship Id="rId2587" Type="http://schemas.openxmlformats.org/officeDocument/2006/relationships/hyperlink" Target="https://redberries.ae/services/a-b-testing-the-end-or-the-beginning/" TargetMode="External"/><Relationship Id="rId1246" Type="http://schemas.openxmlformats.org/officeDocument/2006/relationships/hyperlink" Target="https://augencia.com/" TargetMode="External"/><Relationship Id="rId2577" Type="http://schemas.openxmlformats.org/officeDocument/2006/relationships/hyperlink" Target="https://www.pwc.com/m1/en/publications/realising-the-full-potential-of-data-and-ai-in-the-middle-east.html" TargetMode="External"/><Relationship Id="rId1247" Type="http://schemas.openxmlformats.org/officeDocument/2006/relationships/hyperlink" Target="http://augencia.com" TargetMode="External"/><Relationship Id="rId2578" Type="http://schemas.openxmlformats.org/officeDocument/2006/relationships/hyperlink" Target="http://pwc.com" TargetMode="External"/><Relationship Id="rId1248" Type="http://schemas.openxmlformats.org/officeDocument/2006/relationships/hyperlink" Target="https://www.bicommunications.ae/blog/best-instagram-marketing-agencies-dubai/" TargetMode="External"/><Relationship Id="rId2579" Type="http://schemas.openxmlformats.org/officeDocument/2006/relationships/hyperlink" Target="https://www.ranksiege.com/" TargetMode="External"/><Relationship Id="rId1249" Type="http://schemas.openxmlformats.org/officeDocument/2006/relationships/hyperlink" Target="http://bicommunications.ae" TargetMode="External"/><Relationship Id="rId415" Type="http://schemas.openxmlformats.org/officeDocument/2006/relationships/hyperlink" Target="https://uaesmsmarketing.com/list-best-outdoor-advertising-companies-dubai-uae/" TargetMode="External"/><Relationship Id="rId899" Type="http://schemas.openxmlformats.org/officeDocument/2006/relationships/hyperlink" Target="https://www.webtonic.io/blog/top-marketing-agencies-dubai" TargetMode="External"/><Relationship Id="rId414" Type="http://schemas.openxmlformats.org/officeDocument/2006/relationships/hyperlink" Target="http://titananalytics.ae" TargetMode="External"/><Relationship Id="rId898" Type="http://schemas.openxmlformats.org/officeDocument/2006/relationships/hyperlink" Target="http://waimhub.com" TargetMode="External"/><Relationship Id="rId413" Type="http://schemas.openxmlformats.org/officeDocument/2006/relationships/hyperlink" Target="https://titananalytics.ae/services/digital-marketing/" TargetMode="External"/><Relationship Id="rId897" Type="http://schemas.openxmlformats.org/officeDocument/2006/relationships/hyperlink" Target="https://waimhub.com/ai-marketing-agency-dubai-guide/" TargetMode="External"/><Relationship Id="rId412" Type="http://schemas.openxmlformats.org/officeDocument/2006/relationships/hyperlink" Target="http://techradar.com" TargetMode="External"/><Relationship Id="rId896" Type="http://schemas.openxmlformats.org/officeDocument/2006/relationships/hyperlink" Target="http://vybinex.com" TargetMode="External"/><Relationship Id="rId419" Type="http://schemas.openxmlformats.org/officeDocument/2006/relationships/hyperlink" Target="https://2p.ae/certified-google-partner/" TargetMode="External"/><Relationship Id="rId418" Type="http://schemas.openxmlformats.org/officeDocument/2006/relationships/hyperlink" Target="http://youtube.com" TargetMode="External"/><Relationship Id="rId417" Type="http://schemas.openxmlformats.org/officeDocument/2006/relationships/hyperlink" Target="https://www.youtube.com/watch?v=IhghlPIIuic" TargetMode="External"/><Relationship Id="rId416" Type="http://schemas.openxmlformats.org/officeDocument/2006/relationships/hyperlink" Target="http://uaesmsmarketing.com" TargetMode="External"/><Relationship Id="rId891" Type="http://schemas.openxmlformats.org/officeDocument/2006/relationships/hyperlink" Target="https://uplift-lab.com/ab-testing-experimentation-agency-dubai-uae/" TargetMode="External"/><Relationship Id="rId890" Type="http://schemas.openxmlformats.org/officeDocument/2006/relationships/hyperlink" Target="http://truenorthmarketing.ae" TargetMode="External"/><Relationship Id="rId2570" Type="http://schemas.openxmlformats.org/officeDocument/2006/relationships/hyperlink" Target="http://pulseo.ae" TargetMode="External"/><Relationship Id="rId1240" Type="http://schemas.openxmlformats.org/officeDocument/2006/relationships/hyperlink" Target="https://www.artefact.com/offers/marketing-data-driven/gmp-certified-reseller/" TargetMode="External"/><Relationship Id="rId2571" Type="http://schemas.openxmlformats.org/officeDocument/2006/relationships/hyperlink" Target="https://www.pushgroup.ae/blog/property-marketing-agencies-in-dubai" TargetMode="External"/><Relationship Id="rId1241" Type="http://schemas.openxmlformats.org/officeDocument/2006/relationships/hyperlink" Target="http://artefact.com" TargetMode="External"/><Relationship Id="rId2572" Type="http://schemas.openxmlformats.org/officeDocument/2006/relationships/hyperlink" Target="http://pushgroup.ae" TargetMode="External"/><Relationship Id="rId411" Type="http://schemas.openxmlformats.org/officeDocument/2006/relationships/hyperlink" Target="https://www.techradar.com/pro/aeo-vs-seo-whats-the-difference-and-do-you-need-both" TargetMode="External"/><Relationship Id="rId895" Type="http://schemas.openxmlformats.org/officeDocument/2006/relationships/hyperlink" Target="https://vybinex.com/about/" TargetMode="External"/><Relationship Id="rId1242" Type="http://schemas.openxmlformats.org/officeDocument/2006/relationships/hyperlink" Target="https://www.artifactinnovations.com/" TargetMode="External"/><Relationship Id="rId2573" Type="http://schemas.openxmlformats.org/officeDocument/2006/relationships/hyperlink" Target="https://www.pushgroup.ae/blog/top-ppc-agencies-in-dubai" TargetMode="External"/><Relationship Id="rId410" Type="http://schemas.openxmlformats.org/officeDocument/2006/relationships/hyperlink" Target="https://www.stackwise.site/services/ai-consulting" TargetMode="External"/><Relationship Id="rId894" Type="http://schemas.openxmlformats.org/officeDocument/2006/relationships/hyperlink" Target="http://upscale-digital.com" TargetMode="External"/><Relationship Id="rId1243" Type="http://schemas.openxmlformats.org/officeDocument/2006/relationships/hyperlink" Target="http://artifactinnovations.com" TargetMode="External"/><Relationship Id="rId2574" Type="http://schemas.openxmlformats.org/officeDocument/2006/relationships/hyperlink" Target="http://pushgroup.ae" TargetMode="External"/><Relationship Id="rId893" Type="http://schemas.openxmlformats.org/officeDocument/2006/relationships/hyperlink" Target="https://upscale-digital.com/blog/top-10-social-media-marketing-agencies-in-dubai/" TargetMode="External"/><Relationship Id="rId1244" Type="http://schemas.openxmlformats.org/officeDocument/2006/relationships/hyperlink" Target="https://www.artifactinnovations.com/ai-consulting-dubai" TargetMode="External"/><Relationship Id="rId2575" Type="http://schemas.openxmlformats.org/officeDocument/2006/relationships/hyperlink" Target="https://www.pwc.com/gx/en/about-pwc/analyst-relations/assets/idc-marketscape-gulf-countries-ai-pwc.pdf" TargetMode="External"/><Relationship Id="rId892" Type="http://schemas.openxmlformats.org/officeDocument/2006/relationships/hyperlink" Target="http://uplift-lab.com" TargetMode="External"/><Relationship Id="rId1245" Type="http://schemas.openxmlformats.org/officeDocument/2006/relationships/hyperlink" Target="http://artifactinnovations.com" TargetMode="External"/><Relationship Id="rId2576" Type="http://schemas.openxmlformats.org/officeDocument/2006/relationships/hyperlink" Target="http://pwc.com" TargetMode="External"/><Relationship Id="rId1279" Type="http://schemas.openxmlformats.org/officeDocument/2006/relationships/hyperlink" Target="http://chainreaction.ae" TargetMode="External"/><Relationship Id="rId2126" Type="http://schemas.openxmlformats.org/officeDocument/2006/relationships/hyperlink" Target="http://google.com" TargetMode="External"/><Relationship Id="rId2127" Type="http://schemas.openxmlformats.org/officeDocument/2006/relationships/hyperlink" Target="https://www.google.com/searchviewer/10?svid=CAwSHRIbCgNwdnESFENnMHZaeTh4TVhkak9YQm9PWGM0GAo" TargetMode="External"/><Relationship Id="rId2128" Type="http://schemas.openxmlformats.org/officeDocument/2006/relationships/hyperlink" Target="http://google.com" TargetMode="External"/><Relationship Id="rId2129" Type="http://schemas.openxmlformats.org/officeDocument/2006/relationships/hyperlink" Target="https://govanator.com/best-google-ads-services-in-australia/" TargetMode="External"/><Relationship Id="rId448" Type="http://schemas.openxmlformats.org/officeDocument/2006/relationships/hyperlink" Target="https://hypebox.me/blog/articles/top-10-boutique-creative-agencies-in-uae-2026" TargetMode="External"/><Relationship Id="rId447" Type="http://schemas.openxmlformats.org/officeDocument/2006/relationships/hyperlink" Target="http://foresightfox.com" TargetMode="External"/><Relationship Id="rId446" Type="http://schemas.openxmlformats.org/officeDocument/2006/relationships/hyperlink" Target="https://foresightfox.com/blog/top-10-ai-seo-agencies-in-uae/" TargetMode="External"/><Relationship Id="rId445" Type="http://schemas.openxmlformats.org/officeDocument/2006/relationships/hyperlink" Target="http://effective.ae" TargetMode="External"/><Relationship Id="rId449" Type="http://schemas.openxmlformats.org/officeDocument/2006/relationships/hyperlink" Target="http://hypebox.me" TargetMode="External"/><Relationship Id="rId1270" Type="http://schemas.openxmlformats.org/officeDocument/2006/relationships/hyperlink" Target="https://business.google.com/us/support/work-with-a-partner/" TargetMode="External"/><Relationship Id="rId440" Type="http://schemas.openxmlformats.org/officeDocument/2006/relationships/hyperlink" Target="https://e-cens.com/blog/best-data-analytics-companies-in-the-uae-2026-a-buyers-guide/" TargetMode="External"/><Relationship Id="rId1271" Type="http://schemas.openxmlformats.org/officeDocument/2006/relationships/hyperlink" Target="http://google.com" TargetMode="External"/><Relationship Id="rId1272" Type="http://schemas.openxmlformats.org/officeDocument/2006/relationships/hyperlink" Target="https://www.businessinsider.com/top-geo-tips-ai-search-google-microsoft-perplexity-2025-12" TargetMode="External"/><Relationship Id="rId1273" Type="http://schemas.openxmlformats.org/officeDocument/2006/relationships/hyperlink" Target="http://businessinsider.com" TargetMode="External"/><Relationship Id="rId2120" Type="http://schemas.openxmlformats.org/officeDocument/2006/relationships/hyperlink" Target="http://google.com" TargetMode="External"/><Relationship Id="rId1274" Type="http://schemas.openxmlformats.org/officeDocument/2006/relationships/hyperlink" Target="https://www.businessofapps.com/marketplace/performance-marketing/" TargetMode="External"/><Relationship Id="rId2121" Type="http://schemas.openxmlformats.org/officeDocument/2006/relationships/hyperlink" Target="https://www.google.com/searchviewer/10?svid=CAwSHRIbCgNwdnESFENnMHZaeTh4TVhRMFlqRnNjSEJuGAo" TargetMode="External"/><Relationship Id="rId444" Type="http://schemas.openxmlformats.org/officeDocument/2006/relationships/hyperlink" Target="https://effective.ae/services/best-ai-agency-uae/" TargetMode="External"/><Relationship Id="rId1275" Type="http://schemas.openxmlformats.org/officeDocument/2006/relationships/hyperlink" Target="http://businessofapps.com" TargetMode="External"/><Relationship Id="rId2122" Type="http://schemas.openxmlformats.org/officeDocument/2006/relationships/hyperlink" Target="http://google.com" TargetMode="External"/><Relationship Id="rId443" Type="http://schemas.openxmlformats.org/officeDocument/2006/relationships/hyperlink" Target="http://edisonmoment.com" TargetMode="External"/><Relationship Id="rId1276" Type="http://schemas.openxmlformats.org/officeDocument/2006/relationships/hyperlink" Target="https://campaignme.com/call-for-listings-in-campaigns-creative-media-agency-guide-and-map-2026/" TargetMode="External"/><Relationship Id="rId2123" Type="http://schemas.openxmlformats.org/officeDocument/2006/relationships/hyperlink" Target="https://www.google.com/searchviewer/10?svid=CAwSHRIbCgNwdnESFENnMHZaeTh4TVhSdVgyTTBabnB3GAo" TargetMode="External"/><Relationship Id="rId442" Type="http://schemas.openxmlformats.org/officeDocument/2006/relationships/hyperlink" Target="https://edisonmoment.com/agency/best/digital-marketing-agency-uae" TargetMode="External"/><Relationship Id="rId1277" Type="http://schemas.openxmlformats.org/officeDocument/2006/relationships/hyperlink" Target="http://campaignme.com" TargetMode="External"/><Relationship Id="rId2124" Type="http://schemas.openxmlformats.org/officeDocument/2006/relationships/hyperlink" Target="http://google.com" TargetMode="External"/><Relationship Id="rId441" Type="http://schemas.openxmlformats.org/officeDocument/2006/relationships/hyperlink" Target="http://e-cens.com" TargetMode="External"/><Relationship Id="rId1278" Type="http://schemas.openxmlformats.org/officeDocument/2006/relationships/hyperlink" Target="https://www.chainreaction.ae/our-services/training-consultancy/" TargetMode="External"/><Relationship Id="rId2125" Type="http://schemas.openxmlformats.org/officeDocument/2006/relationships/hyperlink" Target="https://www.google.com/searchviewer/10?svid=CAwSHRIbCgNwdnESFENnMHZaeTh4TVhaNU5tMTVObTUyGAo" TargetMode="External"/><Relationship Id="rId1268" Type="http://schemas.openxmlformats.org/officeDocument/2006/relationships/hyperlink" Target="https://business.google.com/uk/think/measurement/incrementality-testing/" TargetMode="External"/><Relationship Id="rId2115" Type="http://schemas.openxmlformats.org/officeDocument/2006/relationships/hyperlink" Target="https://www.google.com/searchviewer/10?svid=CAwSHRIbCgNwdnESFENnMHZaeTh4TVdOdGRuTmtOWEk1GAo" TargetMode="External"/><Relationship Id="rId2599" Type="http://schemas.openxmlformats.org/officeDocument/2006/relationships/hyperlink" Target="https://researchprofiles.canberra.edu.au/files/84245423/Andrew_Dan.pdf" TargetMode="External"/><Relationship Id="rId1269" Type="http://schemas.openxmlformats.org/officeDocument/2006/relationships/hyperlink" Target="http://google.com" TargetMode="External"/><Relationship Id="rId2116" Type="http://schemas.openxmlformats.org/officeDocument/2006/relationships/hyperlink" Target="http://google.com" TargetMode="External"/><Relationship Id="rId2117" Type="http://schemas.openxmlformats.org/officeDocument/2006/relationships/hyperlink" Target="https://www.google.com/searchviewer/10?svid=CAwSHRIbCgNwdnESFENnMHZaeTh4TVdwdVgxOTJjVGx4GAo" TargetMode="External"/><Relationship Id="rId2118" Type="http://schemas.openxmlformats.org/officeDocument/2006/relationships/hyperlink" Target="http://google.com" TargetMode="External"/><Relationship Id="rId2119" Type="http://schemas.openxmlformats.org/officeDocument/2006/relationships/hyperlink" Target="https://www.google.com/searchviewer/10?svid=CAwSHRIbCgNwdnESFENnMHZaeTh4TVhKbVl6ZDVZbTF6GAo" TargetMode="External"/><Relationship Id="rId437" Type="http://schemas.openxmlformats.org/officeDocument/2006/relationships/hyperlink" Target="http://digitalfarm.ae" TargetMode="External"/><Relationship Id="rId436" Type="http://schemas.openxmlformats.org/officeDocument/2006/relationships/hyperlink" Target="https://digitalfarm.ae/" TargetMode="External"/><Relationship Id="rId435" Type="http://schemas.openxmlformats.org/officeDocument/2006/relationships/hyperlink" Target="http://clutch.co" TargetMode="External"/><Relationship Id="rId434" Type="http://schemas.openxmlformats.org/officeDocument/2006/relationships/hyperlink" Target="https://clutch.co/ae/consulting/ai/strategy" TargetMode="External"/><Relationship Id="rId439" Type="http://schemas.openxmlformats.org/officeDocument/2006/relationships/hyperlink" Target="http://digitaloasisae.com" TargetMode="External"/><Relationship Id="rId438" Type="http://schemas.openxmlformats.org/officeDocument/2006/relationships/hyperlink" Target="https://digitaloasisae.com/top-10-marketing-agencies-in-dubai/" TargetMode="External"/><Relationship Id="rId2590" Type="http://schemas.openxmlformats.org/officeDocument/2006/relationships/hyperlink" Target="http://reddit.com" TargetMode="External"/><Relationship Id="rId1260" Type="http://schemas.openxmlformats.org/officeDocument/2006/relationships/hyperlink" Target="https://www.brandstory.ae/industries/education-performance-marketing-agency-in-dubai-uae/" TargetMode="External"/><Relationship Id="rId2591" Type="http://schemas.openxmlformats.org/officeDocument/2006/relationships/hyperlink" Target="https://www.reddit.com/r/b2bmarketing/comments/1rl47cr/the_10_best_visibility_companies_and_agencies_for/" TargetMode="External"/><Relationship Id="rId1261" Type="http://schemas.openxmlformats.org/officeDocument/2006/relationships/hyperlink" Target="http://brandstory.ae" TargetMode="External"/><Relationship Id="rId2592" Type="http://schemas.openxmlformats.org/officeDocument/2006/relationships/hyperlink" Target="http://reddit.com" TargetMode="External"/><Relationship Id="rId1262" Type="http://schemas.openxmlformats.org/officeDocument/2006/relationships/hyperlink" Target="https://www.brandstory.ae/marketing-performance-reporting-dubai/" TargetMode="External"/><Relationship Id="rId2593" Type="http://schemas.openxmlformats.org/officeDocument/2006/relationships/hyperlink" Target="https://www.reddit.com/r/dubai/comments/139gps7/what_are_the_most_creative_digital_marketing/" TargetMode="External"/><Relationship Id="rId1263" Type="http://schemas.openxmlformats.org/officeDocument/2006/relationships/hyperlink" Target="http://brandstory.ae" TargetMode="External"/><Relationship Id="rId2110" Type="http://schemas.openxmlformats.org/officeDocument/2006/relationships/hyperlink" Target="http://google.com" TargetMode="External"/><Relationship Id="rId2594" Type="http://schemas.openxmlformats.org/officeDocument/2006/relationships/hyperlink" Target="http://reddit.com" TargetMode="External"/><Relationship Id="rId433" Type="http://schemas.openxmlformats.org/officeDocument/2006/relationships/hyperlink" Target="http://bicommunications.ae" TargetMode="External"/><Relationship Id="rId1264" Type="http://schemas.openxmlformats.org/officeDocument/2006/relationships/hyperlink" Target="https://brentonway.com/blog/top-performance-marketing-agencies" TargetMode="External"/><Relationship Id="rId2111" Type="http://schemas.openxmlformats.org/officeDocument/2006/relationships/hyperlink" Target="https://www.google.com/searchviewer/10?svid=CAwSHRIbCgNwdnESFENnMHZaeTh4TVdKaWQzaHNjM2N5GAo" TargetMode="External"/><Relationship Id="rId2595" Type="http://schemas.openxmlformats.org/officeDocument/2006/relationships/hyperlink" Target="https://www.reddit.com/r/u_odysseymarketing20/comments/1sky3gp/10_best_seo_companies_in_dubai_you_can_trust/" TargetMode="External"/><Relationship Id="rId432" Type="http://schemas.openxmlformats.org/officeDocument/2006/relationships/hyperlink" Target="https://www.bicommunications.ae/blog/best-social-media-marketing-agencies-abu-dhabi/" TargetMode="External"/><Relationship Id="rId1265" Type="http://schemas.openxmlformats.org/officeDocument/2006/relationships/hyperlink" Target="http://brentonway.com" TargetMode="External"/><Relationship Id="rId2112" Type="http://schemas.openxmlformats.org/officeDocument/2006/relationships/hyperlink" Target="http://google.com" TargetMode="External"/><Relationship Id="rId2596" Type="http://schemas.openxmlformats.org/officeDocument/2006/relationships/hyperlink" Target="http://reddit.com" TargetMode="External"/><Relationship Id="rId431" Type="http://schemas.openxmlformats.org/officeDocument/2006/relationships/hyperlink" Target="http://benchmarketing.org" TargetMode="External"/><Relationship Id="rId1266" Type="http://schemas.openxmlformats.org/officeDocument/2006/relationships/hyperlink" Target="https://business.google.com/en-all/support/become-a-partner/" TargetMode="External"/><Relationship Id="rId2113" Type="http://schemas.openxmlformats.org/officeDocument/2006/relationships/hyperlink" Target="https://www.google.com/searchviewer/10?svid=CAwSHRIbCgNwdnESFENnMHZaeTh4TVdOcWFHcG1abTE0GAo" TargetMode="External"/><Relationship Id="rId2597" Type="http://schemas.openxmlformats.org/officeDocument/2006/relationships/hyperlink" Target="https://www.renownedagency.ae/" TargetMode="External"/><Relationship Id="rId430" Type="http://schemas.openxmlformats.org/officeDocument/2006/relationships/hyperlink" Target="https://www.benchmarketing.org/performance-marketing-agency/dubai" TargetMode="External"/><Relationship Id="rId1267" Type="http://schemas.openxmlformats.org/officeDocument/2006/relationships/hyperlink" Target="http://google.com" TargetMode="External"/><Relationship Id="rId2114" Type="http://schemas.openxmlformats.org/officeDocument/2006/relationships/hyperlink" Target="http://google.com" TargetMode="External"/><Relationship Id="rId2598" Type="http://schemas.openxmlformats.org/officeDocument/2006/relationships/hyperlink" Target="http://renownedagency.a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top-media-companies-in-dubai.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 TargetMode="External"/><Relationship Id="rId2" Type="http://schemas.openxmlformats.org/officeDocument/2006/relationships/hyperlink" Target="https://savit.ae/best-social-media-agencies-in-dubai-for-roi-driven-campaigns/" TargetMode="External"/><Relationship Id="rId3" Type="http://schemas.openxmlformats.org/officeDocument/2006/relationships/hyperlink" Target="http://savit.ae" TargetMode="External"/><Relationship Id="rId4" Type="http://schemas.openxmlformats.org/officeDocument/2006/relationships/hyperlink" Target="https://www.youtube.com/watch?v=fAu38Nl3Iqw"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www.youtube.com/watch?v=PYot-krI4rA" TargetMode="External"/><Relationship Id="rId7" Type="http://schemas.openxmlformats.org/officeDocument/2006/relationships/hyperlink" Target="http://youtube.com" TargetMode="External"/><Relationship Id="rId8" Type="http://schemas.openxmlformats.org/officeDocument/2006/relationships/hyperlink" Target="https://www.youtube.com/watch?v=_6r4JfsFDAQ" TargetMode="Externa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incubeta.com" TargetMode="External"/><Relationship Id="rId2" Type="http://schemas.openxmlformats.org/officeDocument/2006/relationships/hyperlink" Target="https://gmp.incubeta.com/dv360-licensing" TargetMode="External"/><Relationship Id="rId3" Type="http://schemas.openxmlformats.org/officeDocument/2006/relationships/hyperlink" Target="http://incubeta.com" TargetMode="External"/><Relationship Id="rId4" Type="http://schemas.openxmlformats.org/officeDocument/2006/relationships/hyperlink" Target="https://incubeta.com/capabilities/marketing-intelligence/" TargetMode="External"/><Relationship Id="rId5" Type="http://schemas.openxmlformats.org/officeDocument/2006/relationships/hyperlink" Target="http://incubeta.com" TargetMode="External"/><Relationship Id="rId6" Type="http://schemas.openxmlformats.org/officeDocument/2006/relationships/hyperlink" Target="https://incubeta.com/solutions/" TargetMode="External"/><Relationship Id="rId7" Type="http://schemas.openxmlformats.org/officeDocument/2006/relationships/hyperlink" Target="http://incubeta.com"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eadsdubai.com" TargetMode="External"/><Relationship Id="rId2" Type="http://schemas.openxmlformats.org/officeDocument/2006/relationships/hyperlink" Target="https://superbcompanies.com/categories/instagram-advertising-agencies-in-the-uae/" TargetMode="External"/><Relationship Id="rId3" Type="http://schemas.openxmlformats.org/officeDocument/2006/relationships/hyperlink" Target="http://superbcompanies.com" TargetMode="External"/><Relationship Id="rId4" Type="http://schemas.openxmlformats.org/officeDocument/2006/relationships/hyperlink" Target="https://www.bicommunications.ae/blog/best-instagram-marketing-agencies-dubai/" TargetMode="External"/><Relationship Id="rId9" Type="http://schemas.openxmlformats.org/officeDocument/2006/relationships/hyperlink" Target="http://instagram.com" TargetMode="External"/><Relationship Id="rId5" Type="http://schemas.openxmlformats.org/officeDocument/2006/relationships/hyperlink" Target="http://bicommunications.ae" TargetMode="External"/><Relationship Id="rId6" Type="http://schemas.openxmlformats.org/officeDocument/2006/relationships/hyperlink" Target="https://www.instagram.com/reel/DEINQLyT2n8/" TargetMode="External"/><Relationship Id="rId7" Type="http://schemas.openxmlformats.org/officeDocument/2006/relationships/hyperlink" Target="http://instagram.com" TargetMode="External"/><Relationship Id="rId8" Type="http://schemas.openxmlformats.org/officeDocument/2006/relationships/hyperlink" Target="https://www.instagram.com/reel/DHfu8Ezv3tV/" TargetMode="External"/><Relationship Id="rId11" Type="http://schemas.openxmlformats.org/officeDocument/2006/relationships/hyperlink" Target="http://instagram.com" TargetMode="External"/><Relationship Id="rId10" Type="http://schemas.openxmlformats.org/officeDocument/2006/relationships/hyperlink" Target="https://www.instagram.com/vibemarketingtechfest/" TargetMode="External"/><Relationship Id="rId13" Type="http://schemas.openxmlformats.org/officeDocument/2006/relationships/hyperlink" Target="http://marketingltb.com" TargetMode="External"/><Relationship Id="rId12" Type="http://schemas.openxmlformats.org/officeDocument/2006/relationships/hyperlink" Target="https://marketingltb.com/blog/agency/best-instagram-influencer-marketing-agencies/" TargetMode="External"/><Relationship Id="rId15" Type="http://schemas.openxmlformats.org/officeDocument/2006/relationships/hyperlink" Target="http://prism-me.com" TargetMode="External"/><Relationship Id="rId14" Type="http://schemas.openxmlformats.org/officeDocument/2006/relationships/hyperlink" Target="https://www.prism-me.com/paid-media-agency/instagram-ads" TargetMode="Externa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utch.co/ae/agencies/digital-marketing" TargetMode="External"/><Relationship Id="rId3" Type="http://schemas.openxmlformats.org/officeDocument/2006/relationships/hyperlink" Target="http://clutch.co" TargetMode="External"/><Relationship Id="rId4" Type="http://schemas.openxmlformats.org/officeDocument/2006/relationships/hyperlink" Target="https://clutch.co/ae/consulting/ai/dubai"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ae/agencies/creative/dubai" TargetMode="External"/><Relationship Id="rId7" Type="http://schemas.openxmlformats.org/officeDocument/2006/relationships/hyperlink" Target="http://clutch.co" TargetMode="External"/><Relationship Id="rId8" Type="http://schemas.openxmlformats.org/officeDocument/2006/relationships/hyperlink" Target="https://clutch.co/ae/agencies/creative" TargetMode="External"/><Relationship Id="rId40" Type="http://schemas.openxmlformats.org/officeDocument/2006/relationships/hyperlink" Target="https://clutch.co/ae/agencies/market-research/dubai" TargetMode="External"/><Relationship Id="rId42" Type="http://schemas.openxmlformats.org/officeDocument/2006/relationships/hyperlink" Target="https://clutch.co/ae/agencies/ppc/media-industry" TargetMode="External"/><Relationship Id="rId41" Type="http://schemas.openxmlformats.org/officeDocument/2006/relationships/hyperlink" Target="http://clutch.co" TargetMode="External"/><Relationship Id="rId44" Type="http://schemas.openxmlformats.org/officeDocument/2006/relationships/hyperlink" Target="https://clutch.co/ae/agencies/content-marketing" TargetMode="External"/><Relationship Id="rId43" Type="http://schemas.openxmlformats.org/officeDocument/2006/relationships/hyperlink" Target="http://clutch.co" TargetMode="External"/><Relationship Id="rId46" Type="http://schemas.openxmlformats.org/officeDocument/2006/relationships/hyperlink" Target="https://clutch.co/ae/agencies/digital-marketing?page=10" TargetMode="External"/><Relationship Id="rId45" Type="http://schemas.openxmlformats.org/officeDocument/2006/relationships/hyperlink" Target="http://clutch.co" TargetMode="External"/><Relationship Id="rId48" Type="http://schemas.openxmlformats.org/officeDocument/2006/relationships/hyperlink" Target="https://clutch.co/ae/agencies/digital-marketing?page=29"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ae/agencies/programmatic/dubai" TargetMode="External"/><Relationship Id="rId33" Type="http://schemas.openxmlformats.org/officeDocument/2006/relationships/hyperlink" Target="http://clutch.co" TargetMode="External"/><Relationship Id="rId32" Type="http://schemas.openxmlformats.org/officeDocument/2006/relationships/hyperlink" Target="https://clutch.co/ae/consulting/ai" TargetMode="External"/><Relationship Id="rId35" Type="http://schemas.openxmlformats.org/officeDocument/2006/relationships/hyperlink" Target="http://clutch.co" TargetMode="External"/><Relationship Id="rId34" Type="http://schemas.openxmlformats.org/officeDocument/2006/relationships/hyperlink" Target="https://clutch.co/ae/consulting/ai/maturation" TargetMode="External"/><Relationship Id="rId37" Type="http://schemas.openxmlformats.org/officeDocument/2006/relationships/hyperlink" Target="http://clutch.co" TargetMode="External"/><Relationship Id="rId36" Type="http://schemas.openxmlformats.org/officeDocument/2006/relationships/hyperlink" Target="https://clutch.co/ae/consulting/ai?page=1" TargetMode="External"/><Relationship Id="rId39" Type="http://schemas.openxmlformats.org/officeDocument/2006/relationships/hyperlink" Target="http://clutch.co" TargetMode="External"/><Relationship Id="rId38" Type="http://schemas.openxmlformats.org/officeDocument/2006/relationships/hyperlink" Target="https://clutch.co/ae/agencies/digital" TargetMode="External"/><Relationship Id="rId20" Type="http://schemas.openxmlformats.org/officeDocument/2006/relationships/hyperlink" Target="https://clutch.co/ae/agencies/dubai" TargetMode="External"/><Relationship Id="rId22" Type="http://schemas.openxmlformats.org/officeDocument/2006/relationships/hyperlink" Target="https://clutch.co/ae/consulting/ai/strategy" TargetMode="External"/><Relationship Id="rId21" Type="http://schemas.openxmlformats.org/officeDocument/2006/relationships/hyperlink" Target="http://clutch.co" TargetMode="External"/><Relationship Id="rId24" Type="http://schemas.openxmlformats.org/officeDocument/2006/relationships/hyperlink" Target="https://clutch.co/ae/agencies/digital-marketing/dubai" TargetMode="External"/><Relationship Id="rId23" Type="http://schemas.openxmlformats.org/officeDocument/2006/relationships/hyperlink" Target="http://clutch.co" TargetMode="External"/><Relationship Id="rId26" Type="http://schemas.openxmlformats.org/officeDocument/2006/relationships/hyperlink" Target="https://clutch.co/ae/agencies/ppc" TargetMode="External"/><Relationship Id="rId25" Type="http://schemas.openxmlformats.org/officeDocument/2006/relationships/hyperlink" Target="http://clutch.co" TargetMode="External"/><Relationship Id="rId28" Type="http://schemas.openxmlformats.org/officeDocument/2006/relationships/hyperlink" Target="https://clutch.co/ae/agencies/ppc/advertising-industry/dubai"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ae/agencies/social-media-marketing/dubai" TargetMode="External"/><Relationship Id="rId13" Type="http://schemas.openxmlformats.org/officeDocument/2006/relationships/hyperlink" Target="http://clutch.co" TargetMode="External"/><Relationship Id="rId12" Type="http://schemas.openxmlformats.org/officeDocument/2006/relationships/hyperlink" Target="https://clutch.co/ae/agencies/branding" TargetMode="External"/><Relationship Id="rId15" Type="http://schemas.openxmlformats.org/officeDocument/2006/relationships/hyperlink" Target="http://clutch.co" TargetMode="External"/><Relationship Id="rId14" Type="http://schemas.openxmlformats.org/officeDocument/2006/relationships/hyperlink" Target="https://clutch.co/ae/agencies/media-buying/dubai" TargetMode="External"/><Relationship Id="rId17" Type="http://schemas.openxmlformats.org/officeDocument/2006/relationships/hyperlink" Target="http://clutch.co" TargetMode="External"/><Relationship Id="rId16" Type="http://schemas.openxmlformats.org/officeDocument/2006/relationships/hyperlink" Target="https://clutch.co/ae/agencies/ppc/display" TargetMode="External"/><Relationship Id="rId19" Type="http://schemas.openxmlformats.org/officeDocument/2006/relationships/hyperlink" Target="http://clutch.co" TargetMode="External"/><Relationship Id="rId18" Type="http://schemas.openxmlformats.org/officeDocument/2006/relationships/hyperlink" Target="https://clutch.co/ae/agencies/social-media-marketing" TargetMode="External"/><Relationship Id="rId62" Type="http://schemas.openxmlformats.org/officeDocument/2006/relationships/drawing" Target="../drawings/drawing7.xml"/><Relationship Id="rId61" Type="http://schemas.openxmlformats.org/officeDocument/2006/relationships/hyperlink" Target="http://clutch.co" TargetMode="External"/><Relationship Id="rId60" Type="http://schemas.openxmlformats.org/officeDocument/2006/relationships/hyperlink" Target="https://clutch.co/agencies/performance-marketing" TargetMode="External"/><Relationship Id="rId51" Type="http://schemas.openxmlformats.org/officeDocument/2006/relationships/hyperlink" Target="http://clutch.co" TargetMode="External"/><Relationship Id="rId50" Type="http://schemas.openxmlformats.org/officeDocument/2006/relationships/hyperlink" Target="https://clutch.co/ae/agencies/ppc/google-adwords/dubai" TargetMode="External"/><Relationship Id="rId53" Type="http://schemas.openxmlformats.org/officeDocument/2006/relationships/hyperlink" Target="http://clutch.co" TargetMode="External"/><Relationship Id="rId52" Type="http://schemas.openxmlformats.org/officeDocument/2006/relationships/hyperlink" Target="https://clutch.co/ae/agencies/social-media-marketing/dubai?page=21" TargetMode="External"/><Relationship Id="rId55" Type="http://schemas.openxmlformats.org/officeDocument/2006/relationships/hyperlink" Target="http://clutch.co" TargetMode="External"/><Relationship Id="rId54" Type="http://schemas.openxmlformats.org/officeDocument/2006/relationships/hyperlink" Target="https://clutch.co/ae/agencies/social-media-marketing/influencer/dubai" TargetMode="External"/><Relationship Id="rId57" Type="http://schemas.openxmlformats.org/officeDocument/2006/relationships/hyperlink" Target="http://clutch.co" TargetMode="External"/><Relationship Id="rId56" Type="http://schemas.openxmlformats.org/officeDocument/2006/relationships/hyperlink" Target="https://clutch.co/ae/consulting/ai/strategy/dubai" TargetMode="External"/><Relationship Id="rId59" Type="http://schemas.openxmlformats.org/officeDocument/2006/relationships/hyperlink" Target="http://clutch.co" TargetMode="External"/><Relationship Id="rId58" Type="http://schemas.openxmlformats.org/officeDocument/2006/relationships/hyperlink" Target="https://clutch.co/agencies/media-buying/ooh"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rtlist.com" TargetMode="External"/><Relationship Id="rId2" Type="http://schemas.openxmlformats.org/officeDocument/2006/relationships/hyperlink" Target="https://www.sortlist.com/s/paid-media/united-arab-emirates-ae" TargetMode="External"/><Relationship Id="rId3" Type="http://schemas.openxmlformats.org/officeDocument/2006/relationships/hyperlink" Target="http://sortlist.com" TargetMode="External"/><Relationship Id="rId4" Type="http://schemas.openxmlformats.org/officeDocument/2006/relationships/hyperlink" Target="https://www.sortlist.com/s/paid-media/dubai-ae"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display-advertising/dubai-ae" TargetMode="External"/><Relationship Id="rId7" Type="http://schemas.openxmlformats.org/officeDocument/2006/relationships/hyperlink" Target="http://sortlist.com" TargetMode="External"/><Relationship Id="rId8" Type="http://schemas.openxmlformats.org/officeDocument/2006/relationships/hyperlink" Target="https://www.sortlist.com/s/marketing-analytics/united-arab-emirates-ae" TargetMode="External"/><Relationship Id="rId40" Type="http://schemas.openxmlformats.org/officeDocument/2006/relationships/hyperlink" Target="https://www.sortlist.com/digital-marketing/dubai-ae" TargetMode="External"/><Relationship Id="rId42" Type="http://schemas.openxmlformats.org/officeDocument/2006/relationships/hyperlink" Target="https://www.sortlist.com/s/billboard-advertising/united-arab-emirates-ae" TargetMode="External"/><Relationship Id="rId41" Type="http://schemas.openxmlformats.org/officeDocument/2006/relationships/hyperlink" Target="http://sortlist.com" TargetMode="External"/><Relationship Id="rId44" Type="http://schemas.openxmlformats.org/officeDocument/2006/relationships/hyperlink" Target="https://www.sortlist.com/s/display-advertising/dubai-ae?page=2" TargetMode="External"/><Relationship Id="rId43" Type="http://schemas.openxmlformats.org/officeDocument/2006/relationships/hyperlink" Target="http://sortlist.com" TargetMode="External"/><Relationship Id="rId46" Type="http://schemas.openxmlformats.org/officeDocument/2006/relationships/hyperlink" Target="https://www.sortlist.com/s/artificial-intelligence/united-arab-emirates-ae" TargetMode="External"/><Relationship Id="rId45" Type="http://schemas.openxmlformats.org/officeDocument/2006/relationships/hyperlink" Target="http://sortlist.com" TargetMode="External"/><Relationship Id="rId48" Type="http://schemas.openxmlformats.org/officeDocument/2006/relationships/hyperlink" Target="https://www.sortlist.com/branding/dubai-ae" TargetMode="External"/><Relationship Id="rId47" Type="http://schemas.openxmlformats.org/officeDocument/2006/relationships/hyperlink" Target="http://sortlist.com" TargetMode="External"/><Relationship Id="rId49" Type="http://schemas.openxmlformats.org/officeDocument/2006/relationships/hyperlink" Target="http://sortlist.com" TargetMode="External"/><Relationship Id="rId31" Type="http://schemas.openxmlformats.org/officeDocument/2006/relationships/hyperlink" Target="http://sortlist.com" TargetMode="External"/><Relationship Id="rId30" Type="http://schemas.openxmlformats.org/officeDocument/2006/relationships/hyperlink" Target="https://www.sortlist.com/s/creative/dubai-ae" TargetMode="External"/><Relationship Id="rId33" Type="http://schemas.openxmlformats.org/officeDocument/2006/relationships/hyperlink" Target="http://sortlist.com" TargetMode="External"/><Relationship Id="rId32" Type="http://schemas.openxmlformats.org/officeDocument/2006/relationships/hyperlink" Target="https://www.sortlist.com/l/dubai-ae" TargetMode="External"/><Relationship Id="rId35" Type="http://schemas.openxmlformats.org/officeDocument/2006/relationships/hyperlink" Target="http://sortlist.com" TargetMode="External"/><Relationship Id="rId34" Type="http://schemas.openxmlformats.org/officeDocument/2006/relationships/hyperlink" Target="https://www.sortlist.com/s/ai-marketing/united-arab-emirates-ae" TargetMode="External"/><Relationship Id="rId37" Type="http://schemas.openxmlformats.org/officeDocument/2006/relationships/hyperlink" Target="http://sortlist.com" TargetMode="External"/><Relationship Id="rId36" Type="http://schemas.openxmlformats.org/officeDocument/2006/relationships/hyperlink" Target="https://www.sortlist.com/s/marketing-analytics/dubai-ae?page=2" TargetMode="External"/><Relationship Id="rId39" Type="http://schemas.openxmlformats.org/officeDocument/2006/relationships/hyperlink" Target="http://sortlist.com" TargetMode="External"/><Relationship Id="rId38" Type="http://schemas.openxmlformats.org/officeDocument/2006/relationships/hyperlink" Target="https://www.sortlist.com/s/paid-media/united-arab-emirates-ae?page=2" TargetMode="External"/><Relationship Id="rId20" Type="http://schemas.openxmlformats.org/officeDocument/2006/relationships/hyperlink" Target="https://www.sortlist.com/web-analytics/united-arab-emirates-ae" TargetMode="External"/><Relationship Id="rId22" Type="http://schemas.openxmlformats.org/officeDocument/2006/relationships/hyperlink" Target="https://www.sortlist.com/advertising/dubai-ae" TargetMode="External"/><Relationship Id="rId21" Type="http://schemas.openxmlformats.org/officeDocument/2006/relationships/hyperlink" Target="http://sortlist.com" TargetMode="External"/><Relationship Id="rId24" Type="http://schemas.openxmlformats.org/officeDocument/2006/relationships/hyperlink" Target="https://www.sortlist.com/l/united-arab-emirates-ae" TargetMode="External"/><Relationship Id="rId23" Type="http://schemas.openxmlformats.org/officeDocument/2006/relationships/hyperlink" Target="http://sortlist.com" TargetMode="External"/><Relationship Id="rId26" Type="http://schemas.openxmlformats.org/officeDocument/2006/relationships/hyperlink" Target="https://www.sortlist.com/social-media/dubai-ae" TargetMode="External"/><Relationship Id="rId25" Type="http://schemas.openxmlformats.org/officeDocument/2006/relationships/hyperlink" Target="http://sortlist.com" TargetMode="External"/><Relationship Id="rId28" Type="http://schemas.openxmlformats.org/officeDocument/2006/relationships/hyperlink" Target="https://www.sortlist.com/advertising/united-arab-emirates-ae"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ortlist.com" TargetMode="External"/><Relationship Id="rId10" Type="http://schemas.openxmlformats.org/officeDocument/2006/relationships/hyperlink" Target="https://www.sortlist.com/s/ai-marketing/dubai-ae" TargetMode="External"/><Relationship Id="rId13" Type="http://schemas.openxmlformats.org/officeDocument/2006/relationships/hyperlink" Target="http://sortlist.com" TargetMode="External"/><Relationship Id="rId12" Type="http://schemas.openxmlformats.org/officeDocument/2006/relationships/hyperlink" Target="https://www.sortlist.com/s/performance-marketing/dubai-ae" TargetMode="External"/><Relationship Id="rId15" Type="http://schemas.openxmlformats.org/officeDocument/2006/relationships/hyperlink" Target="http://sortlist.com" TargetMode="External"/><Relationship Id="rId14" Type="http://schemas.openxmlformats.org/officeDocument/2006/relationships/hyperlink" Target="https://www.sortlist.com/s/display-advertising/abu-dhabi-ae" TargetMode="External"/><Relationship Id="rId17" Type="http://schemas.openxmlformats.org/officeDocument/2006/relationships/hyperlink" Target="http://sortlist.com" TargetMode="External"/><Relationship Id="rId16" Type="http://schemas.openxmlformats.org/officeDocument/2006/relationships/hyperlink" Target="https://www.sortlist.com/s/performance-marketing/united-arab-emirates-ae" TargetMode="External"/><Relationship Id="rId19" Type="http://schemas.openxmlformats.org/officeDocument/2006/relationships/hyperlink" Target="http://sortlist.com" TargetMode="External"/><Relationship Id="rId18" Type="http://schemas.openxmlformats.org/officeDocument/2006/relationships/hyperlink" Target="https://www.sortlist.com/s/display-advertising/united-arab-emirates-ae" TargetMode="External"/><Relationship Id="rId84" Type="http://schemas.openxmlformats.org/officeDocument/2006/relationships/hyperlink" Target="https://www.sortlist.com/s/paid-media/beirut-beirut" TargetMode="External"/><Relationship Id="rId83" Type="http://schemas.openxmlformats.org/officeDocument/2006/relationships/hyperlink" Target="http://sortlist.com" TargetMode="External"/><Relationship Id="rId86" Type="http://schemas.openxmlformats.org/officeDocument/2006/relationships/hyperlink" Target="https://www.sortlist.com/s/performance-marketing/india-in" TargetMode="External"/><Relationship Id="rId85" Type="http://schemas.openxmlformats.org/officeDocument/2006/relationships/hyperlink" Target="http://sortlist.com" TargetMode="External"/><Relationship Id="rId88" Type="http://schemas.openxmlformats.org/officeDocument/2006/relationships/hyperlink" Target="https://www.sortlist.com/seo/united-arab-emirates-ae" TargetMode="External"/><Relationship Id="rId87" Type="http://schemas.openxmlformats.org/officeDocument/2006/relationships/hyperlink" Target="http://sortlist.com" TargetMode="External"/><Relationship Id="rId89" Type="http://schemas.openxmlformats.org/officeDocument/2006/relationships/hyperlink" Target="http://sortlist.com" TargetMode="External"/><Relationship Id="rId80" Type="http://schemas.openxmlformats.org/officeDocument/2006/relationships/hyperlink" Target="https://www.sortlist.com/s/artificial-intelligence/dubai-ae" TargetMode="External"/><Relationship Id="rId82" Type="http://schemas.openxmlformats.org/officeDocument/2006/relationships/hyperlink" Target="https://www.sortlist.com/s/creative/abu-dhabi-ae" TargetMode="External"/><Relationship Id="rId81" Type="http://schemas.openxmlformats.org/officeDocument/2006/relationships/hyperlink" Target="http://sortlist.com" TargetMode="External"/><Relationship Id="rId73" Type="http://schemas.openxmlformats.org/officeDocument/2006/relationships/hyperlink" Target="http://sortlist.com" TargetMode="External"/><Relationship Id="rId72" Type="http://schemas.openxmlformats.org/officeDocument/2006/relationships/hyperlink" Target="https://www.sortlist.com/advertising/algeria-dz" TargetMode="External"/><Relationship Id="rId75" Type="http://schemas.openxmlformats.org/officeDocument/2006/relationships/hyperlink" Target="http://sortlist.com" TargetMode="External"/><Relationship Id="rId74" Type="http://schemas.openxmlformats.org/officeDocument/2006/relationships/hyperlink" Target="https://www.sortlist.com/media-planning/abu-dhabi-ae" TargetMode="External"/><Relationship Id="rId77" Type="http://schemas.openxmlformats.org/officeDocument/2006/relationships/hyperlink" Target="http://sortlist.com" TargetMode="External"/><Relationship Id="rId76" Type="http://schemas.openxmlformats.org/officeDocument/2006/relationships/hyperlink" Target="https://www.sortlist.com/media-planning/united-arab-emirates-ae" TargetMode="External"/><Relationship Id="rId79" Type="http://schemas.openxmlformats.org/officeDocument/2006/relationships/hyperlink" Target="http://sortlist.com" TargetMode="External"/><Relationship Id="rId78" Type="http://schemas.openxmlformats.org/officeDocument/2006/relationships/hyperlink" Target="https://www.sortlist.com/s/artificial-intelligence/abu-dhabi-ae" TargetMode="External"/><Relationship Id="rId71" Type="http://schemas.openxmlformats.org/officeDocument/2006/relationships/hyperlink" Target="http://sortlist.com" TargetMode="External"/><Relationship Id="rId70" Type="http://schemas.openxmlformats.org/officeDocument/2006/relationships/hyperlink" Target="https://www.sortlist.com/advertising/abu-dhabi-ae" TargetMode="External"/><Relationship Id="rId62" Type="http://schemas.openxmlformats.org/officeDocument/2006/relationships/hyperlink" Target="https://www.sortlist.com/s/marketing-analytics/sharjah-ae" TargetMode="External"/><Relationship Id="rId61" Type="http://schemas.openxmlformats.org/officeDocument/2006/relationships/hyperlink" Target="http://sortlist.com" TargetMode="External"/><Relationship Id="rId64" Type="http://schemas.openxmlformats.org/officeDocument/2006/relationships/hyperlink" Target="https://www.sortlist.com/s/performance-marketing/abu-dhabi-ae" TargetMode="External"/><Relationship Id="rId63" Type="http://schemas.openxmlformats.org/officeDocument/2006/relationships/hyperlink" Target="http://sortlist.com" TargetMode="External"/><Relationship Id="rId66" Type="http://schemas.openxmlformats.org/officeDocument/2006/relationships/hyperlink" Target="https://www.sortlist.com/media-planning/dubai-ae" TargetMode="External"/><Relationship Id="rId65" Type="http://schemas.openxmlformats.org/officeDocument/2006/relationships/hyperlink" Target="http://sortlist.com" TargetMode="External"/><Relationship Id="rId68" Type="http://schemas.openxmlformats.org/officeDocument/2006/relationships/hyperlink" Target="https://www.sortlist.com/s/google-ads/dubai-ae" TargetMode="External"/><Relationship Id="rId67" Type="http://schemas.openxmlformats.org/officeDocument/2006/relationships/hyperlink" Target="http://sortlist.com" TargetMode="External"/><Relationship Id="rId60" Type="http://schemas.openxmlformats.org/officeDocument/2006/relationships/hyperlink" Target="https://www.sortlist.com/s/data-driven-marketing/dubai-ae" TargetMode="External"/><Relationship Id="rId69" Type="http://schemas.openxmlformats.org/officeDocument/2006/relationships/hyperlink" Target="http://sortlist.com" TargetMode="External"/><Relationship Id="rId51" Type="http://schemas.openxmlformats.org/officeDocument/2006/relationships/hyperlink" Target="http://sortlist.com" TargetMode="External"/><Relationship Id="rId50" Type="http://schemas.openxmlformats.org/officeDocument/2006/relationships/hyperlink" Target="https://www.sortlist.com/s/brand-advertising/united-arab-emirates-ae" TargetMode="External"/><Relationship Id="rId53" Type="http://schemas.openxmlformats.org/officeDocument/2006/relationships/hyperlink" Target="http://sortlist.com" TargetMode="External"/><Relationship Id="rId52" Type="http://schemas.openxmlformats.org/officeDocument/2006/relationships/hyperlink" Target="https://www.sortlist.com/s/display-advertising/sharjah-ae" TargetMode="External"/><Relationship Id="rId55" Type="http://schemas.openxmlformats.org/officeDocument/2006/relationships/hyperlink" Target="http://sortlist.com" TargetMode="External"/><Relationship Id="rId54" Type="http://schemas.openxmlformats.org/officeDocument/2006/relationships/hyperlink" Target="https://www.sortlist.com/s/media-buying/united-arab-emirates-ae" TargetMode="External"/><Relationship Id="rId57" Type="http://schemas.openxmlformats.org/officeDocument/2006/relationships/hyperlink" Target="http://sortlist.com" TargetMode="External"/><Relationship Id="rId56" Type="http://schemas.openxmlformats.org/officeDocument/2006/relationships/hyperlink" Target="https://www.sortlist.com/s/paid-media/abu-dhabi-ae" TargetMode="External"/><Relationship Id="rId59" Type="http://schemas.openxmlformats.org/officeDocument/2006/relationships/hyperlink" Target="http://sortlist.com" TargetMode="External"/><Relationship Id="rId58" Type="http://schemas.openxmlformats.org/officeDocument/2006/relationships/hyperlink" Target="https://www.sortlist.com/s/creative/united-arab-emirates-ae" TargetMode="External"/><Relationship Id="rId94" Type="http://schemas.openxmlformats.org/officeDocument/2006/relationships/drawing" Target="../drawings/drawing8.xml"/><Relationship Id="rId91" Type="http://schemas.openxmlformats.org/officeDocument/2006/relationships/hyperlink" Target="http://sortlist.com" TargetMode="External"/><Relationship Id="rId90" Type="http://schemas.openxmlformats.org/officeDocument/2006/relationships/hyperlink" Target="https://www.sortlist.com/social-media-optimization" TargetMode="External"/><Relationship Id="rId93" Type="http://schemas.openxmlformats.org/officeDocument/2006/relationships/hyperlink" Target="http://sortlist.com" TargetMode="External"/><Relationship Id="rId92" Type="http://schemas.openxmlformats.org/officeDocument/2006/relationships/hyperlink" Target="https://www.sortlist.com/web-analytics/dubai-a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pushgroup.ae" TargetMode="External"/><Relationship Id="rId2" Type="http://schemas.openxmlformats.org/officeDocument/2006/relationships/hyperlink" Target="https://www.pushgroup.ae/blog/top-9-social-media-agencies-in-dubai" TargetMode="External"/><Relationship Id="rId3" Type="http://schemas.openxmlformats.org/officeDocument/2006/relationships/hyperlink" Target="http://pushgroup.ae" TargetMode="External"/><Relationship Id="rId4" Type="http://schemas.openxmlformats.org/officeDocument/2006/relationships/hyperlink" Target="https://www.pushgroup.ae/blog/top-9-marketing-agencies-dubai" TargetMode="External"/><Relationship Id="rId9" Type="http://schemas.openxmlformats.org/officeDocument/2006/relationships/hyperlink" Target="http://pushgroup.ae" TargetMode="External"/><Relationship Id="rId5" Type="http://schemas.openxmlformats.org/officeDocument/2006/relationships/hyperlink" Target="http://pushgroup.ae" TargetMode="External"/><Relationship Id="rId6" Type="http://schemas.openxmlformats.org/officeDocument/2006/relationships/hyperlink" Target="https://www.pushgroup.ae/blog/property-marketing-agencies-in-dubai" TargetMode="External"/><Relationship Id="rId7" Type="http://schemas.openxmlformats.org/officeDocument/2006/relationships/hyperlink" Target="http://pushgroup.ae" TargetMode="External"/><Relationship Id="rId8" Type="http://schemas.openxmlformats.org/officeDocument/2006/relationships/hyperlink" Target="https://www.pushgroup.ae/blog/top-ppc-agencies-in-dubai" TargetMode="Externa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topdevelopers.co" TargetMode="External"/><Relationship Id="rId2" Type="http://schemas.openxmlformats.org/officeDocument/2006/relationships/hyperlink" Target="https://www.topdevelopers.co/companies/ai-consulting/uae" TargetMode="External"/><Relationship Id="rId3" Type="http://schemas.openxmlformats.org/officeDocument/2006/relationships/hyperlink" Target="http://topdevelopers.co"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agencies.semrush.com/list/advertising/dubai/" TargetMode="External"/><Relationship Id="rId3" Type="http://schemas.openxmlformats.org/officeDocument/2006/relationships/hyperlink" Target="http://semrush.com" TargetMode="External"/><Relationship Id="rId4" Type="http://schemas.openxmlformats.org/officeDocument/2006/relationships/hyperlink" Target="https://agencies.semrush.com/list/ai-optimization/dubai/"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i-optimization/united-arab-emirates/" TargetMode="External"/><Relationship Id="rId7" Type="http://schemas.openxmlformats.org/officeDocument/2006/relationships/hyperlink" Target="http://semrush.com" TargetMode="External"/><Relationship Id="rId8" Type="http://schemas.openxmlformats.org/officeDocument/2006/relationships/hyperlink" Target="https://agencies.semrush.com/list/smm/dubai/" TargetMode="External"/><Relationship Id="rId40" Type="http://schemas.openxmlformats.org/officeDocument/2006/relationships/hyperlink" Target="https://agencies.semrush.com/list/machine-learning-and-ai/united-arab-emirates/" TargetMode="External"/><Relationship Id="rId42" Type="http://schemas.openxmlformats.org/officeDocument/2006/relationships/hyperlink" Target="https://agencies.semrush.com/legend1st-marketing-and-mobile-applications-fze-llc/" TargetMode="External"/><Relationship Id="rId41" Type="http://schemas.openxmlformats.org/officeDocument/2006/relationships/hyperlink" Target="http://semrush.com" TargetMode="External"/><Relationship Id="rId44" Type="http://schemas.openxmlformats.org/officeDocument/2006/relationships/hyperlink" Target="https://agencies.semrush.com/list/ai-optimization/united-arab-emirates/enterprise-business/" TargetMode="External"/><Relationship Id="rId43" Type="http://schemas.openxmlformats.org/officeDocument/2006/relationships/hyperlink" Target="http://semrush.com" TargetMode="External"/><Relationship Id="rId46" Type="http://schemas.openxmlformats.org/officeDocument/2006/relationships/hyperlink" Target="https://agencies.semrush.com/list/analytics-data-science/dubai/" TargetMode="External"/><Relationship Id="rId45" Type="http://schemas.openxmlformats.org/officeDocument/2006/relationships/hyperlink" Target="http://semrush.com" TargetMode="External"/><Relationship Id="rId48" Type="http://schemas.openxmlformats.org/officeDocument/2006/relationships/hyperlink" Target="https://agencies.semrush.com/list/display-advertising/ecommerce/dubai/"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analytics-data-science/business-professional-services/dubai/"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nalytics-data-science/united-arab-emirates/"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business-professional-services/united-arab-emirates/" TargetMode="External"/><Relationship Id="rId37" Type="http://schemas.openxmlformats.org/officeDocument/2006/relationships/hyperlink" Target="http://semrush.com" TargetMode="External"/><Relationship Id="rId36" Type="http://schemas.openxmlformats.org/officeDocument/2006/relationships/hyperlink" Target="https://agencies.semrush.com/list/display-advertising/ecommerce/united-arab-emirates/" TargetMode="External"/><Relationship Id="rId39" Type="http://schemas.openxmlformats.org/officeDocument/2006/relationships/hyperlink" Target="http://semrush.com" TargetMode="External"/><Relationship Id="rId38" Type="http://schemas.openxmlformats.org/officeDocument/2006/relationships/hyperlink" Target="https://agencies.semrush.com/list/display-advertising/united-arab-emirates/enterprise-business/" TargetMode="External"/><Relationship Id="rId20" Type="http://schemas.openxmlformats.org/officeDocument/2006/relationships/hyperlink" Target="https://agencies.semrush.com/list/ppc/united-arab-emirates/" TargetMode="External"/><Relationship Id="rId22" Type="http://schemas.openxmlformats.org/officeDocument/2006/relationships/hyperlink" Target="https://agencies.semrush.com/list/smm/united-arab-emirates/" TargetMode="External"/><Relationship Id="rId21" Type="http://schemas.openxmlformats.org/officeDocument/2006/relationships/hyperlink" Target="http://semrush.com" TargetMode="External"/><Relationship Id="rId24" Type="http://schemas.openxmlformats.org/officeDocument/2006/relationships/hyperlink" Target="https://agencies.semrush.com/list/ppc/dubai/" TargetMode="External"/><Relationship Id="rId23" Type="http://schemas.openxmlformats.org/officeDocument/2006/relationships/hyperlink" Target="http://semrush.com" TargetMode="External"/><Relationship Id="rId26" Type="http://schemas.openxmlformats.org/officeDocument/2006/relationships/hyperlink" Target="https://agencies.semrush.com/list/ai-optimization/dubai/small-business/" TargetMode="External"/><Relationship Id="rId25" Type="http://schemas.openxmlformats.org/officeDocument/2006/relationships/hyperlink" Target="http://semrush.com" TargetMode="External"/><Relationship Id="rId28" Type="http://schemas.openxmlformats.org/officeDocument/2006/relationships/hyperlink" Target="https://www.semrush.com/agencies/list/analytics-data-science/dubai/small-business/"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dubai/" TargetMode="External"/><Relationship Id="rId13" Type="http://schemas.openxmlformats.org/officeDocument/2006/relationships/hyperlink" Target="http://semrush.com" TargetMode="External"/><Relationship Id="rId12" Type="http://schemas.openxmlformats.org/officeDocument/2006/relationships/hyperlink" Target="https://agencies.semrush.com/list/united-arab-emirate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advertising/united-arab-emirates/"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united-arab-emirates/" TargetMode="External"/><Relationship Id="rId19" Type="http://schemas.openxmlformats.org/officeDocument/2006/relationships/hyperlink" Target="http://semrush.com" TargetMode="External"/><Relationship Id="rId18" Type="http://schemas.openxmlformats.org/officeDocument/2006/relationships/hyperlink" Target="https://www.semrush.com/agencies/list/display-advertising/dubai/" TargetMode="External"/><Relationship Id="rId51" Type="http://schemas.openxmlformats.org/officeDocument/2006/relationships/hyperlink" Target="http://semrush.com" TargetMode="External"/><Relationship Id="rId50" Type="http://schemas.openxmlformats.org/officeDocument/2006/relationships/hyperlink" Target="https://agencies.semrush.com/list/los-angeles/" TargetMode="External"/><Relationship Id="rId53" Type="http://schemas.openxmlformats.org/officeDocument/2006/relationships/hyperlink" Target="http://semrush.com" TargetMode="External"/><Relationship Id="rId52" Type="http://schemas.openxmlformats.org/officeDocument/2006/relationships/hyperlink" Target="https://agencies.semrush.com/list/ppc/ecommerce/united-arab-emirates/" TargetMode="External"/><Relationship Id="rId55" Type="http://schemas.openxmlformats.org/officeDocument/2006/relationships/hyperlink" Target="http://semrush.com" TargetMode="External"/><Relationship Id="rId54" Type="http://schemas.openxmlformats.org/officeDocument/2006/relationships/hyperlink" Target="https://agencies.semrush.com/list/programmatic-advertising/dubai/" TargetMode="External"/><Relationship Id="rId57" Type="http://schemas.openxmlformats.org/officeDocument/2006/relationships/hyperlink" Target="http://semrush.com" TargetMode="External"/><Relationship Id="rId56" Type="http://schemas.openxmlformats.org/officeDocument/2006/relationships/hyperlink" Target="https://agencies.semrush.com/list/programmatic-advertising/united-arab-emirates/" TargetMode="External"/><Relationship Id="rId5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directiveconsulting.com" TargetMode="External"/><Relationship Id="rId2" Type="http://schemas.openxmlformats.org/officeDocument/2006/relationships/hyperlink" Target="https://directiveconsulting.com/blog/25-best-paid-media-agencies-that-turn-ad-spend-into-revenue/" TargetMode="External"/><Relationship Id="rId3" Type="http://schemas.openxmlformats.org/officeDocument/2006/relationships/hyperlink" Target="http://directiveconsulting.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esignrush.com" TargetMode="External"/><Relationship Id="rId2" Type="http://schemas.openxmlformats.org/officeDocument/2006/relationships/hyperlink" Target="https://www.designrush.com/agency/digital-marketing/ae"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creative-agencies/ae/dubai"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paid-media-pay-per-click/ae"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digital-marketing/analytics" TargetMode="External"/><Relationship Id="rId30" Type="http://schemas.openxmlformats.org/officeDocument/2006/relationships/drawing" Target="../drawings/drawing13.xml"/><Relationship Id="rId20" Type="http://schemas.openxmlformats.org/officeDocument/2006/relationships/hyperlink" Target="https://www.designrush.com/agency/digital-marketing/performance-marketing-agencies" TargetMode="External"/><Relationship Id="rId22" Type="http://schemas.openxmlformats.org/officeDocument/2006/relationships/hyperlink" Target="https://www.designrush.com/agency/digital-marketing/search-engine/ae/dubai" TargetMode="External"/><Relationship Id="rId21" Type="http://schemas.openxmlformats.org/officeDocument/2006/relationships/hyperlink" Target="http://designrush.com" TargetMode="External"/><Relationship Id="rId24" Type="http://schemas.openxmlformats.org/officeDocument/2006/relationships/hyperlink" Target="https://www.designrush.com/agency/digital-marketing/trends/demand-generation-agency" TargetMode="External"/><Relationship Id="rId23" Type="http://schemas.openxmlformats.org/officeDocument/2006/relationships/hyperlink" Target="http://designrush.com" TargetMode="External"/><Relationship Id="rId26" Type="http://schemas.openxmlformats.org/officeDocument/2006/relationships/hyperlink" Target="https://www.designrush.com/agency/paid-media-pay-per-click/ae/dubai" TargetMode="External"/><Relationship Id="rId25" Type="http://schemas.openxmlformats.org/officeDocument/2006/relationships/hyperlink" Target="http://designrush.com" TargetMode="External"/><Relationship Id="rId28" Type="http://schemas.openxmlformats.org/officeDocument/2006/relationships/hyperlink" Target="https://www.designrush.com/agency/paid-media-pay-per-click/ae/dubai?page=2" TargetMode="External"/><Relationship Id="rId27" Type="http://schemas.openxmlformats.org/officeDocument/2006/relationships/hyperlink" Target="http://designrush.com" TargetMode="External"/><Relationship Id="rId29" Type="http://schemas.openxmlformats.org/officeDocument/2006/relationships/hyperlink" Target="http://designrush.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media-buying-agencies/ae/dubai"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digital-marketing/ae/dubai"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creative-agencies/ae"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ai-companies/ae"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conversion-optimization/u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uaemarketing/comments/1m9pccx/top_rated_generative_engine_optimization_geo/" TargetMode="External"/><Relationship Id="rId3" Type="http://schemas.openxmlformats.org/officeDocument/2006/relationships/hyperlink" Target="http://reddit.com" TargetMode="External"/><Relationship Id="rId4" Type="http://schemas.openxmlformats.org/officeDocument/2006/relationships/hyperlink" Target="https://www.reddit.com/r/AppDevelopersDubai/comments/1qy6tf9/top_10_digital_marketing_agencies_in_the_middle/"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Superframeworks/comments/1twfxf1/10_best_ai_seo_geoaeo_agencies_for_2026_no/" TargetMode="External"/><Relationship Id="rId7" Type="http://schemas.openxmlformats.org/officeDocument/2006/relationships/hyperlink" Target="http://reddit.com" TargetMode="External"/><Relationship Id="rId8" Type="http://schemas.openxmlformats.org/officeDocument/2006/relationships/hyperlink" Target="https://www.reddit.com/r/agency/comments/1ok212i/performance_marketing_incrementality/" TargetMode="External"/><Relationship Id="rId20" Type="http://schemas.openxmlformats.org/officeDocument/2006/relationships/hyperlink" Target="https://www.reddit.com/r/dubai/comments/139gps7/what_are_the_most_creative_digital_marketing/" TargetMode="External"/><Relationship Id="rId22" Type="http://schemas.openxmlformats.org/officeDocument/2006/relationships/hyperlink" Target="https://www.reddit.com/r/u_odysseymarketing20/comments/1sky3gp/10_best_seo_companies_in_dubai_you_can_trust/" TargetMode="External"/><Relationship Id="rId21" Type="http://schemas.openxmlformats.org/officeDocument/2006/relationships/hyperlink" Target="http://reddit.com" TargetMode="External"/><Relationship Id="rId24" Type="http://schemas.openxmlformats.org/officeDocument/2006/relationships/drawing" Target="../drawings/drawing15.xml"/><Relationship Id="rId23"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DesignDigitalProducts/comments/1tm0oqk/top_5_best_branding_agencies_in_dubai_based_on_my/" TargetMode="External"/><Relationship Id="rId13" Type="http://schemas.openxmlformats.org/officeDocument/2006/relationships/hyperlink" Target="http://reddit.com" TargetMode="External"/><Relationship Id="rId12" Type="http://schemas.openxmlformats.org/officeDocument/2006/relationships/hyperlink" Target="https://www.reddit.com/r/UAE/comments/1oienom/which_is_the_best_performance_and_roifocused/" TargetMode="External"/><Relationship Id="rId15" Type="http://schemas.openxmlformats.org/officeDocument/2006/relationships/hyperlink" Target="http://reddit.com" TargetMode="External"/><Relationship Id="rId14" Type="http://schemas.openxmlformats.org/officeDocument/2006/relationships/hyperlink" Target="https://www.reddit.com/r/aeo/comments/1twcbr2/best_aeo_agency_guide_what_to_look_for_in_an/" TargetMode="External"/><Relationship Id="rId17" Type="http://schemas.openxmlformats.org/officeDocument/2006/relationships/hyperlink" Target="http://reddit.com" TargetMode="External"/><Relationship Id="rId16" Type="http://schemas.openxmlformats.org/officeDocument/2006/relationships/hyperlink" Target="https://www.reddit.com/r/LLMTraffic/comments/1t44tn7/which_geo_marketing_agencies_are_actually_worth/" TargetMode="External"/><Relationship Id="rId19" Type="http://schemas.openxmlformats.org/officeDocument/2006/relationships/hyperlink" Target="http://reddit.com" TargetMode="External"/><Relationship Id="rId18" Type="http://schemas.openxmlformats.org/officeDocument/2006/relationships/hyperlink" Target="https://www.reddit.com/r/b2bmarketing/comments/1rl47cr/the_10_best_visibility_companies_and_agencies_for/"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medium.com"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imanta.i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icommunications.ae"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linkedin.com" TargetMode="External"/><Relationship Id="rId2" Type="http://schemas.openxmlformats.org/officeDocument/2006/relationships/hyperlink" Target="https://www.linkedin.com/pulse/top-10-ai-consulting-services-providers-dubai-abu-dhabi-hazel-wilson-fvqvf" TargetMode="External"/><Relationship Id="rId3" Type="http://schemas.openxmlformats.org/officeDocument/2006/relationships/hyperlink" Target="http://linkedin.com" TargetMode="External"/><Relationship Id="rId4" Type="http://schemas.openxmlformats.org/officeDocument/2006/relationships/hyperlink" Target="https://savit.ae/best-social-media-agencies-in-dubai-for-roi-driven-campaigns/" TargetMode="External"/><Relationship Id="rId9" Type="http://schemas.openxmlformats.org/officeDocument/2006/relationships/hyperlink" Target="http://linkedin.com" TargetMode="External"/><Relationship Id="rId5" Type="http://schemas.openxmlformats.org/officeDocument/2006/relationships/hyperlink" Target="http://savit.ae" TargetMode="External"/><Relationship Id="rId6" Type="http://schemas.openxmlformats.org/officeDocument/2006/relationships/hyperlink" Target="https://www.linkedin.com/posts/crystal-infoway_best-5-digital-marketing-agencies-in-uae-activity-7417873568446775297-9DW8" TargetMode="External"/><Relationship Id="rId7" Type="http://schemas.openxmlformats.org/officeDocument/2006/relationships/hyperlink" Target="http://linkedin.com" TargetMode="External"/><Relationship Id="rId8" Type="http://schemas.openxmlformats.org/officeDocument/2006/relationships/hyperlink" Target="https://www.linkedin.com/pulse/best-10-ai-consulting-companies-dubai-uae-2025-ranjana-srivastava-2bstc" TargetMode="External"/><Relationship Id="rId40" Type="http://schemas.openxmlformats.org/officeDocument/2006/relationships/hyperlink" Target="https://www.linkedin.com/pulse/top-10-ai-prompt-engineering-service-companies-2025-jagadish-thaker-xw6lc" TargetMode="External"/><Relationship Id="rId42" Type="http://schemas.openxmlformats.org/officeDocument/2006/relationships/hyperlink" Target="https://www.linkedin.com/pulse/top-25-performance-marketing-agencies-us-hawkemedia-iqbnc" TargetMode="External"/><Relationship Id="rId41" Type="http://schemas.openxmlformats.org/officeDocument/2006/relationships/hyperlink" Target="http://linkedin.com" TargetMode="External"/><Relationship Id="rId44" Type="http://schemas.openxmlformats.org/officeDocument/2006/relationships/hyperlink" Target="https://www.linkedin.com/pulse/top-ai-consulting-companies-dubai-2025-global-leaders-smith-johnes-dirbc" TargetMode="External"/><Relationship Id="rId43" Type="http://schemas.openxmlformats.org/officeDocument/2006/relationships/hyperlink" Target="http://linkedin.com" TargetMode="External"/><Relationship Id="rId46" Type="http://schemas.openxmlformats.org/officeDocument/2006/relationships/hyperlink" Target="https://www.linkedin.com/showcase/ai-transformation-adoption/" TargetMode="External"/><Relationship Id="rId45" Type="http://schemas.openxmlformats.org/officeDocument/2006/relationships/hyperlink" Target="http://linkedin.com" TargetMode="External"/><Relationship Id="rId48" Type="http://schemas.openxmlformats.org/officeDocument/2006/relationships/hyperlink" Target="https://sa.linkedin.com/in/edouard-daou" TargetMode="External"/><Relationship Id="rId47" Type="http://schemas.openxmlformats.org/officeDocument/2006/relationships/hyperlink" Target="http://linkedin.com" TargetMode="External"/><Relationship Id="rId49" Type="http://schemas.openxmlformats.org/officeDocument/2006/relationships/hyperlink" Target="http://linkedin.com" TargetMode="External"/><Relationship Id="rId31" Type="http://schemas.openxmlformats.org/officeDocument/2006/relationships/hyperlink" Target="http://linkedin.com" TargetMode="External"/><Relationship Id="rId30" Type="http://schemas.openxmlformats.org/officeDocument/2006/relationships/hyperlink" Target="https://www.linkedin.com/jobs/view/4394391942/" TargetMode="External"/><Relationship Id="rId33" Type="http://schemas.openxmlformats.org/officeDocument/2006/relationships/hyperlink" Target="http://linkedin.com" TargetMode="External"/><Relationship Id="rId32" Type="http://schemas.openxmlformats.org/officeDocument/2006/relationships/hyperlink" Target="https://www.linkedin.com/posts/lapaone_best-ppc-management-agencies-in-dubai-lapaone-activity-7412535693329223680-fnGx" TargetMode="External"/><Relationship Id="rId35" Type="http://schemas.openxmlformats.org/officeDocument/2006/relationships/hyperlink" Target="http://linkedin.com" TargetMode="External"/><Relationship Id="rId34" Type="http://schemas.openxmlformats.org/officeDocument/2006/relationships/hyperlink" Target="https://www.linkedin.com/pulse/10-best-ai-development-companies-uae-leading-innovation-sophie-henry-srcec" TargetMode="External"/><Relationship Id="rId37" Type="http://schemas.openxmlformats.org/officeDocument/2006/relationships/hyperlink" Target="http://linkedin.com" TargetMode="External"/><Relationship Id="rId36" Type="http://schemas.openxmlformats.org/officeDocument/2006/relationships/hyperlink" Target="https://www.linkedin.com/pulse/10-best-ai-development-companies-uae-leading-race-mohammad-rahman-kqchc" TargetMode="External"/><Relationship Id="rId39" Type="http://schemas.openxmlformats.org/officeDocument/2006/relationships/hyperlink" Target="http://linkedin.com" TargetMode="External"/><Relationship Id="rId38" Type="http://schemas.openxmlformats.org/officeDocument/2006/relationships/hyperlink" Target="https://www.linkedin.com/pulse/deconstructing-common-solutions-first-party-data-pierre-cholet-booce" TargetMode="External"/><Relationship Id="rId20" Type="http://schemas.openxmlformats.org/officeDocument/2006/relationships/hyperlink" Target="https://ie.linkedin.com/company/acquisit-advertising?trk=ppro_cprof" TargetMode="External"/><Relationship Id="rId22" Type="http://schemas.openxmlformats.org/officeDocument/2006/relationships/hyperlink" Target="https://in.linkedin.com/company/nexaai-co-in" TargetMode="External"/><Relationship Id="rId21" Type="http://schemas.openxmlformats.org/officeDocument/2006/relationships/hyperlink" Target="http://linkedin.com" TargetMode="External"/><Relationship Id="rId24" Type="http://schemas.openxmlformats.org/officeDocument/2006/relationships/hyperlink" Target="https://www.linkedin.com/company/chain-reaction-digital-services" TargetMode="External"/><Relationship Id="rId23" Type="http://schemas.openxmlformats.org/officeDocument/2006/relationships/hyperlink" Target="http://linkedin.com" TargetMode="External"/><Relationship Id="rId26" Type="http://schemas.openxmlformats.org/officeDocument/2006/relationships/hyperlink" Target="https://www.linkedin.com/company/hopmarketing/?originalSubdomain=ae" TargetMode="External"/><Relationship Id="rId25" Type="http://schemas.openxmlformats.org/officeDocument/2006/relationships/hyperlink" Target="http://linkedin.com" TargetMode="External"/><Relationship Id="rId28" Type="http://schemas.openxmlformats.org/officeDocument/2006/relationships/hyperlink" Target="https://www.linkedin.com/in/khalidelsadig/"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www.linkedin.com/pulse/top-branding-agencies-mena-best-middle-east-north-africa-firms-jgame" TargetMode="External"/><Relationship Id="rId13" Type="http://schemas.openxmlformats.org/officeDocument/2006/relationships/hyperlink" Target="http://linkedin.com" TargetMode="External"/><Relationship Id="rId12" Type="http://schemas.openxmlformats.org/officeDocument/2006/relationships/hyperlink" Target="https://ae.linkedin.com/in/hossameldin-kamel" TargetMode="External"/><Relationship Id="rId15" Type="http://schemas.openxmlformats.org/officeDocument/2006/relationships/hyperlink" Target="http://linkedin.com" TargetMode="External"/><Relationship Id="rId14" Type="http://schemas.openxmlformats.org/officeDocument/2006/relationships/hyperlink" Target="https://ae.linkedin.com/in/raya-succar-667b23173" TargetMode="External"/><Relationship Id="rId17" Type="http://schemas.openxmlformats.org/officeDocument/2006/relationships/hyperlink" Target="http://linkedin.com" TargetMode="External"/><Relationship Id="rId16" Type="http://schemas.openxmlformats.org/officeDocument/2006/relationships/hyperlink" Target="https://ae.linkedin.com/in/sumedh-gaikwad-b3799854" TargetMode="External"/><Relationship Id="rId19" Type="http://schemas.openxmlformats.org/officeDocument/2006/relationships/hyperlink" Target="http://linkedin.com" TargetMode="External"/><Relationship Id="rId18" Type="http://schemas.openxmlformats.org/officeDocument/2006/relationships/hyperlink" Target="https://au.linkedin.com/in/rami-alcheikh" TargetMode="External"/><Relationship Id="rId50"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thehovi.com" TargetMode="External"/><Relationship Id="rId2" Type="http://schemas.openxmlformats.org/officeDocument/2006/relationships/hyperlink" Target="https://digitalmediasapiens.com/best-aeo-agency-dubai/" TargetMode="External"/><Relationship Id="rId3" Type="http://schemas.openxmlformats.org/officeDocument/2006/relationships/hyperlink" Target="http://digitalmediasapiens.com" TargetMode="External"/><Relationship Id="rId4" Type="http://schemas.openxmlformats.org/officeDocument/2006/relationships/hyperlink" Target="https://oski.site/blog/sales-and-marketing-analytics-companies-uae/" TargetMode="External"/><Relationship Id="rId9" Type="http://schemas.openxmlformats.org/officeDocument/2006/relationships/hyperlink" Target="https://www.prism-me.com/paid-media-agency" TargetMode="External"/><Relationship Id="rId5" Type="http://schemas.openxmlformats.org/officeDocument/2006/relationships/hyperlink" Target="https://harisand.co/blog/10-award-winning-digital-marketing-agencies-in-dubai/" TargetMode="External"/><Relationship Id="rId6" Type="http://schemas.openxmlformats.org/officeDocument/2006/relationships/hyperlink" Target="http://harisand.co" TargetMode="External"/><Relationship Id="rId7" Type="http://schemas.openxmlformats.org/officeDocument/2006/relationships/hyperlink" Target="https://semnexus.com/best-aeo-agencies-dubai/" TargetMode="External"/><Relationship Id="rId8" Type="http://schemas.openxmlformats.org/officeDocument/2006/relationships/hyperlink" Target="http://semnexus.com" TargetMode="External"/><Relationship Id="rId40" Type="http://schemas.openxmlformats.org/officeDocument/2006/relationships/hyperlink" Target="https://marketingplatform.google.com/about/contact-us/" TargetMode="External"/><Relationship Id="rId42" Type="http://schemas.openxmlformats.org/officeDocument/2006/relationships/hyperlink" Target="https://marketingplatform.google.com/about/partners/?authuser=1" TargetMode="External"/><Relationship Id="rId41" Type="http://schemas.openxmlformats.org/officeDocument/2006/relationships/hyperlink" Target="http://google.com" TargetMode="External"/><Relationship Id="rId44" Type="http://schemas.openxmlformats.org/officeDocument/2006/relationships/hyperlink" Target="https://marketingplatform.google.com/intl/en_uk/about/" TargetMode="External"/><Relationship Id="rId43" Type="http://schemas.openxmlformats.org/officeDocument/2006/relationships/hyperlink" Target="http://google.com" TargetMode="External"/><Relationship Id="rId46" Type="http://schemas.openxmlformats.org/officeDocument/2006/relationships/hyperlink" Target="https://support.google.com/analytics/answer/7237700?hl=en-AU" TargetMode="External"/><Relationship Id="rId45" Type="http://schemas.openxmlformats.org/officeDocument/2006/relationships/hyperlink" Target="http://google.com" TargetMode="External"/><Relationship Id="rId48" Type="http://schemas.openxmlformats.org/officeDocument/2006/relationships/hyperlink" Target="https://business.google.com/us/think/measurement/incrementality-testing/" TargetMode="External"/><Relationship Id="rId47" Type="http://schemas.openxmlformats.org/officeDocument/2006/relationships/hyperlink" Target="http://google.com" TargetMode="External"/><Relationship Id="rId49" Type="http://schemas.openxmlformats.org/officeDocument/2006/relationships/hyperlink" Target="http://google.com" TargetMode="External"/><Relationship Id="rId31" Type="http://schemas.openxmlformats.org/officeDocument/2006/relationships/hyperlink" Target="http://ensun.io" TargetMode="External"/><Relationship Id="rId30" Type="http://schemas.openxmlformats.org/officeDocument/2006/relationships/hyperlink" Target="https://ensun.io/search/geospatial-gis/united-arab-emirates" TargetMode="External"/><Relationship Id="rId33" Type="http://schemas.openxmlformats.org/officeDocument/2006/relationships/hyperlink" Target="http://google.com" TargetMode="External"/><Relationship Id="rId32" Type="http://schemas.openxmlformats.org/officeDocument/2006/relationships/hyperlink" Target="https://www.google.com/partners/" TargetMode="External"/><Relationship Id="rId35" Type="http://schemas.openxmlformats.org/officeDocument/2006/relationships/hyperlink" Target="http://google.com" TargetMode="External"/><Relationship Id="rId34" Type="http://schemas.openxmlformats.org/officeDocument/2006/relationships/hyperlink" Target="https://support.google.com/tagmanager/answer/7237700?hl=en-GB" TargetMode="External"/><Relationship Id="rId37" Type="http://schemas.openxmlformats.org/officeDocument/2006/relationships/hyperlink" Target="http://digitalmediasapiens.com" TargetMode="External"/><Relationship Id="rId36" Type="http://schemas.openxmlformats.org/officeDocument/2006/relationships/hyperlink" Target="https://digitalmediasapiens.com/top-10-digital-agencies-in-dubai/" TargetMode="External"/><Relationship Id="rId39" Type="http://schemas.openxmlformats.org/officeDocument/2006/relationships/hyperlink" Target="http://morismedia.in" TargetMode="External"/><Relationship Id="rId38" Type="http://schemas.openxmlformats.org/officeDocument/2006/relationships/hyperlink" Target="https://www.morismedia.in/united-arab-emirates-top-10-performance-marketing-agency-for-marketing-advertising-in-2026" TargetMode="External"/><Relationship Id="rId20" Type="http://schemas.openxmlformats.org/officeDocument/2006/relationships/hyperlink" Target="https://www.amraandelma.com/marketing-agencies-in-the-united-arab-emirates/" TargetMode="External"/><Relationship Id="rId22" Type="http://schemas.openxmlformats.org/officeDocument/2006/relationships/hyperlink" Target="https://www.morismedia.in/united-arab-emirates-top-10-llm-ai-search-optimization-agency-for-corporate-consulting-in-2026" TargetMode="External"/><Relationship Id="rId21" Type="http://schemas.openxmlformats.org/officeDocument/2006/relationships/hyperlink" Target="http://amraandelma.com" TargetMode="External"/><Relationship Id="rId24" Type="http://schemas.openxmlformats.org/officeDocument/2006/relationships/hyperlink" Target="https://support.google.com/analytics/answer/7237700?hl=en" TargetMode="External"/><Relationship Id="rId23" Type="http://schemas.openxmlformats.org/officeDocument/2006/relationships/hyperlink" Target="http://morismedia.in" TargetMode="External"/><Relationship Id="rId26" Type="http://schemas.openxmlformats.org/officeDocument/2006/relationships/hyperlink" Target="https://www.google.com/ads/publisher/partners/find-a-partner/" TargetMode="External"/><Relationship Id="rId25" Type="http://schemas.openxmlformats.org/officeDocument/2006/relationships/hyperlink" Target="http://google.com" TargetMode="External"/><Relationship Id="rId28" Type="http://schemas.openxmlformats.org/officeDocument/2006/relationships/hyperlink" Target="https://www.google.com/intl/en_GB/ads/publisher/partners/find-a-partner/" TargetMode="External"/><Relationship Id="rId27" Type="http://schemas.openxmlformats.org/officeDocument/2006/relationships/hyperlink" Target="http://google.com" TargetMode="External"/><Relationship Id="rId29" Type="http://schemas.openxmlformats.org/officeDocument/2006/relationships/hyperlink" Target="http://google.com" TargetMode="External"/><Relationship Id="rId11" Type="http://schemas.openxmlformats.org/officeDocument/2006/relationships/hyperlink" Target="https://thehovi.com/ai-marketing-agency-dubai" TargetMode="External"/><Relationship Id="rId10" Type="http://schemas.openxmlformats.org/officeDocument/2006/relationships/hyperlink" Target="http://prism-me.com" TargetMode="External"/><Relationship Id="rId13" Type="http://schemas.openxmlformats.org/officeDocument/2006/relationships/hyperlink" Target="https://ensun.io/search/marketing-analytics/united-arab-emirates" TargetMode="External"/><Relationship Id="rId12" Type="http://schemas.openxmlformats.org/officeDocument/2006/relationships/hyperlink" Target="http://thehovi.com" TargetMode="External"/><Relationship Id="rId15" Type="http://schemas.openxmlformats.org/officeDocument/2006/relationships/hyperlink" Target="https://mystrika.com/directory/agencies/top/data-analytics-in-country-united-arab-emirates" TargetMode="External"/><Relationship Id="rId14" Type="http://schemas.openxmlformats.org/officeDocument/2006/relationships/hyperlink" Target="http://ensun.io" TargetMode="External"/><Relationship Id="rId17" Type="http://schemas.openxmlformats.org/officeDocument/2006/relationships/hyperlink" Target="https://www.prism-me.com/" TargetMode="External"/><Relationship Id="rId16" Type="http://schemas.openxmlformats.org/officeDocument/2006/relationships/hyperlink" Target="http://mystrika.com" TargetMode="External"/><Relationship Id="rId19" Type="http://schemas.openxmlformats.org/officeDocument/2006/relationships/hyperlink" Target="https://oski.site/blog/ai-consulting-companies-uae/" TargetMode="External"/><Relationship Id="rId18" Type="http://schemas.openxmlformats.org/officeDocument/2006/relationships/hyperlink" Target="http://prism-me.com" TargetMode="External"/><Relationship Id="rId84" Type="http://schemas.openxmlformats.org/officeDocument/2006/relationships/hyperlink" Target="https://digitalmediasapiens.com/top-15-digital-marketing-agencies-in-dubai-your-ultimate-guide-to-finding-the-right-partner/" TargetMode="External"/><Relationship Id="rId83" Type="http://schemas.openxmlformats.org/officeDocument/2006/relationships/hyperlink" Target="http://digitalmediasapiens.com" TargetMode="External"/><Relationship Id="rId86" Type="http://schemas.openxmlformats.org/officeDocument/2006/relationships/hyperlink" Target="https://www.google.com/ads/publisher/partners/work-with-a-partner/" TargetMode="External"/><Relationship Id="rId85" Type="http://schemas.openxmlformats.org/officeDocument/2006/relationships/hyperlink" Target="http://digitalmediasapiens.com" TargetMode="External"/><Relationship Id="rId88" Type="http://schemas.openxmlformats.org/officeDocument/2006/relationships/hyperlink" Target="https://govanator.com/best-social-media-marketing-services-in-dubai/" TargetMode="External"/><Relationship Id="rId87" Type="http://schemas.openxmlformats.org/officeDocument/2006/relationships/hyperlink" Target="http://google.com" TargetMode="External"/><Relationship Id="rId89" Type="http://schemas.openxmlformats.org/officeDocument/2006/relationships/hyperlink" Target="http://govanator.com" TargetMode="External"/><Relationship Id="rId80" Type="http://schemas.openxmlformats.org/officeDocument/2006/relationships/hyperlink" Target="https://business.google.com/us/support/work-with-a-partner/" TargetMode="External"/><Relationship Id="rId82" Type="http://schemas.openxmlformats.org/officeDocument/2006/relationships/hyperlink" Target="https://digitalmediasapiens.com/top-10-digital-marketing-agencies-in-dubai/" TargetMode="External"/><Relationship Id="rId81" Type="http://schemas.openxmlformats.org/officeDocument/2006/relationships/hyperlink" Target="http://google.com" TargetMode="External"/><Relationship Id="rId73" Type="http://schemas.openxmlformats.org/officeDocument/2006/relationships/hyperlink" Target="http://amazon.in" TargetMode="External"/><Relationship Id="rId72" Type="http://schemas.openxmlformats.org/officeDocument/2006/relationships/hyperlink" Target="https://music.amazon.in/podcasts/ab0c6775-0756-4b4a-9584-c0818438a009/episodes/48290346-a1af-4264-a808-6eaa2ac56efd/how-to-rank-in-ai-%E2%80%94-sqseo-podcast-what-are-the-best-generative-engine-optimization-geo-agencies-in-united-arab-emirates" TargetMode="External"/><Relationship Id="rId75" Type="http://schemas.openxmlformats.org/officeDocument/2006/relationships/hyperlink" Target="http://aisuperior.com" TargetMode="External"/><Relationship Id="rId74" Type="http://schemas.openxmlformats.org/officeDocument/2006/relationships/hyperlink" Target="https://aisuperior.com/geospatial-companies-in-uae/" TargetMode="External"/><Relationship Id="rId77" Type="http://schemas.openxmlformats.org/officeDocument/2006/relationships/hyperlink" Target="http://google.com" TargetMode="External"/><Relationship Id="rId76" Type="http://schemas.openxmlformats.org/officeDocument/2006/relationships/hyperlink" Target="https://business.google.com/en-all/support/become-a-partner/" TargetMode="External"/><Relationship Id="rId79" Type="http://schemas.openxmlformats.org/officeDocument/2006/relationships/hyperlink" Target="http://google.com" TargetMode="External"/><Relationship Id="rId78" Type="http://schemas.openxmlformats.org/officeDocument/2006/relationships/hyperlink" Target="https://business.google.com/uk/think/measurement/incrementality-testing/" TargetMode="External"/><Relationship Id="rId71" Type="http://schemas.openxmlformats.org/officeDocument/2006/relationships/hyperlink" Target="http://morismedia.in" TargetMode="External"/><Relationship Id="rId70" Type="http://schemas.openxmlformats.org/officeDocument/2006/relationships/hyperlink" Target="https://www.morismedia.in/dubais-top-analytics-and-data-agency-in-dubai-ajman-united-arab-emirates" TargetMode="External"/><Relationship Id="rId62" Type="http://schemas.openxmlformats.org/officeDocument/2006/relationships/hyperlink" Target="https://ads.google.com/intl/us-EN/home/partners/work-with-a-partner/" TargetMode="External"/><Relationship Id="rId61" Type="http://schemas.openxmlformats.org/officeDocument/2006/relationships/hyperlink" Target="http://sourceforge.net" TargetMode="External"/><Relationship Id="rId64" Type="http://schemas.openxmlformats.org/officeDocument/2006/relationships/hyperlink" Target="https://business.google.com/en-all/support/work-with-a-partner/" TargetMode="External"/><Relationship Id="rId63" Type="http://schemas.openxmlformats.org/officeDocument/2006/relationships/hyperlink" Target="http://google.com" TargetMode="External"/><Relationship Id="rId66" Type="http://schemas.openxmlformats.org/officeDocument/2006/relationships/hyperlink" Target="https://getprolinks.com/best-ai-driven-marketing-agency-in-dubai/" TargetMode="External"/><Relationship Id="rId65" Type="http://schemas.openxmlformats.org/officeDocument/2006/relationships/hyperlink" Target="http://google.com" TargetMode="External"/><Relationship Id="rId68" Type="http://schemas.openxmlformats.org/officeDocument/2006/relationships/hyperlink" Target="https://www.google.com/intl/ar/ads/publisher/partners/find-a-partner/" TargetMode="External"/><Relationship Id="rId67" Type="http://schemas.openxmlformats.org/officeDocument/2006/relationships/hyperlink" Target="http://getprolinks.com" TargetMode="External"/><Relationship Id="rId60" Type="http://schemas.openxmlformats.org/officeDocument/2006/relationships/hyperlink" Target="https://sourceforge.net/software/incrementality-testing/middle-east/" TargetMode="External"/><Relationship Id="rId69" Type="http://schemas.openxmlformats.org/officeDocument/2006/relationships/hyperlink" Target="http://google.com" TargetMode="External"/><Relationship Id="rId51" Type="http://schemas.openxmlformats.org/officeDocument/2006/relationships/hyperlink" Target="http://digitalmediasapiens.com" TargetMode="External"/><Relationship Id="rId50" Type="http://schemas.openxmlformats.org/officeDocument/2006/relationships/hyperlink" Target="https://digitalmediasapiens.com/which-is-the-best-digital-marketing-agency-in-dubai/" TargetMode="External"/><Relationship Id="rId53" Type="http://schemas.openxmlformats.org/officeDocument/2006/relationships/hyperlink" Target="http://google.com" TargetMode="External"/><Relationship Id="rId52" Type="http://schemas.openxmlformats.org/officeDocument/2006/relationships/hyperlink" Target="https://www.google.com/intl/en_GB/ads/publisher/partners/work-with-a-partner/" TargetMode="External"/><Relationship Id="rId55" Type="http://schemas.openxmlformats.org/officeDocument/2006/relationships/hyperlink" Target="http://lenabara.com" TargetMode="External"/><Relationship Id="rId54" Type="http://schemas.openxmlformats.org/officeDocument/2006/relationships/hyperlink" Target="https://www.lenabara.com/" TargetMode="External"/><Relationship Id="rId57" Type="http://schemas.openxmlformats.org/officeDocument/2006/relationships/hyperlink" Target="http://mystrika.com" TargetMode="External"/><Relationship Id="rId56" Type="http://schemas.openxmlformats.org/officeDocument/2006/relationships/hyperlink" Target="https://mystrika.com/directory/agencies/top/account-based-marketing-in-country-united-arab-emirates" TargetMode="External"/><Relationship Id="rId59" Type="http://schemas.openxmlformats.org/officeDocument/2006/relationships/hyperlink" Target="http://semnexus.com" TargetMode="External"/><Relationship Id="rId58" Type="http://schemas.openxmlformats.org/officeDocument/2006/relationships/hyperlink" Target="https://semnexus.com/best-aeo-agencies-dubai-2" TargetMode="External"/><Relationship Id="rId95" Type="http://schemas.openxmlformats.org/officeDocument/2006/relationships/hyperlink" Target="http://morismedia.in" TargetMode="External"/><Relationship Id="rId94" Type="http://schemas.openxmlformats.org/officeDocument/2006/relationships/hyperlink" Target="https://www.morismedia.in/best-advertising-agency-in-dubai-du-ae" TargetMode="External"/><Relationship Id="rId97" Type="http://schemas.openxmlformats.org/officeDocument/2006/relationships/hyperlink" Target="http://amazon.es" TargetMode="External"/><Relationship Id="rId96" Type="http://schemas.openxmlformats.org/officeDocument/2006/relationships/hyperlink" Target="https://music.amazon.es/podcasts/ab0c6775-0756-4b4a-9584-c0818438a009/episodes/48290346-a1af-4264-a808-6eaa2ac56efd/how-to-rank-in-ai-%E2%80%94-sqseo-podcast-what-are-the-best-generative-engine-optimization-geo-agencies-in-united-arab-emirates" TargetMode="External"/><Relationship Id="rId99" Type="http://schemas.openxmlformats.org/officeDocument/2006/relationships/hyperlink" Target="http://google.com" TargetMode="External"/><Relationship Id="rId98" Type="http://schemas.openxmlformats.org/officeDocument/2006/relationships/hyperlink" Target="https://support.google.com/tagmanager/answer/7237700?hl=en" TargetMode="External"/><Relationship Id="rId91" Type="http://schemas.openxmlformats.org/officeDocument/2006/relationships/hyperlink" Target="http://google.com" TargetMode="External"/><Relationship Id="rId90" Type="http://schemas.openxmlformats.org/officeDocument/2006/relationships/hyperlink" Target="https://marketingplatform.google.com/about/" TargetMode="External"/><Relationship Id="rId93" Type="http://schemas.openxmlformats.org/officeDocument/2006/relationships/hyperlink" Target="http://morismedia.in" TargetMode="External"/><Relationship Id="rId92" Type="http://schemas.openxmlformats.org/officeDocument/2006/relationships/hyperlink" Target="https://www.morismedia.in/abu-dhabi-top-10-paid-media-management-agency-serving-finance-in-2026" TargetMode="External"/><Relationship Id="rId217" Type="http://schemas.openxmlformats.org/officeDocument/2006/relationships/hyperlink" Target="https://themedialinks.com/services/social-media-marketing-services/" TargetMode="External"/><Relationship Id="rId216" Type="http://schemas.openxmlformats.org/officeDocument/2006/relationships/hyperlink" Target="http://thehovi.com" TargetMode="External"/><Relationship Id="rId215" Type="http://schemas.openxmlformats.org/officeDocument/2006/relationships/hyperlink" Target="https://thehovi.com/ai-marketing-agency-abu-dhabi" TargetMode="External"/><Relationship Id="rId214" Type="http://schemas.openxmlformats.org/officeDocument/2006/relationships/hyperlink" Target="http://thehovi.com" TargetMode="External"/><Relationship Id="rId219" Type="http://schemas.openxmlformats.org/officeDocument/2006/relationships/drawing" Target="../drawings/drawing30.xml"/><Relationship Id="rId218" Type="http://schemas.openxmlformats.org/officeDocument/2006/relationships/hyperlink" Target="http://themedialinks.com" TargetMode="External"/><Relationship Id="rId213" Type="http://schemas.openxmlformats.org/officeDocument/2006/relationships/hyperlink" Target="https://thehovi.com/about" TargetMode="External"/><Relationship Id="rId212" Type="http://schemas.openxmlformats.org/officeDocument/2006/relationships/hyperlink" Target="http://sumnah.ae" TargetMode="External"/><Relationship Id="rId211" Type="http://schemas.openxmlformats.org/officeDocument/2006/relationships/hyperlink" Target="https://sumnah.ae/" TargetMode="External"/><Relationship Id="rId210" Type="http://schemas.openxmlformats.org/officeDocument/2006/relationships/hyperlink" Target="http://seosandwitch.com" TargetMode="External"/><Relationship Id="rId206" Type="http://schemas.openxmlformats.org/officeDocument/2006/relationships/hyperlink" Target="http://canberra.edu.au" TargetMode="External"/><Relationship Id="rId205" Type="http://schemas.openxmlformats.org/officeDocument/2006/relationships/hyperlink" Target="https://researchprofiles.canberra.edu.au/files/84245423/Andrew_Dan.pdf" TargetMode="External"/><Relationship Id="rId204" Type="http://schemas.openxmlformats.org/officeDocument/2006/relationships/hyperlink" Target="http://rebootonline.com" TargetMode="External"/><Relationship Id="rId203" Type="http://schemas.openxmlformats.org/officeDocument/2006/relationships/hyperlink" Target="https://www.rebootonline.com/paid-media/best-paid-media-agencies/" TargetMode="External"/><Relationship Id="rId209" Type="http://schemas.openxmlformats.org/officeDocument/2006/relationships/hyperlink" Target="https://seosandwitch.com/aeo-geo-marketing-agencies/" TargetMode="External"/><Relationship Id="rId208" Type="http://schemas.openxmlformats.org/officeDocument/2006/relationships/hyperlink" Target="http://rhillane.com" TargetMode="External"/><Relationship Id="rId207" Type="http://schemas.openxmlformats.org/officeDocument/2006/relationships/hyperlink" Target="https://rhillane.com/en-ae/marketing/digital-marketing-agency-dubai/" TargetMode="External"/><Relationship Id="rId202" Type="http://schemas.openxmlformats.org/officeDocument/2006/relationships/hyperlink" Target="http://prism-me.com" TargetMode="External"/><Relationship Id="rId201" Type="http://schemas.openxmlformats.org/officeDocument/2006/relationships/hyperlink" Target="https://www.prism-me.com/paid-media-agency/instagram-ads" TargetMode="External"/><Relationship Id="rId200" Type="http://schemas.openxmlformats.org/officeDocument/2006/relationships/hyperlink" Target="http://prism-me.com" TargetMode="External"/><Relationship Id="rId190" Type="http://schemas.openxmlformats.org/officeDocument/2006/relationships/hyperlink" Target="https://list-of-digital-marketing-companies-in-dubai.com/dubai/data-driven-marketing" TargetMode="External"/><Relationship Id="rId194" Type="http://schemas.openxmlformats.org/officeDocument/2006/relationships/hyperlink" Target="http://morismedia.in" TargetMode="External"/><Relationship Id="rId193" Type="http://schemas.openxmlformats.org/officeDocument/2006/relationships/hyperlink" Target="https://www.morismedia.in/abu-dhabis-top-analytics-and-data-agency-in-abu-dhabi-sharjah-united-arab-emirates" TargetMode="External"/><Relationship Id="rId192" Type="http://schemas.openxmlformats.org/officeDocument/2006/relationships/hyperlink" Target="https://www.madx.digital/learn/geo-aeo-agencies" TargetMode="External"/><Relationship Id="rId191" Type="http://schemas.openxmlformats.org/officeDocument/2006/relationships/hyperlink" Target="http://list-of-digital-marketing-companies-in-dubai.com" TargetMode="External"/><Relationship Id="rId187" Type="http://schemas.openxmlformats.org/officeDocument/2006/relationships/hyperlink" Target="http://instagram.com" TargetMode="External"/><Relationship Id="rId186" Type="http://schemas.openxmlformats.org/officeDocument/2006/relationships/hyperlink" Target="https://www.instagram.com/vibemarketingtechfest/" TargetMode="External"/><Relationship Id="rId185" Type="http://schemas.openxmlformats.org/officeDocument/2006/relationships/hyperlink" Target="http://imedia247.ae" TargetMode="External"/><Relationship Id="rId184" Type="http://schemas.openxmlformats.org/officeDocument/2006/relationships/hyperlink" Target="https://imedia247.ae/" TargetMode="External"/><Relationship Id="rId189" Type="http://schemas.openxmlformats.org/officeDocument/2006/relationships/hyperlink" Target="http://legend1st.com" TargetMode="External"/><Relationship Id="rId188" Type="http://schemas.openxmlformats.org/officeDocument/2006/relationships/hyperlink" Target="https://legend1st.com/ai-companies-in-dubai/" TargetMode="External"/><Relationship Id="rId183" Type="http://schemas.openxmlformats.org/officeDocument/2006/relationships/hyperlink" Target="http://harisand.co" TargetMode="External"/><Relationship Id="rId182" Type="http://schemas.openxmlformats.org/officeDocument/2006/relationships/hyperlink" Target="https://harisand.co/ae/digital-marketing-agency-in-abudhabi" TargetMode="External"/><Relationship Id="rId181" Type="http://schemas.openxmlformats.org/officeDocument/2006/relationships/hyperlink" Target="http://gtm8020.com" TargetMode="External"/><Relationship Id="rId180" Type="http://schemas.openxmlformats.org/officeDocument/2006/relationships/hyperlink" Target="https://www.gtm8020.com/services/marketing-analytics" TargetMode="External"/><Relationship Id="rId176" Type="http://schemas.openxmlformats.org/officeDocument/2006/relationships/hyperlink" Target="https://www.google.com/searchviewer/10?svid=CAwSHRIbCgNwdnESFENnMHZaeTh4TVhkak9YQm9PWGM0GAo" TargetMode="External"/><Relationship Id="rId175" Type="http://schemas.openxmlformats.org/officeDocument/2006/relationships/hyperlink" Target="http://google.com" TargetMode="External"/><Relationship Id="rId174" Type="http://schemas.openxmlformats.org/officeDocument/2006/relationships/hyperlink" Target="https://www.google.com/searchviewer/10?svid=CAwSHRIbCgNwdnESFENnMHZaeTh4TVhaNU5tMTVObTUyGAo" TargetMode="External"/><Relationship Id="rId173" Type="http://schemas.openxmlformats.org/officeDocument/2006/relationships/hyperlink" Target="http://google.com" TargetMode="External"/><Relationship Id="rId179" Type="http://schemas.openxmlformats.org/officeDocument/2006/relationships/hyperlink" Target="http://govanator.com" TargetMode="External"/><Relationship Id="rId178" Type="http://schemas.openxmlformats.org/officeDocument/2006/relationships/hyperlink" Target="https://govanator.com/best-google-ads-services-in-australia/" TargetMode="External"/><Relationship Id="rId177" Type="http://schemas.openxmlformats.org/officeDocument/2006/relationships/hyperlink" Target="http://google.com" TargetMode="External"/><Relationship Id="rId198" Type="http://schemas.openxmlformats.org/officeDocument/2006/relationships/hyperlink" Target="http://amazonaws.com" TargetMode="External"/><Relationship Id="rId197" Type="http://schemas.openxmlformats.org/officeDocument/2006/relationships/hyperlink" Target="https://partners.amazonaws.com/partners/0010L00001u53HvQAI/" TargetMode="External"/><Relationship Id="rId196" Type="http://schemas.openxmlformats.org/officeDocument/2006/relationships/hyperlink" Target="http://morismedia.in" TargetMode="External"/><Relationship Id="rId195" Type="http://schemas.openxmlformats.org/officeDocument/2006/relationships/hyperlink" Target="https://www.morismedia.in/united-arab-emirates-top-10-ai-based-advertising-agency-for-marketing-advertising-in-2026" TargetMode="External"/><Relationship Id="rId199" Type="http://schemas.openxmlformats.org/officeDocument/2006/relationships/hyperlink" Target="https://www.prism-me.com/blog/ai-based-attribution-model-%20explained-5-questions-every-executive-is-asking-in-2026" TargetMode="External"/><Relationship Id="rId150" Type="http://schemas.openxmlformats.org/officeDocument/2006/relationships/hyperlink" Target="https://www.google.com/searchviewer/10?svid=CAwSHBIaCgNwdnESE0Nnd3ZaeTh4YUdjMGVHYzBkakkYCg" TargetMode="External"/><Relationship Id="rId149" Type="http://schemas.openxmlformats.org/officeDocument/2006/relationships/hyperlink" Target="http://google.com" TargetMode="External"/><Relationship Id="rId148" Type="http://schemas.openxmlformats.org/officeDocument/2006/relationships/hyperlink" Target="https://www.google.com/searchviewer/10?svid=CAwSHBIaCgNwdnESE0Nnd3ZaeTh4Y1RZMFpGOW1ZamcYCg" TargetMode="External"/><Relationship Id="rId143" Type="http://schemas.openxmlformats.org/officeDocument/2006/relationships/hyperlink" Target="http://foreplay.co" TargetMode="External"/><Relationship Id="rId142" Type="http://schemas.openxmlformats.org/officeDocument/2006/relationships/hyperlink" Target="https://www.foreplay.co/post/madgicx-alternatives" TargetMode="External"/><Relationship Id="rId141" Type="http://schemas.openxmlformats.org/officeDocument/2006/relationships/hyperlink" Target="http://ensun.io" TargetMode="External"/><Relationship Id="rId140" Type="http://schemas.openxmlformats.org/officeDocument/2006/relationships/hyperlink" Target="https://ensun.io/search/geospatial-data/united-arab-emirates" TargetMode="External"/><Relationship Id="rId147" Type="http://schemas.openxmlformats.org/officeDocument/2006/relationships/hyperlink" Target="http://google.com" TargetMode="External"/><Relationship Id="rId146" Type="http://schemas.openxmlformats.org/officeDocument/2006/relationships/hyperlink" Target="https://www.google.com/searchviewer/10?svid=CAwSGxIZCgNwdnESEkNnc3ZaeTh4ZEdSM2REUmpkdxgK" TargetMode="External"/><Relationship Id="rId145" Type="http://schemas.openxmlformats.org/officeDocument/2006/relationships/hyperlink" Target="http://geniecrawl.com" TargetMode="External"/><Relationship Id="rId144" Type="http://schemas.openxmlformats.org/officeDocument/2006/relationships/hyperlink" Target="https://www.geniecrawl.com/top-50-geo-and-ai-marketing-agencies-in-the-uk-2026-rankings/" TargetMode="External"/><Relationship Id="rId139" Type="http://schemas.openxmlformats.org/officeDocument/2006/relationships/hyperlink" Target="http://emblixsolutions.ae" TargetMode="External"/><Relationship Id="rId138" Type="http://schemas.openxmlformats.org/officeDocument/2006/relationships/hyperlink" Target="https://emblixsolutions.ae/ai-powered-digital-marketing-services-in-dubai/" TargetMode="External"/><Relationship Id="rId137" Type="http://schemas.openxmlformats.org/officeDocument/2006/relationships/hyperlink" Target="http://dutest.com" TargetMode="External"/><Relationship Id="rId132" Type="http://schemas.openxmlformats.org/officeDocument/2006/relationships/hyperlink" Target="https://digitalmediasapiens.com/marketing-consultant-services-dubai/" TargetMode="External"/><Relationship Id="rId131" Type="http://schemas.openxmlformats.org/officeDocument/2006/relationships/hyperlink" Target="http://digitalmediasapiens.com" TargetMode="External"/><Relationship Id="rId130" Type="http://schemas.openxmlformats.org/officeDocument/2006/relationships/hyperlink" Target="https://digitalmediasapiens.com/best-digital-marketing-agency-in-dubai-for-roi-driven-growth/" TargetMode="External"/><Relationship Id="rId136" Type="http://schemas.openxmlformats.org/officeDocument/2006/relationships/hyperlink" Target="https://www.dutest.com/services/lifting-equipment-inspection-third-party-inspection-uae/" TargetMode="External"/><Relationship Id="rId135" Type="http://schemas.openxmlformats.org/officeDocument/2006/relationships/hyperlink" Target="http://esomar.org" TargetMode="External"/><Relationship Id="rId134" Type="http://schemas.openxmlformats.org/officeDocument/2006/relationships/hyperlink" Target="https://directory.esomar.org/results.php?conducted_id%5B%5D=190" TargetMode="External"/><Relationship Id="rId133" Type="http://schemas.openxmlformats.org/officeDocument/2006/relationships/hyperlink" Target="http://digitalmediasapiens.com" TargetMode="External"/><Relationship Id="rId172" Type="http://schemas.openxmlformats.org/officeDocument/2006/relationships/hyperlink" Target="https://www.google.com/searchviewer/10?svid=CAwSHRIbCgNwdnESFENnMHZaeTh4TVhSdVgyTTBabnB3GAo" TargetMode="External"/><Relationship Id="rId171" Type="http://schemas.openxmlformats.org/officeDocument/2006/relationships/hyperlink" Target="http://google.com" TargetMode="External"/><Relationship Id="rId170" Type="http://schemas.openxmlformats.org/officeDocument/2006/relationships/hyperlink" Target="https://www.google.com/searchviewer/10?svid=CAwSHRIbCgNwdnESFENnMHZaeTh4TVhRMFlqRnNjSEJuGAo" TargetMode="External"/><Relationship Id="rId165" Type="http://schemas.openxmlformats.org/officeDocument/2006/relationships/hyperlink" Target="http://google.com" TargetMode="External"/><Relationship Id="rId164" Type="http://schemas.openxmlformats.org/officeDocument/2006/relationships/hyperlink" Target="https://www.google.com/searchviewer/10?svid=CAwSHRIbCgNwdnESFENnMHZaeTh4TVdOdGRuTmtOWEk1GAo" TargetMode="External"/><Relationship Id="rId163" Type="http://schemas.openxmlformats.org/officeDocument/2006/relationships/hyperlink" Target="http://google.com" TargetMode="External"/><Relationship Id="rId162" Type="http://schemas.openxmlformats.org/officeDocument/2006/relationships/hyperlink" Target="https://www.google.com/searchviewer/10?svid=CAwSHRIbCgNwdnESFENnMHZaeTh4TVdOcWFHcG1abTE0GAo" TargetMode="External"/><Relationship Id="rId169" Type="http://schemas.openxmlformats.org/officeDocument/2006/relationships/hyperlink" Target="http://google.com" TargetMode="External"/><Relationship Id="rId168" Type="http://schemas.openxmlformats.org/officeDocument/2006/relationships/hyperlink" Target="https://www.google.com/searchviewer/10?svid=CAwSHRIbCgNwdnESFENnMHZaeTh4TVhKbVl6ZDVZbTF6GAo" TargetMode="External"/><Relationship Id="rId167" Type="http://schemas.openxmlformats.org/officeDocument/2006/relationships/hyperlink" Target="http://google.com" TargetMode="External"/><Relationship Id="rId166" Type="http://schemas.openxmlformats.org/officeDocument/2006/relationships/hyperlink" Target="https://www.google.com/searchviewer/10?svid=CAwSHRIbCgNwdnESFENnMHZaeTh4TVdwdVgxOTJjVGx4GAo" TargetMode="External"/><Relationship Id="rId161" Type="http://schemas.openxmlformats.org/officeDocument/2006/relationships/hyperlink" Target="http://google.com" TargetMode="External"/><Relationship Id="rId160" Type="http://schemas.openxmlformats.org/officeDocument/2006/relationships/hyperlink" Target="https://www.google.com/searchviewer/10?svid=CAwSHRIbCgNwdnESFENnMHZaeTh4TVdKaWQzaHNjM2N5GAo" TargetMode="External"/><Relationship Id="rId159" Type="http://schemas.openxmlformats.org/officeDocument/2006/relationships/hyperlink" Target="http://google.com" TargetMode="External"/><Relationship Id="rId154" Type="http://schemas.openxmlformats.org/officeDocument/2006/relationships/hyperlink" Target="https://www.google.com/searchviewer/10?svid=CAwSHRIbCgNwdnESFENnMHZaeTh4TVc1dGVsOHhkSGxzGAo" TargetMode="External"/><Relationship Id="rId153" Type="http://schemas.openxmlformats.org/officeDocument/2006/relationships/hyperlink" Target="http://google.com" TargetMode="External"/><Relationship Id="rId152" Type="http://schemas.openxmlformats.org/officeDocument/2006/relationships/hyperlink" Target="https://www.google.com/searchviewer/10?svid=CAwSHRIbCgNwdnESFENnMHZaeTh4TVc1NGNXMWpaM04zGAo" TargetMode="External"/><Relationship Id="rId151" Type="http://schemas.openxmlformats.org/officeDocument/2006/relationships/hyperlink" Target="http://google.com" TargetMode="External"/><Relationship Id="rId158" Type="http://schemas.openxmlformats.org/officeDocument/2006/relationships/hyperlink" Target="https://www.google.com/searchviewer/10?svid=CAwSHRIbCgNwdnESFENnMHZaeTh4TVdJMlpEQXdiRE54GAo" TargetMode="External"/><Relationship Id="rId157" Type="http://schemas.openxmlformats.org/officeDocument/2006/relationships/hyperlink" Target="http://google.com" TargetMode="External"/><Relationship Id="rId156" Type="http://schemas.openxmlformats.org/officeDocument/2006/relationships/hyperlink" Target="https://www.google.com/searchviewer/10?svid=CAwSHRIbCgNwdnESFENnMHZaeTh4TVd4MGNUZzVYM055GAo" TargetMode="External"/><Relationship Id="rId155" Type="http://schemas.openxmlformats.org/officeDocument/2006/relationships/hyperlink" Target="http://google.com" TargetMode="External"/><Relationship Id="rId107" Type="http://schemas.openxmlformats.org/officeDocument/2006/relationships/hyperlink" Target="http://upgrowth.in" TargetMode="External"/><Relationship Id="rId106" Type="http://schemas.openxmlformats.org/officeDocument/2006/relationships/hyperlink" Target="https://upgrowth.in/geo-optimization-uae/" TargetMode="External"/><Relationship Id="rId105" Type="http://schemas.openxmlformats.org/officeDocument/2006/relationships/hyperlink" Target="http://thehovi.com" TargetMode="External"/><Relationship Id="rId104" Type="http://schemas.openxmlformats.org/officeDocument/2006/relationships/hyperlink" Target="https://thehovi.com/" TargetMode="External"/><Relationship Id="rId109" Type="http://schemas.openxmlformats.org/officeDocument/2006/relationships/hyperlink" Target="http://aceofperformance.com" TargetMode="External"/><Relationship Id="rId108" Type="http://schemas.openxmlformats.org/officeDocument/2006/relationships/hyperlink" Target="https://aceofperformance.com/" TargetMode="External"/><Relationship Id="rId103" Type="http://schemas.openxmlformats.org/officeDocument/2006/relationships/hyperlink" Target="http://teamtweaks.com" TargetMode="External"/><Relationship Id="rId102" Type="http://schemas.openxmlformats.org/officeDocument/2006/relationships/hyperlink" Target="https://www.teamtweaks.com/blog/digital-marketing-agency-in-uae/" TargetMode="External"/><Relationship Id="rId101" Type="http://schemas.openxmlformats.org/officeDocument/2006/relationships/hyperlink" Target="http://google.com" TargetMode="External"/><Relationship Id="rId100" Type="http://schemas.openxmlformats.org/officeDocument/2006/relationships/hyperlink" Target="https://support.google.com/tagmanager/answer/7237700?hl=en-au" TargetMode="External"/><Relationship Id="rId129" Type="http://schemas.openxmlformats.org/officeDocument/2006/relationships/hyperlink" Target="http://google.com" TargetMode="External"/><Relationship Id="rId128" Type="http://schemas.openxmlformats.org/officeDocument/2006/relationships/hyperlink" Target="https://business.google.com/in/think/marketing-strategies/incrementality-testing/" TargetMode="External"/><Relationship Id="rId127" Type="http://schemas.openxmlformats.org/officeDocument/2006/relationships/hyperlink" Target="http://banibro.com" TargetMode="External"/><Relationship Id="rId126" Type="http://schemas.openxmlformats.org/officeDocument/2006/relationships/hyperlink" Target="https://banibro.com/blog/erp-implementation-companies-in-dubai/" TargetMode="External"/><Relationship Id="rId121" Type="http://schemas.openxmlformats.org/officeDocument/2006/relationships/hyperlink" Target="http://alserhmedia.com" TargetMode="External"/><Relationship Id="rId120" Type="http://schemas.openxmlformats.org/officeDocument/2006/relationships/hyperlink" Target="https://alserhmedia.com/" TargetMode="External"/><Relationship Id="rId125" Type="http://schemas.openxmlformats.org/officeDocument/2006/relationships/hyperlink" Target="http://amraandelma.com" TargetMode="External"/><Relationship Id="rId124" Type="http://schemas.openxmlformats.org/officeDocument/2006/relationships/hyperlink" Target="https://www.amraandelma.com/performance-marketing-agencies/" TargetMode="External"/><Relationship Id="rId123" Type="http://schemas.openxmlformats.org/officeDocument/2006/relationships/hyperlink" Target="http://amraandelma.com" TargetMode="External"/><Relationship Id="rId122" Type="http://schemas.openxmlformats.org/officeDocument/2006/relationships/hyperlink" Target="https://www.amraandelma.com/digital-marketing-agencies-in-dubai/" TargetMode="External"/><Relationship Id="rId118" Type="http://schemas.openxmlformats.org/officeDocument/2006/relationships/hyperlink" Target="https://ajunais.com/" TargetMode="External"/><Relationship Id="rId117" Type="http://schemas.openxmlformats.org/officeDocument/2006/relationships/hyperlink" Target="http://aisuperior.com" TargetMode="External"/><Relationship Id="rId116" Type="http://schemas.openxmlformats.org/officeDocument/2006/relationships/hyperlink" Target="https://aisuperior.com/ai-consulting-companies-in-the-uae/" TargetMode="External"/><Relationship Id="rId115" Type="http://schemas.openxmlformats.org/officeDocument/2006/relationships/hyperlink" Target="http://aeon-movies.com" TargetMode="External"/><Relationship Id="rId119" Type="http://schemas.openxmlformats.org/officeDocument/2006/relationships/hyperlink" Target="http://ajunais.com" TargetMode="External"/><Relationship Id="rId110" Type="http://schemas.openxmlformats.org/officeDocument/2006/relationships/hyperlink" Target="https://ads.google.com/intl/us/home/partners/work-with-a-partner/" TargetMode="External"/><Relationship Id="rId114" Type="http://schemas.openxmlformats.org/officeDocument/2006/relationships/hyperlink" Target="https://aeon-movies.com/" TargetMode="External"/><Relationship Id="rId113" Type="http://schemas.openxmlformats.org/officeDocument/2006/relationships/hyperlink" Target="http://jooble.org" TargetMode="External"/><Relationship Id="rId112" Type="http://schemas.openxmlformats.org/officeDocument/2006/relationships/hyperlink" Target="https://ae.jooble.org/jdp/9164769935601073808" TargetMode="External"/><Relationship Id="rId111" Type="http://schemas.openxmlformats.org/officeDocument/2006/relationships/hyperlink" Target="http://google.com"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1" t="s">
        <v>0</v>
      </c>
      <c r="B1" s="1" t="s">
        <v>2</v>
      </c>
      <c r="C1" s="1" t="s">
        <v>3</v>
      </c>
      <c r="D1" s="1" t="s">
        <v>4</v>
      </c>
      <c r="E1" s="1" t="s">
        <v>6</v>
      </c>
      <c r="F1" s="1" t="s">
        <v>7</v>
      </c>
      <c r="G1" s="1" t="s">
        <v>9</v>
      </c>
      <c r="H1" s="1" t="s">
        <v>11</v>
      </c>
      <c r="I1" s="1" t="s">
        <v>13</v>
      </c>
      <c r="J1" s="3"/>
      <c r="K1" s="3"/>
      <c r="L1" s="3"/>
      <c r="M1" s="3"/>
      <c r="N1" s="3"/>
      <c r="O1" s="3"/>
      <c r="P1" s="3"/>
      <c r="Q1" s="3"/>
      <c r="R1" s="3"/>
      <c r="S1" s="3"/>
      <c r="T1" s="3"/>
      <c r="U1" s="3"/>
      <c r="V1" s="3"/>
      <c r="W1" s="3"/>
      <c r="X1" s="3"/>
      <c r="Y1" s="3"/>
      <c r="Z1" s="3"/>
    </row>
    <row r="2" ht="15.75" customHeight="1">
      <c r="A2" s="7" t="s">
        <v>15</v>
      </c>
      <c r="B2" s="9" t="s">
        <v>17</v>
      </c>
      <c r="C2" s="10" t="s">
        <v>18</v>
      </c>
      <c r="D2" s="9">
        <v>267.0</v>
      </c>
      <c r="E2" s="9">
        <v>243.0</v>
      </c>
      <c r="F2" s="9">
        <v>0.26</v>
      </c>
      <c r="G2" s="9">
        <v>0.5</v>
      </c>
      <c r="H2" s="9">
        <v>1.13</v>
      </c>
      <c r="I2" s="9">
        <v>0.17</v>
      </c>
    </row>
    <row r="3" ht="15.75" customHeight="1">
      <c r="A3" s="7" t="s">
        <v>19</v>
      </c>
      <c r="B3" s="9" t="s">
        <v>17</v>
      </c>
      <c r="C3" s="10" t="s">
        <v>21</v>
      </c>
      <c r="D3" s="9">
        <v>221.0</v>
      </c>
      <c r="E3" s="9">
        <v>204.0</v>
      </c>
      <c r="F3" s="9">
        <v>0.22</v>
      </c>
      <c r="G3" s="9">
        <v>0.31</v>
      </c>
      <c r="H3" s="9">
        <v>1.37</v>
      </c>
      <c r="I3" s="9">
        <v>-0.22</v>
      </c>
    </row>
    <row r="4" ht="15.75" customHeight="1">
      <c r="A4" s="7" t="s">
        <v>22</v>
      </c>
      <c r="B4" s="9" t="s">
        <v>17</v>
      </c>
      <c r="C4" s="10" t="s">
        <v>24</v>
      </c>
      <c r="D4" s="9">
        <v>193.0</v>
      </c>
      <c r="E4" s="9">
        <v>175.0</v>
      </c>
      <c r="F4" s="9">
        <v>0.19</v>
      </c>
      <c r="G4" s="9">
        <v>0.3</v>
      </c>
      <c r="H4" s="9">
        <v>1.01</v>
      </c>
      <c r="I4" s="9">
        <v>0.23</v>
      </c>
    </row>
    <row r="5" ht="15.75" customHeight="1">
      <c r="A5" s="7" t="s">
        <v>29</v>
      </c>
      <c r="B5" s="9" t="s">
        <v>17</v>
      </c>
      <c r="C5" s="10" t="s">
        <v>31</v>
      </c>
      <c r="D5" s="9">
        <v>171.0</v>
      </c>
      <c r="F5" s="9">
        <v>0.17</v>
      </c>
      <c r="G5" s="9">
        <v>0.26</v>
      </c>
      <c r="H5" s="9">
        <v>1.87</v>
      </c>
    </row>
    <row r="6" ht="15.75" customHeight="1">
      <c r="A6" s="7" t="s">
        <v>33</v>
      </c>
      <c r="B6" s="9" t="s">
        <v>39</v>
      </c>
      <c r="C6" s="10" t="s">
        <v>40</v>
      </c>
      <c r="D6" s="9">
        <v>135.0</v>
      </c>
      <c r="E6" s="9">
        <v>121.0</v>
      </c>
      <c r="F6" s="9">
        <v>0.13</v>
      </c>
      <c r="G6" s="9">
        <v>0.14</v>
      </c>
      <c r="H6" s="9">
        <v>0.29</v>
      </c>
      <c r="I6" s="9">
        <v>0.0</v>
      </c>
    </row>
    <row r="7" ht="15.75" customHeight="1">
      <c r="A7" s="7" t="s">
        <v>42</v>
      </c>
      <c r="B7" s="9" t="s">
        <v>44</v>
      </c>
      <c r="C7" s="10" t="s">
        <v>45</v>
      </c>
      <c r="D7" s="9">
        <v>125.0</v>
      </c>
      <c r="E7" s="9">
        <v>110.0</v>
      </c>
      <c r="F7" s="9">
        <v>0.12</v>
      </c>
      <c r="G7" s="9">
        <v>0.13</v>
      </c>
      <c r="H7" s="9">
        <v>1.12</v>
      </c>
      <c r="I7" s="9">
        <v>0.32</v>
      </c>
    </row>
    <row r="8" ht="15.75" customHeight="1">
      <c r="A8" s="7" t="s">
        <v>32</v>
      </c>
      <c r="B8" s="9" t="s">
        <v>44</v>
      </c>
      <c r="C8" s="10" t="s">
        <v>50</v>
      </c>
      <c r="D8" s="9">
        <v>114.0</v>
      </c>
      <c r="E8" s="9">
        <v>105.0</v>
      </c>
      <c r="F8" s="9">
        <v>0.11</v>
      </c>
      <c r="G8" s="9">
        <v>0.11</v>
      </c>
      <c r="H8" s="9">
        <v>1.82</v>
      </c>
      <c r="I8" s="9">
        <v>0.48</v>
      </c>
    </row>
    <row r="9" ht="15.75" customHeight="1">
      <c r="A9" s="7" t="s">
        <v>51</v>
      </c>
      <c r="B9" s="9" t="s">
        <v>44</v>
      </c>
      <c r="C9" s="10" t="s">
        <v>53</v>
      </c>
      <c r="D9" s="9">
        <v>106.0</v>
      </c>
      <c r="E9" s="9">
        <v>104.0</v>
      </c>
      <c r="F9" s="9">
        <v>0.1</v>
      </c>
      <c r="G9" s="9">
        <v>0.1</v>
      </c>
      <c r="H9" s="9">
        <v>1.47</v>
      </c>
      <c r="I9" s="9">
        <v>1.47</v>
      </c>
    </row>
    <row r="10" ht="15.75" customHeight="1">
      <c r="A10" s="7" t="s">
        <v>54</v>
      </c>
      <c r="B10" s="9" t="s">
        <v>25</v>
      </c>
      <c r="C10" s="10" t="s">
        <v>58</v>
      </c>
      <c r="D10" s="9">
        <v>105.0</v>
      </c>
      <c r="E10" s="9">
        <v>102.0</v>
      </c>
      <c r="F10" s="9">
        <v>0.1</v>
      </c>
      <c r="G10" s="9">
        <v>0.13</v>
      </c>
      <c r="H10" s="9">
        <v>0.29</v>
      </c>
      <c r="I10" s="9">
        <v>-0.05</v>
      </c>
    </row>
    <row r="11" ht="15.75" customHeight="1">
      <c r="A11" s="7" t="s">
        <v>43</v>
      </c>
      <c r="B11" s="9" t="s">
        <v>17</v>
      </c>
      <c r="C11" s="10" t="s">
        <v>59</v>
      </c>
      <c r="D11" s="9">
        <v>104.0</v>
      </c>
      <c r="E11" s="9">
        <v>99.0</v>
      </c>
      <c r="F11" s="9">
        <v>0.1</v>
      </c>
      <c r="G11" s="9">
        <v>0.12</v>
      </c>
      <c r="H11" s="9">
        <v>1.23</v>
      </c>
      <c r="I11" s="9">
        <v>0.23</v>
      </c>
    </row>
    <row r="12" ht="15.75" customHeight="1">
      <c r="A12" s="7" t="s">
        <v>52</v>
      </c>
      <c r="B12" s="9" t="s">
        <v>17</v>
      </c>
      <c r="C12" s="10" t="s">
        <v>60</v>
      </c>
      <c r="D12" s="9">
        <v>103.0</v>
      </c>
      <c r="F12" s="9">
        <v>0.1</v>
      </c>
      <c r="G12" s="9">
        <v>0.11</v>
      </c>
      <c r="H12" s="9">
        <v>1.24</v>
      </c>
    </row>
    <row r="13" ht="15.75" customHeight="1">
      <c r="A13" s="7" t="s">
        <v>20</v>
      </c>
      <c r="B13" s="9" t="s">
        <v>25</v>
      </c>
      <c r="C13" s="10" t="s">
        <v>66</v>
      </c>
      <c r="D13" s="9">
        <v>102.0</v>
      </c>
      <c r="F13" s="9">
        <v>0.1</v>
      </c>
      <c r="G13" s="9">
        <v>0.1</v>
      </c>
      <c r="H13" s="9">
        <v>0.05</v>
      </c>
    </row>
    <row r="14" ht="15.75" customHeight="1">
      <c r="A14" s="7" t="s">
        <v>67</v>
      </c>
      <c r="B14" s="9" t="s">
        <v>17</v>
      </c>
      <c r="C14" s="10" t="s">
        <v>69</v>
      </c>
      <c r="D14" s="9">
        <v>86.0</v>
      </c>
      <c r="E14" s="9">
        <v>69.0</v>
      </c>
      <c r="F14" s="9">
        <v>0.08</v>
      </c>
      <c r="G14" s="9">
        <v>0.11</v>
      </c>
      <c r="H14" s="9">
        <v>1.09</v>
      </c>
      <c r="I14" s="9">
        <v>-0.55</v>
      </c>
    </row>
    <row r="15" ht="15.75" customHeight="1">
      <c r="A15" s="7" t="s">
        <v>70</v>
      </c>
      <c r="B15" s="9" t="s">
        <v>17</v>
      </c>
      <c r="C15" s="10" t="s">
        <v>71</v>
      </c>
      <c r="D15" s="9">
        <v>84.0</v>
      </c>
      <c r="E15" s="9">
        <v>74.0</v>
      </c>
      <c r="F15" s="9">
        <v>0.08</v>
      </c>
      <c r="G15" s="9">
        <v>0.12</v>
      </c>
      <c r="H15" s="9">
        <v>0.51</v>
      </c>
      <c r="I15" s="9">
        <v>0.41</v>
      </c>
    </row>
    <row r="16" ht="15.75" customHeight="1">
      <c r="A16" s="7" t="s">
        <v>72</v>
      </c>
      <c r="B16" s="9" t="s">
        <v>44</v>
      </c>
      <c r="C16" s="10" t="s">
        <v>75</v>
      </c>
      <c r="D16" s="9">
        <v>71.0</v>
      </c>
      <c r="E16" s="9">
        <v>70.0</v>
      </c>
      <c r="F16" s="9">
        <v>0.07</v>
      </c>
      <c r="G16" s="9">
        <v>0.1</v>
      </c>
      <c r="H16" s="9">
        <v>0.99</v>
      </c>
      <c r="I16" s="9">
        <v>-0.01</v>
      </c>
    </row>
    <row r="17" ht="15.75" customHeight="1">
      <c r="A17" s="7" t="s">
        <v>77</v>
      </c>
      <c r="B17" s="9" t="s">
        <v>44</v>
      </c>
      <c r="C17" s="10" t="s">
        <v>78</v>
      </c>
      <c r="D17" s="9">
        <v>68.0</v>
      </c>
      <c r="E17" s="9">
        <v>66.0</v>
      </c>
      <c r="F17" s="9">
        <v>0.07</v>
      </c>
      <c r="G17" s="9">
        <v>0.09</v>
      </c>
      <c r="H17" s="9">
        <v>4.26</v>
      </c>
      <c r="I17" s="9">
        <v>3.26</v>
      </c>
    </row>
    <row r="18" ht="15.75" customHeight="1">
      <c r="A18" s="7" t="s">
        <v>79</v>
      </c>
      <c r="B18" s="9" t="s">
        <v>44</v>
      </c>
      <c r="C18" s="10" t="s">
        <v>82</v>
      </c>
      <c r="D18" s="9">
        <v>59.0</v>
      </c>
      <c r="E18" s="9">
        <v>58.0</v>
      </c>
      <c r="F18" s="9">
        <v>0.06</v>
      </c>
      <c r="G18" s="9">
        <v>0.06</v>
      </c>
      <c r="H18" s="9">
        <v>1.41</v>
      </c>
      <c r="I18" s="9">
        <v>0.41</v>
      </c>
    </row>
    <row r="19" ht="15.75" customHeight="1">
      <c r="A19" s="7" t="s">
        <v>84</v>
      </c>
      <c r="B19" s="9" t="s">
        <v>17</v>
      </c>
      <c r="C19" s="10" t="s">
        <v>85</v>
      </c>
      <c r="D19" s="9">
        <v>57.0</v>
      </c>
      <c r="F19" s="9">
        <v>0.06</v>
      </c>
      <c r="G19" s="9">
        <v>0.06</v>
      </c>
      <c r="H19" s="9">
        <v>0.65</v>
      </c>
    </row>
    <row r="20" ht="15.75" customHeight="1">
      <c r="A20" s="9" t="s">
        <v>86</v>
      </c>
      <c r="B20" s="9" t="s">
        <v>44</v>
      </c>
      <c r="C20" s="10" t="s">
        <v>87</v>
      </c>
      <c r="D20" s="9">
        <v>56.0</v>
      </c>
      <c r="E20" s="9">
        <v>21.0</v>
      </c>
      <c r="F20" s="9">
        <v>0.06</v>
      </c>
      <c r="G20" s="9">
        <v>0.06</v>
      </c>
      <c r="H20" s="9">
        <v>0.29</v>
      </c>
      <c r="I20" s="9">
        <v>-1.06</v>
      </c>
    </row>
    <row r="21" ht="15.75" customHeight="1">
      <c r="A21" s="7" t="s">
        <v>88</v>
      </c>
      <c r="B21" s="9" t="s">
        <v>25</v>
      </c>
      <c r="C21" s="10" t="s">
        <v>90</v>
      </c>
      <c r="D21" s="9">
        <v>55.0</v>
      </c>
      <c r="E21" s="9">
        <v>11.0</v>
      </c>
      <c r="F21" s="9">
        <v>0.05</v>
      </c>
      <c r="G21" s="9">
        <v>0.06</v>
      </c>
      <c r="H21" s="9">
        <v>1.35</v>
      </c>
      <c r="I21" s="9">
        <v>-0.52</v>
      </c>
    </row>
    <row r="22" ht="15.75" customHeight="1">
      <c r="A22" s="7" t="s">
        <v>93</v>
      </c>
      <c r="B22" s="9" t="s">
        <v>94</v>
      </c>
      <c r="C22" s="10" t="s">
        <v>95</v>
      </c>
      <c r="D22" s="9">
        <v>54.0</v>
      </c>
      <c r="E22" s="9">
        <v>46.0</v>
      </c>
      <c r="F22" s="9">
        <v>0.05</v>
      </c>
      <c r="G22" s="9">
        <v>0.06</v>
      </c>
      <c r="H22" s="9">
        <v>1.52</v>
      </c>
      <c r="I22" s="9">
        <v>0.14</v>
      </c>
    </row>
    <row r="23" ht="15.75" customHeight="1">
      <c r="A23" s="7" t="s">
        <v>98</v>
      </c>
      <c r="B23" s="9" t="s">
        <v>44</v>
      </c>
      <c r="C23" s="10" t="s">
        <v>100</v>
      </c>
      <c r="D23" s="9">
        <v>52.0</v>
      </c>
      <c r="E23" s="9">
        <v>20.0</v>
      </c>
      <c r="F23" s="9">
        <v>0.05</v>
      </c>
      <c r="G23" s="9">
        <v>0.05</v>
      </c>
      <c r="H23" s="9">
        <v>1.37</v>
      </c>
      <c r="I23" s="9">
        <v>0.02</v>
      </c>
    </row>
    <row r="24" ht="15.75" customHeight="1">
      <c r="A24" s="7" t="s">
        <v>103</v>
      </c>
      <c r="B24" s="9" t="s">
        <v>17</v>
      </c>
      <c r="C24" s="10" t="s">
        <v>105</v>
      </c>
      <c r="D24" s="9">
        <v>50.0</v>
      </c>
      <c r="E24" s="9">
        <v>49.0</v>
      </c>
      <c r="F24" s="9">
        <v>0.05</v>
      </c>
      <c r="G24" s="9">
        <v>0.05</v>
      </c>
      <c r="H24" s="9">
        <v>0.68</v>
      </c>
      <c r="I24" s="9">
        <v>0.68</v>
      </c>
    </row>
    <row r="25" ht="15.75" customHeight="1">
      <c r="A25" s="9" t="s">
        <v>106</v>
      </c>
      <c r="B25" s="9" t="s">
        <v>17</v>
      </c>
      <c r="C25" s="10" t="s">
        <v>110</v>
      </c>
      <c r="D25" s="9">
        <v>49.0</v>
      </c>
      <c r="E25" s="9">
        <v>37.0</v>
      </c>
      <c r="F25" s="9">
        <v>0.05</v>
      </c>
      <c r="G25" s="9">
        <v>0.05</v>
      </c>
      <c r="H25" s="9">
        <v>1.27</v>
      </c>
      <c r="I25" s="9">
        <v>-0.23</v>
      </c>
    </row>
    <row r="26" ht="15.75" customHeight="1">
      <c r="A26" s="7" t="s">
        <v>111</v>
      </c>
      <c r="B26" s="9" t="s">
        <v>17</v>
      </c>
      <c r="C26" s="10" t="s">
        <v>115</v>
      </c>
      <c r="D26" s="9">
        <v>47.0</v>
      </c>
      <c r="F26" s="9">
        <v>0.05</v>
      </c>
      <c r="G26" s="9">
        <v>0.05</v>
      </c>
      <c r="H26" s="9">
        <v>0.49</v>
      </c>
    </row>
    <row r="27" ht="15.75" customHeight="1">
      <c r="A27" s="7" t="s">
        <v>116</v>
      </c>
      <c r="B27" s="9" t="s">
        <v>17</v>
      </c>
      <c r="C27" s="10" t="s">
        <v>117</v>
      </c>
      <c r="D27" s="9">
        <v>45.0</v>
      </c>
      <c r="F27" s="9">
        <v>0.04</v>
      </c>
      <c r="G27" s="9">
        <v>0.05</v>
      </c>
      <c r="H27" s="9">
        <v>1.6</v>
      </c>
    </row>
    <row r="28" ht="15.75" customHeight="1">
      <c r="A28" s="7" t="s">
        <v>118</v>
      </c>
      <c r="B28" s="9" t="s">
        <v>39</v>
      </c>
      <c r="C28" s="10" t="s">
        <v>121</v>
      </c>
      <c r="D28" s="9">
        <v>44.0</v>
      </c>
      <c r="E28" s="9">
        <v>43.0</v>
      </c>
      <c r="F28" s="9">
        <v>0.04</v>
      </c>
      <c r="G28" s="9">
        <v>0.06</v>
      </c>
      <c r="H28" s="9">
        <v>0.27</v>
      </c>
      <c r="I28" s="9">
        <v>-0.73</v>
      </c>
    </row>
    <row r="29" ht="15.75" customHeight="1">
      <c r="A29" s="7" t="s">
        <v>123</v>
      </c>
      <c r="B29" s="9" t="s">
        <v>124</v>
      </c>
      <c r="C29" s="10" t="s">
        <v>125</v>
      </c>
      <c r="D29" s="9">
        <v>44.0</v>
      </c>
      <c r="F29" s="9">
        <v>0.04</v>
      </c>
      <c r="G29" s="9">
        <v>0.04</v>
      </c>
      <c r="H29" s="9">
        <v>1.02</v>
      </c>
    </row>
    <row r="30" ht="15.75" customHeight="1">
      <c r="A30" s="7" t="s">
        <v>126</v>
      </c>
      <c r="B30" s="9" t="s">
        <v>44</v>
      </c>
      <c r="C30" s="10" t="s">
        <v>127</v>
      </c>
      <c r="D30" s="9">
        <v>43.0</v>
      </c>
      <c r="F30" s="9">
        <v>0.04</v>
      </c>
      <c r="G30" s="9">
        <v>0.05</v>
      </c>
      <c r="H30" s="9">
        <v>2.37</v>
      </c>
    </row>
    <row r="31" ht="15.75" customHeight="1">
      <c r="A31" s="7" t="s">
        <v>128</v>
      </c>
      <c r="B31" s="9" t="s">
        <v>94</v>
      </c>
      <c r="C31" s="10" t="s">
        <v>131</v>
      </c>
      <c r="D31" s="9">
        <v>43.0</v>
      </c>
      <c r="E31" s="9">
        <v>34.0</v>
      </c>
      <c r="F31" s="9">
        <v>0.04</v>
      </c>
      <c r="G31" s="9">
        <v>0.04</v>
      </c>
      <c r="H31" s="9">
        <v>1.7</v>
      </c>
      <c r="I31" s="9">
        <v>0.7</v>
      </c>
    </row>
    <row r="32" ht="15.75" customHeight="1">
      <c r="A32" s="9" t="s">
        <v>133</v>
      </c>
      <c r="B32" s="9" t="s">
        <v>94</v>
      </c>
      <c r="C32" s="10" t="s">
        <v>134</v>
      </c>
      <c r="D32" s="9">
        <v>42.0</v>
      </c>
      <c r="F32" s="9">
        <v>0.04</v>
      </c>
      <c r="G32" s="9">
        <v>0.04</v>
      </c>
      <c r="H32" s="9">
        <v>0.79</v>
      </c>
    </row>
    <row r="33" ht="15.75" customHeight="1">
      <c r="A33" s="7" t="s">
        <v>135</v>
      </c>
      <c r="B33" s="9" t="s">
        <v>44</v>
      </c>
      <c r="C33" s="10" t="s">
        <v>137</v>
      </c>
      <c r="D33" s="9">
        <v>41.0</v>
      </c>
      <c r="E33" s="9">
        <v>29.0</v>
      </c>
      <c r="F33" s="9">
        <v>0.04</v>
      </c>
      <c r="G33" s="9">
        <v>0.04</v>
      </c>
      <c r="H33" s="9">
        <v>0.9</v>
      </c>
      <c r="I33" s="9">
        <v>-0.18</v>
      </c>
    </row>
    <row r="34" ht="15.75" customHeight="1">
      <c r="A34" s="7" t="s">
        <v>139</v>
      </c>
      <c r="B34" s="9" t="s">
        <v>44</v>
      </c>
      <c r="C34" s="10" t="s">
        <v>141</v>
      </c>
      <c r="D34" s="9">
        <v>39.0</v>
      </c>
      <c r="E34" s="9">
        <v>18.0</v>
      </c>
      <c r="F34" s="9">
        <v>0.04</v>
      </c>
      <c r="G34" s="9">
        <v>0.06</v>
      </c>
      <c r="H34" s="9">
        <v>1.92</v>
      </c>
      <c r="I34" s="9">
        <v>-0.27</v>
      </c>
    </row>
    <row r="35" ht="15.75" customHeight="1">
      <c r="A35" s="7" t="s">
        <v>142</v>
      </c>
      <c r="B35" s="9" t="s">
        <v>25</v>
      </c>
      <c r="C35" s="10" t="s">
        <v>143</v>
      </c>
      <c r="D35" s="9">
        <v>39.0</v>
      </c>
      <c r="E35" s="9">
        <v>23.0</v>
      </c>
      <c r="F35" s="9">
        <v>0.04</v>
      </c>
      <c r="G35" s="9">
        <v>0.05</v>
      </c>
      <c r="H35" s="9">
        <v>0.92</v>
      </c>
      <c r="I35" s="9">
        <v>0.05</v>
      </c>
    </row>
    <row r="36" ht="15.75" customHeight="1">
      <c r="A36" s="7" t="s">
        <v>145</v>
      </c>
      <c r="B36" s="9" t="s">
        <v>94</v>
      </c>
      <c r="C36" s="10" t="s">
        <v>150</v>
      </c>
      <c r="D36" s="9">
        <v>39.0</v>
      </c>
      <c r="E36" s="9">
        <v>35.0</v>
      </c>
      <c r="F36" s="9">
        <v>0.04</v>
      </c>
      <c r="G36" s="9">
        <v>0.04</v>
      </c>
      <c r="H36" s="9">
        <v>1.21</v>
      </c>
      <c r="I36" s="9">
        <v>0.21</v>
      </c>
    </row>
    <row r="37" ht="15.75" customHeight="1">
      <c r="A37" s="7" t="s">
        <v>151</v>
      </c>
      <c r="B37" s="9" t="s">
        <v>17</v>
      </c>
      <c r="C37" s="10"/>
      <c r="D37" s="9">
        <v>37.0</v>
      </c>
      <c r="F37" s="9">
        <v>0.04</v>
      </c>
      <c r="G37" s="9">
        <v>0.04</v>
      </c>
      <c r="H37" s="9">
        <v>0.68</v>
      </c>
    </row>
    <row r="38" ht="15.75" customHeight="1">
      <c r="A38" s="7" t="s">
        <v>155</v>
      </c>
      <c r="B38" s="9" t="s">
        <v>17</v>
      </c>
      <c r="C38" s="10" t="s">
        <v>158</v>
      </c>
      <c r="D38" s="9">
        <v>36.0</v>
      </c>
      <c r="F38" s="9">
        <v>0.04</v>
      </c>
      <c r="G38" s="9">
        <v>0.04</v>
      </c>
      <c r="H38" s="9">
        <v>1.56</v>
      </c>
    </row>
    <row r="39" ht="15.75" customHeight="1">
      <c r="A39" s="7" t="s">
        <v>160</v>
      </c>
      <c r="B39" s="9" t="s">
        <v>17</v>
      </c>
      <c r="C39" s="10" t="s">
        <v>161</v>
      </c>
      <c r="D39" s="9">
        <v>35.0</v>
      </c>
      <c r="E39" s="9">
        <v>7.0</v>
      </c>
      <c r="F39" s="9">
        <v>0.03</v>
      </c>
      <c r="G39" s="9">
        <v>0.05</v>
      </c>
      <c r="H39" s="9">
        <v>0.6</v>
      </c>
      <c r="I39" s="9">
        <v>-0.97</v>
      </c>
    </row>
    <row r="40" ht="15.75" customHeight="1">
      <c r="A40" s="7" t="s">
        <v>162</v>
      </c>
      <c r="B40" s="9" t="s">
        <v>44</v>
      </c>
      <c r="C40" s="10" t="s">
        <v>165</v>
      </c>
      <c r="D40" s="9">
        <v>35.0</v>
      </c>
      <c r="F40" s="9">
        <v>0.03</v>
      </c>
      <c r="G40" s="9">
        <v>0.04</v>
      </c>
      <c r="H40" s="9">
        <v>0.69</v>
      </c>
    </row>
    <row r="41" ht="15.75" customHeight="1">
      <c r="A41" s="7" t="s">
        <v>166</v>
      </c>
      <c r="B41" s="9" t="s">
        <v>39</v>
      </c>
      <c r="C41" s="10" t="s">
        <v>167</v>
      </c>
      <c r="D41" s="9">
        <v>34.0</v>
      </c>
      <c r="F41" s="9">
        <v>0.03</v>
      </c>
      <c r="G41" s="9">
        <v>0.04</v>
      </c>
      <c r="H41" s="9">
        <v>0.06</v>
      </c>
    </row>
    <row r="42" ht="15.75" customHeight="1">
      <c r="A42" s="7" t="s">
        <v>168</v>
      </c>
      <c r="B42" s="9" t="s">
        <v>17</v>
      </c>
      <c r="C42" s="10" t="s">
        <v>170</v>
      </c>
      <c r="D42" s="9">
        <v>33.0</v>
      </c>
      <c r="F42" s="9">
        <v>0.03</v>
      </c>
      <c r="G42" s="9">
        <v>0.04</v>
      </c>
      <c r="H42" s="9">
        <v>1.0</v>
      </c>
    </row>
    <row r="43" ht="15.75" customHeight="1">
      <c r="A43" s="7" t="s">
        <v>171</v>
      </c>
      <c r="B43" s="9" t="s">
        <v>17</v>
      </c>
      <c r="C43" s="10" t="s">
        <v>174</v>
      </c>
      <c r="D43" s="9">
        <v>33.0</v>
      </c>
      <c r="F43" s="9">
        <v>0.03</v>
      </c>
      <c r="G43" s="9">
        <v>0.03</v>
      </c>
      <c r="H43" s="9">
        <v>1.58</v>
      </c>
    </row>
    <row r="44" ht="15.75" customHeight="1">
      <c r="A44" s="7" t="s">
        <v>175</v>
      </c>
      <c r="B44" s="9" t="s">
        <v>124</v>
      </c>
      <c r="C44" s="10" t="s">
        <v>179</v>
      </c>
      <c r="D44" s="9">
        <v>33.0</v>
      </c>
      <c r="F44" s="9">
        <v>0.03</v>
      </c>
      <c r="G44" s="9">
        <v>0.03</v>
      </c>
      <c r="H44" s="9">
        <v>2.79</v>
      </c>
    </row>
    <row r="45" ht="15.75" customHeight="1">
      <c r="A45" s="7" t="s">
        <v>180</v>
      </c>
      <c r="B45" s="9" t="s">
        <v>44</v>
      </c>
      <c r="C45" s="10" t="s">
        <v>181</v>
      </c>
      <c r="D45" s="9">
        <v>31.0</v>
      </c>
      <c r="F45" s="9">
        <v>0.03</v>
      </c>
      <c r="G45" s="9">
        <v>0.03</v>
      </c>
      <c r="H45" s="9">
        <v>1.35</v>
      </c>
    </row>
    <row r="46" ht="15.75" customHeight="1">
      <c r="A46" s="7" t="s">
        <v>182</v>
      </c>
      <c r="B46" s="9" t="s">
        <v>17</v>
      </c>
      <c r="C46" s="10" t="s">
        <v>183</v>
      </c>
      <c r="D46" s="9">
        <v>31.0</v>
      </c>
      <c r="F46" s="9">
        <v>0.03</v>
      </c>
      <c r="G46" s="9">
        <v>0.03</v>
      </c>
      <c r="H46" s="9">
        <v>0.03</v>
      </c>
    </row>
    <row r="47" ht="15.75" customHeight="1">
      <c r="A47" s="7" t="s">
        <v>185</v>
      </c>
      <c r="B47" s="9" t="s">
        <v>17</v>
      </c>
      <c r="C47" s="10" t="s">
        <v>188</v>
      </c>
      <c r="D47" s="9">
        <v>31.0</v>
      </c>
      <c r="F47" s="9">
        <v>0.03</v>
      </c>
      <c r="G47" s="9">
        <v>0.03</v>
      </c>
      <c r="H47" s="9">
        <v>0.42</v>
      </c>
    </row>
    <row r="48" ht="15.75" customHeight="1">
      <c r="A48" s="7" t="s">
        <v>189</v>
      </c>
      <c r="B48" s="9" t="s">
        <v>17</v>
      </c>
      <c r="C48" s="10" t="s">
        <v>193</v>
      </c>
      <c r="D48" s="9">
        <v>31.0</v>
      </c>
      <c r="F48" s="9">
        <v>0.03</v>
      </c>
      <c r="G48" s="9">
        <v>0.03</v>
      </c>
      <c r="H48" s="9">
        <v>0.35</v>
      </c>
    </row>
    <row r="49" ht="15.75" customHeight="1">
      <c r="A49" s="7" t="s">
        <v>194</v>
      </c>
      <c r="B49" s="9" t="s">
        <v>17</v>
      </c>
      <c r="C49" s="10" t="s">
        <v>188</v>
      </c>
      <c r="D49" s="9">
        <v>30.0</v>
      </c>
      <c r="F49" s="9">
        <v>0.03</v>
      </c>
      <c r="G49" s="9">
        <v>0.03</v>
      </c>
      <c r="H49" s="9">
        <v>1.8</v>
      </c>
    </row>
    <row r="50" ht="15.75" customHeight="1">
      <c r="A50" s="7" t="s">
        <v>195</v>
      </c>
      <c r="B50" s="9" t="s">
        <v>17</v>
      </c>
      <c r="C50" s="10" t="s">
        <v>199</v>
      </c>
      <c r="D50" s="9">
        <v>30.0</v>
      </c>
      <c r="F50" s="9">
        <v>0.03</v>
      </c>
      <c r="G50" s="9">
        <v>0.03</v>
      </c>
      <c r="H50" s="9">
        <v>2.33</v>
      </c>
    </row>
    <row r="51" ht="15.75" customHeight="1">
      <c r="A51" s="9" t="s">
        <v>200</v>
      </c>
      <c r="B51" s="9" t="s">
        <v>17</v>
      </c>
      <c r="C51" s="10" t="s">
        <v>201</v>
      </c>
      <c r="D51" s="9">
        <v>30.0</v>
      </c>
      <c r="E51" s="9">
        <v>29.0</v>
      </c>
      <c r="F51" s="9">
        <v>0.03</v>
      </c>
      <c r="G51" s="9">
        <v>0.03</v>
      </c>
      <c r="H51" s="9">
        <v>1.13</v>
      </c>
      <c r="I51" s="9">
        <v>0.13</v>
      </c>
    </row>
    <row r="52" ht="15.75" customHeight="1">
      <c r="A52" s="7" t="s">
        <v>202</v>
      </c>
      <c r="B52" s="9" t="s">
        <v>44</v>
      </c>
      <c r="C52" s="10" t="s">
        <v>203</v>
      </c>
      <c r="D52" s="9">
        <v>30.0</v>
      </c>
      <c r="E52" s="9">
        <v>25.0</v>
      </c>
      <c r="F52" s="9">
        <v>0.03</v>
      </c>
      <c r="G52" s="9">
        <v>0.03</v>
      </c>
      <c r="H52" s="9">
        <v>1.1</v>
      </c>
      <c r="I52" s="9">
        <v>-0.7</v>
      </c>
    </row>
    <row r="53" ht="15.75" customHeight="1">
      <c r="A53" s="7" t="s">
        <v>206</v>
      </c>
      <c r="B53" s="9" t="s">
        <v>44</v>
      </c>
      <c r="C53" s="10" t="s">
        <v>208</v>
      </c>
      <c r="D53" s="9">
        <v>30.0</v>
      </c>
      <c r="E53" s="9">
        <v>28.0</v>
      </c>
      <c r="F53" s="9">
        <v>0.03</v>
      </c>
      <c r="G53" s="9">
        <v>0.03</v>
      </c>
      <c r="H53" s="9">
        <v>0.97</v>
      </c>
      <c r="I53" s="9">
        <v>-0.03</v>
      </c>
    </row>
    <row r="54" ht="15.75" customHeight="1">
      <c r="A54" s="7" t="s">
        <v>209</v>
      </c>
      <c r="B54" s="9" t="s">
        <v>39</v>
      </c>
      <c r="C54" s="10" t="s">
        <v>210</v>
      </c>
      <c r="D54" s="9">
        <v>30.0</v>
      </c>
      <c r="E54" s="9">
        <v>24.0</v>
      </c>
      <c r="F54" s="9">
        <v>0.03</v>
      </c>
      <c r="G54" s="9">
        <v>0.03</v>
      </c>
      <c r="H54" s="9">
        <v>0.33</v>
      </c>
      <c r="I54" s="9">
        <v>0.33</v>
      </c>
    </row>
    <row r="55" ht="15.75" customHeight="1">
      <c r="A55" s="7" t="s">
        <v>211</v>
      </c>
      <c r="B55" s="9" t="s">
        <v>17</v>
      </c>
      <c r="C55" s="10" t="s">
        <v>213</v>
      </c>
      <c r="D55" s="9">
        <v>29.0</v>
      </c>
      <c r="E55" s="9">
        <v>25.0</v>
      </c>
      <c r="F55" s="9">
        <v>0.03</v>
      </c>
      <c r="G55" s="9">
        <v>0.04</v>
      </c>
      <c r="H55" s="9">
        <v>0.97</v>
      </c>
      <c r="I55" s="9">
        <v>-0.78</v>
      </c>
    </row>
    <row r="56" ht="15.75" customHeight="1">
      <c r="A56" s="7" t="s">
        <v>215</v>
      </c>
      <c r="B56" s="9" t="s">
        <v>17</v>
      </c>
      <c r="C56" s="10" t="s">
        <v>217</v>
      </c>
      <c r="D56" s="9">
        <v>29.0</v>
      </c>
      <c r="F56" s="9">
        <v>0.03</v>
      </c>
      <c r="G56" s="9">
        <v>0.03</v>
      </c>
      <c r="H56" s="9">
        <v>1.38</v>
      </c>
    </row>
    <row r="57" ht="15.75" customHeight="1">
      <c r="A57" s="9" t="s">
        <v>218</v>
      </c>
      <c r="B57" s="9" t="s">
        <v>44</v>
      </c>
      <c r="C57" s="10" t="s">
        <v>219</v>
      </c>
      <c r="D57" s="9">
        <v>29.0</v>
      </c>
      <c r="E57" s="9">
        <v>25.0</v>
      </c>
      <c r="F57" s="9">
        <v>0.03</v>
      </c>
      <c r="G57" s="9">
        <v>0.03</v>
      </c>
      <c r="H57" s="9">
        <v>1.41</v>
      </c>
      <c r="I57" s="9">
        <v>0.16</v>
      </c>
    </row>
    <row r="58" ht="15.75" customHeight="1">
      <c r="A58" s="7" t="s">
        <v>220</v>
      </c>
      <c r="B58" s="9" t="s">
        <v>25</v>
      </c>
      <c r="C58" s="10" t="s">
        <v>221</v>
      </c>
      <c r="D58" s="9">
        <v>29.0</v>
      </c>
      <c r="F58" s="9">
        <v>0.03</v>
      </c>
      <c r="G58" s="9">
        <v>0.03</v>
      </c>
      <c r="H58" s="9">
        <v>0.45</v>
      </c>
    </row>
    <row r="59" ht="15.75" customHeight="1">
      <c r="A59" s="7" t="s">
        <v>224</v>
      </c>
      <c r="B59" s="9" t="s">
        <v>17</v>
      </c>
      <c r="C59" s="10" t="s">
        <v>226</v>
      </c>
      <c r="D59" s="9">
        <v>29.0</v>
      </c>
      <c r="E59" s="9">
        <v>28.0</v>
      </c>
      <c r="F59" s="9">
        <v>0.03</v>
      </c>
      <c r="G59" s="9">
        <v>0.03</v>
      </c>
      <c r="H59" s="9">
        <v>0.24</v>
      </c>
      <c r="I59" s="9">
        <v>-0.76</v>
      </c>
    </row>
    <row r="60" ht="15.75" customHeight="1">
      <c r="A60" s="7" t="s">
        <v>227</v>
      </c>
      <c r="B60" s="9" t="s">
        <v>94</v>
      </c>
      <c r="C60" s="10" t="s">
        <v>229</v>
      </c>
      <c r="D60" s="9">
        <v>29.0</v>
      </c>
      <c r="E60" s="9">
        <v>25.0</v>
      </c>
      <c r="F60" s="9">
        <v>0.03</v>
      </c>
      <c r="G60" s="9">
        <v>0.03</v>
      </c>
      <c r="H60" s="9">
        <v>0.52</v>
      </c>
      <c r="I60" s="9">
        <v>0.52</v>
      </c>
    </row>
    <row r="61" ht="15.75" customHeight="1">
      <c r="A61" s="7" t="s">
        <v>232</v>
      </c>
      <c r="B61" s="9" t="s">
        <v>17</v>
      </c>
      <c r="C61" s="10" t="s">
        <v>233</v>
      </c>
      <c r="D61" s="9">
        <v>28.0</v>
      </c>
      <c r="E61" s="9">
        <v>14.0</v>
      </c>
      <c r="F61" s="9">
        <v>0.03</v>
      </c>
      <c r="G61" s="9">
        <v>0.04</v>
      </c>
      <c r="H61" s="9">
        <v>0.57</v>
      </c>
      <c r="I61" s="9">
        <v>0.36</v>
      </c>
    </row>
    <row r="62" ht="15.75" customHeight="1">
      <c r="A62" s="7" t="s">
        <v>234</v>
      </c>
      <c r="B62" s="9" t="s">
        <v>17</v>
      </c>
      <c r="C62" s="10" t="s">
        <v>240</v>
      </c>
      <c r="D62" s="9">
        <v>28.0</v>
      </c>
      <c r="E62" s="9">
        <v>23.0</v>
      </c>
      <c r="F62" s="9">
        <v>0.03</v>
      </c>
      <c r="G62" s="9">
        <v>0.03</v>
      </c>
      <c r="H62" s="9">
        <v>0.54</v>
      </c>
      <c r="I62" s="9">
        <v>-0.26</v>
      </c>
    </row>
    <row r="63" ht="15.75" customHeight="1">
      <c r="A63" s="7" t="s">
        <v>241</v>
      </c>
      <c r="B63" s="9" t="s">
        <v>17</v>
      </c>
      <c r="C63" s="10"/>
      <c r="D63" s="9">
        <v>28.0</v>
      </c>
      <c r="E63" s="9">
        <v>26.0</v>
      </c>
      <c r="F63" s="9">
        <v>0.03</v>
      </c>
      <c r="G63" s="9">
        <v>0.03</v>
      </c>
      <c r="H63" s="9">
        <v>0.71</v>
      </c>
      <c r="I63" s="9">
        <v>0.71</v>
      </c>
    </row>
    <row r="64" ht="15.75" customHeight="1">
      <c r="A64" s="7" t="s">
        <v>244</v>
      </c>
      <c r="B64" s="9" t="s">
        <v>44</v>
      </c>
      <c r="C64" s="10" t="s">
        <v>246</v>
      </c>
      <c r="D64" s="9">
        <v>27.0</v>
      </c>
      <c r="E64" s="9">
        <v>26.0</v>
      </c>
      <c r="F64" s="9">
        <v>0.03</v>
      </c>
      <c r="G64" s="9">
        <v>0.03</v>
      </c>
      <c r="H64" s="9">
        <v>0.63</v>
      </c>
      <c r="I64" s="9">
        <v>-0.37</v>
      </c>
    </row>
    <row r="65" ht="15.75" customHeight="1">
      <c r="A65" s="7" t="s">
        <v>247</v>
      </c>
      <c r="B65" s="9" t="s">
        <v>17</v>
      </c>
      <c r="C65" s="10" t="s">
        <v>249</v>
      </c>
      <c r="D65" s="9">
        <v>27.0</v>
      </c>
      <c r="E65" s="9">
        <v>23.0</v>
      </c>
      <c r="F65" s="9">
        <v>0.03</v>
      </c>
      <c r="G65" s="9">
        <v>0.03</v>
      </c>
      <c r="H65" s="9">
        <v>1.26</v>
      </c>
      <c r="I65" s="9">
        <v>0.76</v>
      </c>
    </row>
    <row r="66" ht="15.75" customHeight="1">
      <c r="A66" s="7" t="s">
        <v>252</v>
      </c>
      <c r="B66" s="9" t="s">
        <v>94</v>
      </c>
      <c r="C66" s="10" t="s">
        <v>253</v>
      </c>
      <c r="D66" s="9">
        <v>26.0</v>
      </c>
      <c r="F66" s="9">
        <v>0.03</v>
      </c>
      <c r="G66" s="9">
        <v>0.03</v>
      </c>
      <c r="H66" s="9">
        <v>0.5</v>
      </c>
    </row>
    <row r="67" ht="15.75" customHeight="1">
      <c r="A67" s="7" t="s">
        <v>254</v>
      </c>
      <c r="B67" s="9" t="s">
        <v>44</v>
      </c>
      <c r="C67" s="10" t="s">
        <v>258</v>
      </c>
      <c r="D67" s="9">
        <v>24.0</v>
      </c>
      <c r="F67" s="9">
        <v>0.02</v>
      </c>
      <c r="G67" s="9">
        <v>0.03</v>
      </c>
      <c r="H67" s="9">
        <v>0.75</v>
      </c>
    </row>
    <row r="68" ht="15.75" customHeight="1">
      <c r="A68" s="7" t="s">
        <v>259</v>
      </c>
      <c r="B68" s="9" t="s">
        <v>44</v>
      </c>
      <c r="C68" s="10" t="s">
        <v>260</v>
      </c>
      <c r="D68" s="9">
        <v>24.0</v>
      </c>
      <c r="E68" s="9">
        <v>23.0</v>
      </c>
      <c r="F68" s="9">
        <v>0.02</v>
      </c>
      <c r="G68" s="9">
        <v>0.02</v>
      </c>
      <c r="H68" s="9">
        <v>1.42</v>
      </c>
      <c r="I68" s="9">
        <v>-0.58</v>
      </c>
    </row>
    <row r="69" ht="15.75" customHeight="1">
      <c r="A69" s="7" t="s">
        <v>261</v>
      </c>
      <c r="B69" s="9" t="s">
        <v>94</v>
      </c>
      <c r="C69" s="10" t="s">
        <v>262</v>
      </c>
      <c r="D69" s="9">
        <v>24.0</v>
      </c>
      <c r="E69" s="9">
        <v>14.0</v>
      </c>
      <c r="F69" s="9">
        <v>0.02</v>
      </c>
      <c r="G69" s="9">
        <v>0.02</v>
      </c>
      <c r="H69" s="9">
        <v>1.25</v>
      </c>
      <c r="I69" s="9">
        <v>-0.15</v>
      </c>
    </row>
    <row r="70" ht="15.75" customHeight="1">
      <c r="A70" s="7" t="s">
        <v>264</v>
      </c>
      <c r="B70" s="9" t="s">
        <v>44</v>
      </c>
      <c r="C70" s="10" t="s">
        <v>267</v>
      </c>
      <c r="D70" s="9">
        <v>24.0</v>
      </c>
      <c r="E70" s="9">
        <v>7.0</v>
      </c>
      <c r="F70" s="9">
        <v>0.02</v>
      </c>
      <c r="G70" s="9">
        <v>0.02</v>
      </c>
      <c r="H70" s="9">
        <v>1.17</v>
      </c>
      <c r="I70" s="9">
        <v>-0.95</v>
      </c>
    </row>
    <row r="71" ht="15.75" customHeight="1">
      <c r="A71" s="16" t="s">
        <v>268</v>
      </c>
      <c r="B71" s="9" t="s">
        <v>94</v>
      </c>
      <c r="C71" s="10"/>
      <c r="D71" s="9">
        <v>24.0</v>
      </c>
      <c r="F71" s="9">
        <v>0.02</v>
      </c>
      <c r="G71" s="9">
        <v>0.02</v>
      </c>
      <c r="H71" s="9">
        <v>0.42</v>
      </c>
    </row>
    <row r="72" ht="15.75" customHeight="1">
      <c r="A72" s="7" t="s">
        <v>269</v>
      </c>
      <c r="B72" s="9" t="s">
        <v>17</v>
      </c>
      <c r="C72" s="10" t="s">
        <v>273</v>
      </c>
      <c r="D72" s="9">
        <v>24.0</v>
      </c>
      <c r="F72" s="9">
        <v>0.02</v>
      </c>
      <c r="G72" s="9">
        <v>0.02</v>
      </c>
      <c r="H72" s="9">
        <v>0.54</v>
      </c>
    </row>
    <row r="73" ht="15.75" customHeight="1">
      <c r="A73" s="7" t="s">
        <v>274</v>
      </c>
      <c r="B73" s="9" t="s">
        <v>124</v>
      </c>
      <c r="C73" s="10" t="s">
        <v>276</v>
      </c>
      <c r="D73" s="9">
        <v>24.0</v>
      </c>
      <c r="F73" s="9">
        <v>0.02</v>
      </c>
      <c r="G73" s="9">
        <v>0.02</v>
      </c>
      <c r="H73" s="9">
        <v>1.17</v>
      </c>
    </row>
    <row r="74" ht="15.75" customHeight="1">
      <c r="A74" s="7" t="s">
        <v>277</v>
      </c>
      <c r="B74" s="9" t="s">
        <v>94</v>
      </c>
      <c r="C74" s="10" t="s">
        <v>281</v>
      </c>
      <c r="D74" s="9">
        <v>23.0</v>
      </c>
      <c r="E74" s="9">
        <v>18.0</v>
      </c>
      <c r="F74" s="9">
        <v>0.02</v>
      </c>
      <c r="G74" s="9">
        <v>0.1</v>
      </c>
      <c r="H74" s="9">
        <v>1.39</v>
      </c>
      <c r="I74" s="9">
        <v>0.99</v>
      </c>
    </row>
    <row r="75" ht="15.75" customHeight="1">
      <c r="A75" s="7" t="s">
        <v>282</v>
      </c>
      <c r="B75" s="9" t="s">
        <v>17</v>
      </c>
      <c r="C75" s="10" t="s">
        <v>283</v>
      </c>
      <c r="D75" s="9">
        <v>22.0</v>
      </c>
      <c r="F75" s="9">
        <v>0.02</v>
      </c>
      <c r="G75" s="9">
        <v>0.02</v>
      </c>
      <c r="H75" s="9">
        <v>0.5</v>
      </c>
    </row>
    <row r="76" ht="15.75" customHeight="1">
      <c r="A76" s="7" t="s">
        <v>284</v>
      </c>
      <c r="B76" s="9" t="s">
        <v>17</v>
      </c>
      <c r="C76" s="10" t="s">
        <v>286</v>
      </c>
      <c r="D76" s="9">
        <v>22.0</v>
      </c>
      <c r="F76" s="9">
        <v>0.02</v>
      </c>
      <c r="G76" s="9">
        <v>0.02</v>
      </c>
      <c r="H76" s="9">
        <v>0.73</v>
      </c>
    </row>
    <row r="77" ht="15.75" customHeight="1">
      <c r="A77" s="7" t="s">
        <v>289</v>
      </c>
      <c r="B77" s="9" t="s">
        <v>17</v>
      </c>
      <c r="C77" s="10" t="s">
        <v>290</v>
      </c>
      <c r="D77" s="9">
        <v>21.0</v>
      </c>
      <c r="E77" s="9">
        <v>20.0</v>
      </c>
      <c r="F77" s="9">
        <v>0.02</v>
      </c>
      <c r="G77" s="9">
        <v>0.02</v>
      </c>
      <c r="H77" s="9">
        <v>1.05</v>
      </c>
      <c r="I77" s="9">
        <v>0.05</v>
      </c>
    </row>
    <row r="78" ht="15.75" customHeight="1">
      <c r="A78" s="7" t="s">
        <v>291</v>
      </c>
      <c r="B78" s="9" t="s">
        <v>44</v>
      </c>
      <c r="C78" s="10" t="s">
        <v>295</v>
      </c>
      <c r="D78" s="9">
        <v>21.0</v>
      </c>
      <c r="E78" s="9">
        <v>18.0</v>
      </c>
      <c r="F78" s="9">
        <v>0.02</v>
      </c>
      <c r="G78" s="9">
        <v>0.02</v>
      </c>
      <c r="H78" s="9">
        <v>1.14</v>
      </c>
      <c r="I78" s="9">
        <v>-0.19</v>
      </c>
    </row>
    <row r="79" ht="15.75" customHeight="1">
      <c r="A79" s="7" t="s">
        <v>296</v>
      </c>
      <c r="B79" s="9" t="s">
        <v>44</v>
      </c>
      <c r="C79" s="10" t="s">
        <v>298</v>
      </c>
      <c r="D79" s="9">
        <v>21.0</v>
      </c>
      <c r="F79" s="9">
        <v>0.02</v>
      </c>
      <c r="G79" s="9">
        <v>0.02</v>
      </c>
      <c r="H79" s="9">
        <v>1.9</v>
      </c>
    </row>
    <row r="80" ht="15.75" customHeight="1">
      <c r="A80" s="7" t="s">
        <v>300</v>
      </c>
      <c r="B80" s="9" t="s">
        <v>17</v>
      </c>
      <c r="C80" s="10"/>
      <c r="D80" s="9">
        <v>21.0</v>
      </c>
      <c r="F80" s="9">
        <v>0.02</v>
      </c>
      <c r="G80" s="9">
        <v>0.02</v>
      </c>
      <c r="H80" s="9">
        <v>0.33</v>
      </c>
    </row>
    <row r="81" ht="15.75" customHeight="1">
      <c r="A81" s="7" t="s">
        <v>301</v>
      </c>
      <c r="B81" s="9" t="s">
        <v>44</v>
      </c>
      <c r="C81" s="10" t="s">
        <v>305</v>
      </c>
      <c r="D81" s="9">
        <v>21.0</v>
      </c>
      <c r="F81" s="9">
        <v>0.02</v>
      </c>
      <c r="G81" s="9">
        <v>0.02</v>
      </c>
      <c r="H81" s="9">
        <v>0.95</v>
      </c>
    </row>
    <row r="82" ht="15.75" customHeight="1">
      <c r="A82" s="7" t="s">
        <v>306</v>
      </c>
      <c r="B82" s="9" t="s">
        <v>17</v>
      </c>
      <c r="C82" s="10" t="s">
        <v>307</v>
      </c>
      <c r="D82" s="9">
        <v>20.0</v>
      </c>
      <c r="E82" s="9">
        <v>19.0</v>
      </c>
      <c r="F82" s="9">
        <v>0.02</v>
      </c>
      <c r="G82" s="9">
        <v>0.02</v>
      </c>
      <c r="H82" s="9">
        <v>1.75</v>
      </c>
      <c r="I82" s="9">
        <v>0.75</v>
      </c>
    </row>
    <row r="83" ht="15.75" customHeight="1">
      <c r="A83" s="7" t="s">
        <v>308</v>
      </c>
      <c r="B83" s="9" t="s">
        <v>94</v>
      </c>
      <c r="C83" s="10" t="s">
        <v>314</v>
      </c>
      <c r="D83" s="9">
        <v>20.0</v>
      </c>
      <c r="F83" s="9">
        <v>0.02</v>
      </c>
      <c r="G83" s="9">
        <v>0.02</v>
      </c>
      <c r="H83" s="9">
        <v>1.5</v>
      </c>
    </row>
    <row r="84" ht="15.75" customHeight="1">
      <c r="A84" s="7" t="s">
        <v>315</v>
      </c>
      <c r="B84" s="9" t="s">
        <v>25</v>
      </c>
      <c r="C84" s="10" t="s">
        <v>316</v>
      </c>
      <c r="D84" s="9">
        <v>20.0</v>
      </c>
      <c r="F84" s="9">
        <v>0.02</v>
      </c>
      <c r="G84" s="9">
        <v>0.02</v>
      </c>
      <c r="H84" s="9">
        <v>0.25</v>
      </c>
    </row>
    <row r="85" ht="15.75" customHeight="1">
      <c r="A85" s="7" t="s">
        <v>319</v>
      </c>
      <c r="B85" s="9" t="s">
        <v>44</v>
      </c>
      <c r="C85" s="10" t="s">
        <v>321</v>
      </c>
      <c r="D85" s="9">
        <v>20.0</v>
      </c>
      <c r="F85" s="9">
        <v>0.02</v>
      </c>
      <c r="G85" s="9">
        <v>0.02</v>
      </c>
      <c r="H85" s="9">
        <v>1.45</v>
      </c>
    </row>
    <row r="86" ht="15.75" customHeight="1">
      <c r="A86" s="7" t="s">
        <v>322</v>
      </c>
      <c r="B86" s="9" t="s">
        <v>17</v>
      </c>
      <c r="C86" s="10"/>
      <c r="D86" s="9">
        <v>20.0</v>
      </c>
      <c r="F86" s="9">
        <v>0.02</v>
      </c>
      <c r="G86" s="9">
        <v>0.02</v>
      </c>
      <c r="H86" s="9">
        <v>1.1</v>
      </c>
    </row>
    <row r="87" ht="15.75" customHeight="1">
      <c r="A87" s="7" t="s">
        <v>326</v>
      </c>
      <c r="B87" s="9" t="s">
        <v>39</v>
      </c>
      <c r="C87" s="10" t="s">
        <v>327</v>
      </c>
      <c r="D87" s="9">
        <v>19.0</v>
      </c>
      <c r="F87" s="9">
        <v>0.02</v>
      </c>
      <c r="G87" s="9">
        <v>0.03</v>
      </c>
      <c r="H87" s="9">
        <v>0.37</v>
      </c>
    </row>
    <row r="88" ht="15.75" customHeight="1">
      <c r="A88" s="7" t="s">
        <v>328</v>
      </c>
      <c r="B88" s="9" t="s">
        <v>17</v>
      </c>
      <c r="C88" s="10" t="s">
        <v>330</v>
      </c>
      <c r="D88" s="9">
        <v>19.0</v>
      </c>
      <c r="E88" s="9">
        <v>13.0</v>
      </c>
      <c r="F88" s="9">
        <v>0.02</v>
      </c>
      <c r="G88" s="9">
        <v>0.02</v>
      </c>
      <c r="H88" s="9">
        <v>0.53</v>
      </c>
      <c r="I88" s="9">
        <v>0.36</v>
      </c>
    </row>
    <row r="89" ht="15.75" customHeight="1">
      <c r="A89" s="7" t="s">
        <v>332</v>
      </c>
      <c r="B89" s="9" t="s">
        <v>17</v>
      </c>
      <c r="C89" s="10" t="s">
        <v>188</v>
      </c>
      <c r="D89" s="9">
        <v>19.0</v>
      </c>
      <c r="F89" s="9">
        <v>0.02</v>
      </c>
      <c r="G89" s="9">
        <v>0.02</v>
      </c>
      <c r="H89" s="9">
        <v>1.05</v>
      </c>
    </row>
    <row r="90" ht="15.75" customHeight="1">
      <c r="A90" s="7" t="s">
        <v>333</v>
      </c>
      <c r="B90" s="9" t="s">
        <v>17</v>
      </c>
      <c r="C90" s="10" t="s">
        <v>201</v>
      </c>
      <c r="D90" s="9">
        <v>18.0</v>
      </c>
      <c r="F90" s="9">
        <v>0.02</v>
      </c>
      <c r="G90" s="9">
        <v>0.02</v>
      </c>
      <c r="H90" s="9">
        <v>0.22</v>
      </c>
    </row>
    <row r="91" ht="15.75" customHeight="1">
      <c r="A91" s="7" t="s">
        <v>334</v>
      </c>
      <c r="B91" s="9" t="s">
        <v>44</v>
      </c>
      <c r="C91" s="10" t="s">
        <v>337</v>
      </c>
      <c r="D91" s="9">
        <v>18.0</v>
      </c>
      <c r="E91" s="9">
        <v>16.0</v>
      </c>
      <c r="F91" s="9">
        <v>0.02</v>
      </c>
      <c r="G91" s="9">
        <v>0.02</v>
      </c>
      <c r="H91" s="9">
        <v>0.72</v>
      </c>
      <c r="I91" s="9">
        <v>-0.28</v>
      </c>
    </row>
    <row r="92" ht="15.75" customHeight="1">
      <c r="A92" s="7" t="s">
        <v>339</v>
      </c>
      <c r="B92" s="9" t="s">
        <v>17</v>
      </c>
      <c r="C92" s="10" t="s">
        <v>340</v>
      </c>
      <c r="D92" s="9">
        <v>18.0</v>
      </c>
      <c r="E92" s="9">
        <v>11.0</v>
      </c>
      <c r="F92" s="9">
        <v>0.02</v>
      </c>
      <c r="G92" s="9">
        <v>0.02</v>
      </c>
      <c r="H92" s="9">
        <v>0.94</v>
      </c>
      <c r="I92" s="9">
        <v>-0.2</v>
      </c>
    </row>
    <row r="93" ht="15.75" customHeight="1">
      <c r="A93" s="7" t="s">
        <v>341</v>
      </c>
      <c r="B93" s="9" t="s">
        <v>17</v>
      </c>
      <c r="C93" s="10"/>
      <c r="D93" s="9">
        <v>18.0</v>
      </c>
      <c r="F93" s="9">
        <v>0.02</v>
      </c>
      <c r="G93" s="9">
        <v>0.02</v>
      </c>
      <c r="H93" s="9">
        <v>2.11</v>
      </c>
    </row>
    <row r="94" ht="15.75" customHeight="1">
      <c r="A94" s="7" t="s">
        <v>342</v>
      </c>
      <c r="B94" s="9" t="s">
        <v>17</v>
      </c>
      <c r="C94" s="10" t="s">
        <v>345</v>
      </c>
      <c r="D94" s="9">
        <v>17.0</v>
      </c>
      <c r="F94" s="9">
        <v>0.02</v>
      </c>
      <c r="G94" s="9">
        <v>0.02</v>
      </c>
      <c r="H94" s="9">
        <v>1.65</v>
      </c>
    </row>
    <row r="95" ht="15.75" customHeight="1">
      <c r="A95" s="7" t="s">
        <v>347</v>
      </c>
      <c r="B95" s="9" t="s">
        <v>17</v>
      </c>
      <c r="C95" s="10"/>
      <c r="D95" s="9">
        <v>17.0</v>
      </c>
      <c r="E95" s="9">
        <v>15.0</v>
      </c>
      <c r="F95" s="9">
        <v>0.02</v>
      </c>
      <c r="G95" s="9">
        <v>0.02</v>
      </c>
      <c r="H95" s="9">
        <v>1.35</v>
      </c>
      <c r="I95" s="9">
        <v>0.35</v>
      </c>
    </row>
    <row r="96" ht="15.75" customHeight="1">
      <c r="A96" s="7" t="s">
        <v>349</v>
      </c>
      <c r="B96" s="9" t="s">
        <v>124</v>
      </c>
      <c r="C96" s="10" t="s">
        <v>352</v>
      </c>
      <c r="D96" s="9">
        <v>17.0</v>
      </c>
      <c r="E96" s="9">
        <v>15.0</v>
      </c>
      <c r="F96" s="9">
        <v>0.02</v>
      </c>
      <c r="G96" s="9">
        <v>0.02</v>
      </c>
      <c r="H96" s="9">
        <v>1.53</v>
      </c>
      <c r="I96" s="9">
        <v>1.53</v>
      </c>
    </row>
    <row r="97" ht="15.75" customHeight="1">
      <c r="A97" s="7" t="s">
        <v>353</v>
      </c>
      <c r="B97" s="9" t="s">
        <v>124</v>
      </c>
      <c r="C97" s="10" t="s">
        <v>354</v>
      </c>
      <c r="D97" s="9">
        <v>17.0</v>
      </c>
      <c r="E97" s="9">
        <v>11.0</v>
      </c>
      <c r="F97" s="9">
        <v>0.02</v>
      </c>
      <c r="G97" s="9">
        <v>0.02</v>
      </c>
      <c r="H97" s="9">
        <v>2.35</v>
      </c>
      <c r="I97" s="9">
        <v>-1.48</v>
      </c>
    </row>
    <row r="98" ht="15.75" customHeight="1">
      <c r="A98" s="9" t="s">
        <v>355</v>
      </c>
      <c r="B98" s="9" t="s">
        <v>17</v>
      </c>
      <c r="C98" s="10"/>
      <c r="D98" s="9">
        <v>17.0</v>
      </c>
      <c r="E98" s="9">
        <v>16.0</v>
      </c>
      <c r="F98" s="9">
        <v>0.02</v>
      </c>
      <c r="G98" s="9">
        <v>0.02</v>
      </c>
      <c r="H98" s="9">
        <v>0.0</v>
      </c>
      <c r="I98" s="9">
        <v>0.0</v>
      </c>
    </row>
    <row r="99" ht="15.75" customHeight="1">
      <c r="A99" s="7" t="s">
        <v>356</v>
      </c>
      <c r="B99" s="9" t="s">
        <v>360</v>
      </c>
      <c r="C99" s="10" t="s">
        <v>361</v>
      </c>
      <c r="D99" s="9">
        <v>16.0</v>
      </c>
      <c r="F99" s="9">
        <v>0.02</v>
      </c>
      <c r="G99" s="9">
        <v>0.02</v>
      </c>
      <c r="H99" s="9">
        <v>0.38</v>
      </c>
    </row>
    <row r="100" ht="15.75" customHeight="1">
      <c r="A100" s="7" t="s">
        <v>362</v>
      </c>
      <c r="B100" s="9" t="s">
        <v>17</v>
      </c>
      <c r="C100" s="10" t="s">
        <v>363</v>
      </c>
      <c r="D100" s="9">
        <v>16.0</v>
      </c>
      <c r="F100" s="9">
        <v>0.02</v>
      </c>
      <c r="G100" s="9">
        <v>0.02</v>
      </c>
      <c r="H100" s="9">
        <v>0.56</v>
      </c>
    </row>
    <row r="101" ht="15.75" customHeight="1">
      <c r="A101" s="7" t="s">
        <v>364</v>
      </c>
      <c r="B101" s="9" t="s">
        <v>44</v>
      </c>
      <c r="C101" s="10" t="s">
        <v>368</v>
      </c>
      <c r="D101" s="9">
        <v>16.0</v>
      </c>
      <c r="E101" s="9">
        <v>-5.0</v>
      </c>
      <c r="F101" s="9">
        <v>0.02</v>
      </c>
      <c r="G101" s="9">
        <v>0.02</v>
      </c>
      <c r="H101" s="9">
        <v>2.25</v>
      </c>
      <c r="I101" s="9">
        <v>1.06</v>
      </c>
    </row>
    <row r="102" ht="15.75" customHeight="1">
      <c r="A102" s="7" t="s">
        <v>369</v>
      </c>
      <c r="B102" s="9" t="s">
        <v>17</v>
      </c>
      <c r="C102" s="10" t="s">
        <v>188</v>
      </c>
      <c r="D102" s="9">
        <v>16.0</v>
      </c>
      <c r="F102" s="9">
        <v>0.02</v>
      </c>
      <c r="G102" s="9">
        <v>0.02</v>
      </c>
      <c r="H102" s="9">
        <v>0.06</v>
      </c>
    </row>
    <row r="103" ht="15.75" customHeight="1">
      <c r="A103" s="7" t="s">
        <v>372</v>
      </c>
      <c r="B103" s="9" t="s">
        <v>44</v>
      </c>
      <c r="C103" s="10" t="s">
        <v>374</v>
      </c>
      <c r="D103" s="9">
        <v>16.0</v>
      </c>
      <c r="E103" s="9">
        <v>11.0</v>
      </c>
      <c r="F103" s="9">
        <v>0.02</v>
      </c>
      <c r="G103" s="9">
        <v>0.02</v>
      </c>
      <c r="H103" s="9">
        <v>0.94</v>
      </c>
      <c r="I103" s="9">
        <v>-0.06</v>
      </c>
    </row>
    <row r="104" ht="15.75" customHeight="1">
      <c r="A104" s="7" t="s">
        <v>375</v>
      </c>
      <c r="B104" s="9" t="s">
        <v>17</v>
      </c>
      <c r="C104" s="10" t="s">
        <v>379</v>
      </c>
      <c r="D104" s="9">
        <v>16.0</v>
      </c>
      <c r="E104" s="9">
        <v>-1.0</v>
      </c>
      <c r="F104" s="9">
        <v>0.02</v>
      </c>
      <c r="G104" s="9">
        <v>0.02</v>
      </c>
      <c r="H104" s="9">
        <v>0.63</v>
      </c>
      <c r="I104" s="9">
        <v>-0.2</v>
      </c>
    </row>
    <row r="105" ht="15.75" customHeight="1">
      <c r="A105" s="7" t="s">
        <v>380</v>
      </c>
      <c r="B105" s="9" t="s">
        <v>39</v>
      </c>
      <c r="C105" s="10" t="s">
        <v>384</v>
      </c>
      <c r="D105" s="9">
        <v>16.0</v>
      </c>
      <c r="F105" s="9">
        <v>0.02</v>
      </c>
      <c r="G105" s="9">
        <v>0.02</v>
      </c>
      <c r="H105" s="9">
        <v>0.0</v>
      </c>
    </row>
    <row r="106" ht="15.75" customHeight="1">
      <c r="A106" s="7" t="s">
        <v>385</v>
      </c>
      <c r="B106" s="9" t="s">
        <v>17</v>
      </c>
      <c r="C106" s="10" t="s">
        <v>386</v>
      </c>
      <c r="D106" s="9">
        <v>15.0</v>
      </c>
      <c r="F106" s="9">
        <v>0.01</v>
      </c>
      <c r="G106" s="9">
        <v>0.02</v>
      </c>
      <c r="H106" s="9">
        <v>1.4</v>
      </c>
    </row>
    <row r="107" ht="15.75" customHeight="1">
      <c r="A107" s="7" t="s">
        <v>387</v>
      </c>
      <c r="B107" s="9" t="s">
        <v>25</v>
      </c>
      <c r="C107" s="10" t="s">
        <v>388</v>
      </c>
      <c r="D107" s="9">
        <v>15.0</v>
      </c>
      <c r="E107" s="9">
        <v>9.0</v>
      </c>
      <c r="F107" s="9">
        <v>0.01</v>
      </c>
      <c r="G107" s="9">
        <v>0.02</v>
      </c>
      <c r="H107" s="9">
        <v>1.13</v>
      </c>
      <c r="I107" s="9">
        <v>0.47</v>
      </c>
    </row>
    <row r="108" ht="15.75" customHeight="1">
      <c r="A108" s="7" t="s">
        <v>390</v>
      </c>
      <c r="B108" s="9" t="s">
        <v>17</v>
      </c>
      <c r="C108" s="10" t="s">
        <v>393</v>
      </c>
      <c r="D108" s="9">
        <v>15.0</v>
      </c>
      <c r="E108" s="9">
        <v>14.0</v>
      </c>
      <c r="F108" s="9">
        <v>0.01</v>
      </c>
      <c r="G108" s="9">
        <v>0.02</v>
      </c>
      <c r="H108" s="9">
        <v>0.27</v>
      </c>
      <c r="I108" s="9">
        <v>0.27</v>
      </c>
    </row>
    <row r="109" ht="15.75" customHeight="1">
      <c r="A109" s="7" t="s">
        <v>394</v>
      </c>
      <c r="B109" s="9" t="s">
        <v>124</v>
      </c>
      <c r="C109" s="10" t="s">
        <v>395</v>
      </c>
      <c r="D109" s="9">
        <v>15.0</v>
      </c>
      <c r="E109" s="9">
        <v>8.0</v>
      </c>
      <c r="F109" s="9">
        <v>0.01</v>
      </c>
      <c r="G109" s="9">
        <v>0.01</v>
      </c>
      <c r="H109" s="9">
        <v>0.8</v>
      </c>
      <c r="I109" s="9">
        <v>-0.63</v>
      </c>
    </row>
    <row r="110" ht="15.75" customHeight="1">
      <c r="A110" s="7" t="s">
        <v>396</v>
      </c>
      <c r="B110" s="9" t="s">
        <v>17</v>
      </c>
      <c r="C110" s="10" t="s">
        <v>400</v>
      </c>
      <c r="D110" s="9">
        <v>15.0</v>
      </c>
      <c r="F110" s="9">
        <v>0.01</v>
      </c>
      <c r="G110" s="9">
        <v>0.01</v>
      </c>
      <c r="H110" s="9">
        <v>0.0</v>
      </c>
    </row>
    <row r="111" ht="15.75" customHeight="1">
      <c r="A111" s="7" t="s">
        <v>401</v>
      </c>
      <c r="B111" s="9" t="s">
        <v>17</v>
      </c>
      <c r="C111" s="10"/>
      <c r="D111" s="9">
        <v>15.0</v>
      </c>
      <c r="F111" s="9">
        <v>0.01</v>
      </c>
      <c r="G111" s="9">
        <v>0.01</v>
      </c>
      <c r="H111" s="9">
        <v>1.13</v>
      </c>
    </row>
    <row r="112" ht="15.75" customHeight="1">
      <c r="A112" s="9" t="s">
        <v>405</v>
      </c>
      <c r="B112" s="9" t="s">
        <v>17</v>
      </c>
      <c r="C112" s="10" t="s">
        <v>406</v>
      </c>
      <c r="D112" s="9">
        <v>15.0</v>
      </c>
      <c r="E112" s="9">
        <v>13.0</v>
      </c>
      <c r="F112" s="9">
        <v>0.01</v>
      </c>
      <c r="G112" s="9">
        <v>0.01</v>
      </c>
      <c r="H112" s="9">
        <v>0.67</v>
      </c>
      <c r="I112" s="9">
        <v>-0.83</v>
      </c>
    </row>
    <row r="113" ht="15.75" customHeight="1">
      <c r="A113" s="7" t="s">
        <v>408</v>
      </c>
      <c r="B113" s="9" t="s">
        <v>17</v>
      </c>
      <c r="C113" s="10" t="s">
        <v>411</v>
      </c>
      <c r="D113" s="9">
        <v>15.0</v>
      </c>
      <c r="E113" s="9">
        <v>9.0</v>
      </c>
      <c r="F113" s="9">
        <v>0.01</v>
      </c>
      <c r="G113" s="9">
        <v>0.01</v>
      </c>
      <c r="H113" s="9">
        <v>0.8</v>
      </c>
      <c r="I113" s="9">
        <v>-0.37</v>
      </c>
    </row>
    <row r="114" ht="15.75" customHeight="1">
      <c r="A114" s="7" t="s">
        <v>412</v>
      </c>
      <c r="B114" s="9" t="s">
        <v>17</v>
      </c>
      <c r="C114" s="10" t="s">
        <v>415</v>
      </c>
      <c r="D114" s="9">
        <v>14.0</v>
      </c>
      <c r="E114" s="9">
        <v>6.0</v>
      </c>
      <c r="F114" s="9">
        <v>0.01</v>
      </c>
      <c r="G114" s="9">
        <v>0.03</v>
      </c>
      <c r="H114" s="9">
        <v>0.14</v>
      </c>
      <c r="I114" s="9">
        <v>-0.86</v>
      </c>
    </row>
    <row r="115" ht="15.75" customHeight="1">
      <c r="A115" s="7" t="s">
        <v>417</v>
      </c>
      <c r="B115" s="9" t="s">
        <v>17</v>
      </c>
      <c r="C115" s="10" t="s">
        <v>188</v>
      </c>
      <c r="D115" s="9">
        <v>14.0</v>
      </c>
      <c r="F115" s="9">
        <v>0.01</v>
      </c>
      <c r="G115" s="9">
        <v>0.01</v>
      </c>
      <c r="H115" s="9">
        <v>1.07</v>
      </c>
    </row>
    <row r="116" ht="15.75" customHeight="1">
      <c r="A116" s="7" t="s">
        <v>419</v>
      </c>
      <c r="B116" s="9" t="s">
        <v>44</v>
      </c>
      <c r="C116" s="10" t="s">
        <v>422</v>
      </c>
      <c r="D116" s="9">
        <v>14.0</v>
      </c>
      <c r="F116" s="9">
        <v>0.01</v>
      </c>
      <c r="G116" s="9">
        <v>0.01</v>
      </c>
      <c r="H116" s="9">
        <v>1.36</v>
      </c>
    </row>
    <row r="117" ht="15.75" customHeight="1">
      <c r="A117" s="7" t="s">
        <v>423</v>
      </c>
      <c r="B117" s="9" t="s">
        <v>94</v>
      </c>
      <c r="C117" s="10" t="s">
        <v>427</v>
      </c>
      <c r="D117" s="9">
        <v>14.0</v>
      </c>
      <c r="E117" s="9">
        <v>9.0</v>
      </c>
      <c r="F117" s="9">
        <v>0.01</v>
      </c>
      <c r="G117" s="9">
        <v>0.01</v>
      </c>
      <c r="H117" s="9">
        <v>1.21</v>
      </c>
      <c r="I117" s="9">
        <v>0.21</v>
      </c>
    </row>
    <row r="118" ht="15.75" customHeight="1">
      <c r="A118" s="7" t="s">
        <v>428</v>
      </c>
      <c r="B118" s="9" t="s">
        <v>17</v>
      </c>
      <c r="C118" s="10" t="s">
        <v>429</v>
      </c>
      <c r="D118" s="9">
        <v>14.0</v>
      </c>
      <c r="F118" s="9">
        <v>0.01</v>
      </c>
      <c r="G118" s="9">
        <v>0.01</v>
      </c>
      <c r="H118" s="9">
        <v>0.43</v>
      </c>
    </row>
    <row r="119" ht="15.75" customHeight="1">
      <c r="A119" s="7" t="s">
        <v>430</v>
      </c>
      <c r="B119" s="9" t="s">
        <v>39</v>
      </c>
      <c r="C119" s="10"/>
      <c r="D119" s="9">
        <v>14.0</v>
      </c>
      <c r="E119" s="9">
        <v>13.0</v>
      </c>
      <c r="F119" s="9">
        <v>0.01</v>
      </c>
      <c r="G119" s="9">
        <v>0.01</v>
      </c>
      <c r="H119" s="9">
        <v>0.5</v>
      </c>
      <c r="I119" s="9">
        <v>-0.5</v>
      </c>
    </row>
    <row r="120" ht="15.75" customHeight="1">
      <c r="A120" s="7" t="s">
        <v>436</v>
      </c>
      <c r="B120" s="9" t="s">
        <v>17</v>
      </c>
      <c r="C120" s="10" t="s">
        <v>437</v>
      </c>
      <c r="D120" s="9">
        <v>14.0</v>
      </c>
      <c r="E120" s="9">
        <v>12.0</v>
      </c>
      <c r="F120" s="9">
        <v>0.01</v>
      </c>
      <c r="G120" s="9">
        <v>0.01</v>
      </c>
      <c r="H120" s="9">
        <v>0.29</v>
      </c>
      <c r="I120" s="9">
        <v>-1.21</v>
      </c>
    </row>
    <row r="121" ht="15.75" customHeight="1">
      <c r="A121" s="7" t="s">
        <v>438</v>
      </c>
      <c r="B121" s="9" t="s">
        <v>124</v>
      </c>
      <c r="C121" s="10" t="s">
        <v>439</v>
      </c>
      <c r="D121" s="9">
        <v>14.0</v>
      </c>
      <c r="E121" s="9">
        <v>11.0</v>
      </c>
      <c r="F121" s="9">
        <v>0.01</v>
      </c>
      <c r="G121" s="9">
        <v>0.01</v>
      </c>
      <c r="H121" s="9">
        <v>1.71</v>
      </c>
      <c r="I121" s="9">
        <v>1.05</v>
      </c>
    </row>
    <row r="122" ht="15.75" customHeight="1">
      <c r="A122" s="7" t="s">
        <v>440</v>
      </c>
      <c r="B122" s="9" t="s">
        <v>44</v>
      </c>
      <c r="C122" s="10" t="s">
        <v>441</v>
      </c>
      <c r="D122" s="9">
        <v>14.0</v>
      </c>
      <c r="E122" s="9">
        <v>10.0</v>
      </c>
      <c r="F122" s="9">
        <v>0.01</v>
      </c>
      <c r="G122" s="9">
        <v>0.01</v>
      </c>
      <c r="H122" s="9">
        <v>1.36</v>
      </c>
      <c r="I122" s="9">
        <v>0.11</v>
      </c>
    </row>
    <row r="123" ht="15.75" customHeight="1">
      <c r="A123" s="7" t="s">
        <v>443</v>
      </c>
      <c r="B123" s="9" t="s">
        <v>17</v>
      </c>
      <c r="C123" s="10" t="s">
        <v>446</v>
      </c>
      <c r="D123" s="9">
        <v>13.0</v>
      </c>
      <c r="F123" s="9">
        <v>0.01</v>
      </c>
      <c r="G123" s="9">
        <v>0.02</v>
      </c>
      <c r="H123" s="9">
        <v>0.31</v>
      </c>
    </row>
    <row r="124" ht="15.75" customHeight="1">
      <c r="A124" s="7" t="s">
        <v>447</v>
      </c>
      <c r="B124" s="9" t="s">
        <v>17</v>
      </c>
      <c r="C124" s="10" t="s">
        <v>448</v>
      </c>
      <c r="D124" s="9">
        <v>13.0</v>
      </c>
      <c r="F124" s="9">
        <v>0.01</v>
      </c>
      <c r="G124" s="9">
        <v>0.01</v>
      </c>
      <c r="H124" s="9">
        <v>0.38</v>
      </c>
    </row>
    <row r="125" ht="15.75" customHeight="1">
      <c r="A125" s="7" t="s">
        <v>449</v>
      </c>
      <c r="B125" s="9" t="s">
        <v>17</v>
      </c>
      <c r="C125" s="10" t="s">
        <v>453</v>
      </c>
      <c r="D125" s="9">
        <v>13.0</v>
      </c>
      <c r="E125" s="9">
        <v>12.0</v>
      </c>
      <c r="F125" s="9">
        <v>0.01</v>
      </c>
      <c r="G125" s="9">
        <v>0.01</v>
      </c>
      <c r="H125" s="9">
        <v>1.38</v>
      </c>
      <c r="I125" s="9">
        <v>1.38</v>
      </c>
    </row>
    <row r="126" ht="15.75" customHeight="1">
      <c r="A126" s="7" t="s">
        <v>454</v>
      </c>
      <c r="B126" s="9" t="s">
        <v>17</v>
      </c>
      <c r="C126" s="10" t="s">
        <v>455</v>
      </c>
      <c r="D126" s="9">
        <v>13.0</v>
      </c>
      <c r="E126" s="9">
        <v>12.0</v>
      </c>
      <c r="F126" s="9">
        <v>0.01</v>
      </c>
      <c r="G126" s="9">
        <v>0.01</v>
      </c>
      <c r="H126" s="9">
        <v>0.92</v>
      </c>
      <c r="I126" s="9">
        <v>-0.08</v>
      </c>
    </row>
    <row r="127" ht="15.75" customHeight="1">
      <c r="A127" s="7" t="s">
        <v>456</v>
      </c>
      <c r="B127" s="9" t="s">
        <v>17</v>
      </c>
      <c r="C127" s="10" t="s">
        <v>382</v>
      </c>
      <c r="D127" s="9">
        <v>13.0</v>
      </c>
      <c r="F127" s="9">
        <v>0.01</v>
      </c>
      <c r="G127" s="9">
        <v>0.01</v>
      </c>
      <c r="H127" s="9">
        <v>0.46</v>
      </c>
    </row>
    <row r="128" ht="15.75" customHeight="1">
      <c r="A128" s="7" t="s">
        <v>457</v>
      </c>
      <c r="B128" s="9" t="s">
        <v>17</v>
      </c>
      <c r="C128" s="10" t="s">
        <v>460</v>
      </c>
      <c r="D128" s="9">
        <v>13.0</v>
      </c>
      <c r="F128" s="9">
        <v>0.01</v>
      </c>
      <c r="G128" s="9">
        <v>0.01</v>
      </c>
      <c r="H128" s="9">
        <v>0.85</v>
      </c>
    </row>
    <row r="129" ht="15.75" customHeight="1">
      <c r="A129" s="7" t="s">
        <v>461</v>
      </c>
      <c r="B129" s="9" t="s">
        <v>17</v>
      </c>
      <c r="C129" s="10"/>
      <c r="D129" s="9">
        <v>13.0</v>
      </c>
      <c r="F129" s="9">
        <v>0.01</v>
      </c>
      <c r="G129" s="9">
        <v>0.01</v>
      </c>
      <c r="H129" s="9">
        <v>0.08</v>
      </c>
    </row>
    <row r="130" ht="15.75" customHeight="1">
      <c r="A130" s="7" t="s">
        <v>462</v>
      </c>
      <c r="B130" s="9" t="s">
        <v>17</v>
      </c>
      <c r="C130" s="10" t="s">
        <v>233</v>
      </c>
      <c r="D130" s="9">
        <v>13.0</v>
      </c>
      <c r="E130" s="9">
        <v>2.0</v>
      </c>
      <c r="F130" s="9">
        <v>0.01</v>
      </c>
      <c r="G130" s="9">
        <v>0.01</v>
      </c>
      <c r="H130" s="9">
        <v>0.62</v>
      </c>
      <c r="I130" s="9">
        <v>0.07</v>
      </c>
    </row>
    <row r="131" ht="15.75" customHeight="1">
      <c r="A131" s="7" t="s">
        <v>466</v>
      </c>
      <c r="B131" s="9" t="s">
        <v>17</v>
      </c>
      <c r="C131" s="10" t="s">
        <v>467</v>
      </c>
      <c r="D131" s="9">
        <v>12.0</v>
      </c>
      <c r="F131" s="9">
        <v>0.01</v>
      </c>
      <c r="G131" s="9">
        <v>0.01</v>
      </c>
      <c r="H131" s="9">
        <v>1.17</v>
      </c>
    </row>
    <row r="132" ht="15.75" customHeight="1">
      <c r="A132" s="7" t="s">
        <v>469</v>
      </c>
      <c r="B132" s="9" t="s">
        <v>124</v>
      </c>
      <c r="C132" s="10"/>
      <c r="D132" s="9">
        <v>12.0</v>
      </c>
      <c r="F132" s="9">
        <v>0.01</v>
      </c>
      <c r="G132" s="9">
        <v>0.01</v>
      </c>
      <c r="H132" s="9">
        <v>2.08</v>
      </c>
    </row>
    <row r="133" ht="15.75" customHeight="1">
      <c r="A133" s="7" t="s">
        <v>471</v>
      </c>
      <c r="B133" s="9" t="s">
        <v>17</v>
      </c>
      <c r="C133" s="10"/>
      <c r="D133" s="9">
        <v>12.0</v>
      </c>
      <c r="F133" s="9">
        <v>0.01</v>
      </c>
      <c r="G133" s="9">
        <v>0.01</v>
      </c>
      <c r="H133" s="9">
        <v>1.83</v>
      </c>
    </row>
    <row r="134" ht="15.75" customHeight="1">
      <c r="A134" s="7" t="s">
        <v>472</v>
      </c>
      <c r="B134" s="9" t="s">
        <v>17</v>
      </c>
      <c r="C134" s="10" t="s">
        <v>476</v>
      </c>
      <c r="D134" s="9">
        <v>12.0</v>
      </c>
      <c r="F134" s="9">
        <v>0.01</v>
      </c>
      <c r="G134" s="9">
        <v>0.01</v>
      </c>
      <c r="H134" s="9">
        <v>0.08</v>
      </c>
    </row>
    <row r="135" ht="15.75" customHeight="1">
      <c r="A135" s="7" t="s">
        <v>477</v>
      </c>
      <c r="B135" s="9" t="s">
        <v>17</v>
      </c>
      <c r="C135" s="10"/>
      <c r="D135" s="9">
        <v>12.0</v>
      </c>
      <c r="F135" s="9">
        <v>0.01</v>
      </c>
      <c r="G135" s="9">
        <v>0.01</v>
      </c>
      <c r="H135" s="9">
        <v>1.67</v>
      </c>
    </row>
    <row r="136" ht="15.75" customHeight="1">
      <c r="A136" s="7" t="s">
        <v>478</v>
      </c>
      <c r="B136" s="9" t="s">
        <v>17</v>
      </c>
      <c r="C136" s="10" t="s">
        <v>482</v>
      </c>
      <c r="D136" s="9">
        <v>12.0</v>
      </c>
      <c r="F136" s="9">
        <v>0.01</v>
      </c>
      <c r="G136" s="9">
        <v>0.01</v>
      </c>
      <c r="H136" s="9">
        <v>0.0</v>
      </c>
    </row>
    <row r="137" ht="15.75" customHeight="1">
      <c r="A137" s="7" t="s">
        <v>483</v>
      </c>
      <c r="B137" s="9" t="s">
        <v>17</v>
      </c>
      <c r="C137" s="10" t="s">
        <v>188</v>
      </c>
      <c r="D137" s="9">
        <v>12.0</v>
      </c>
      <c r="E137" s="9">
        <v>11.0</v>
      </c>
      <c r="F137" s="9">
        <v>0.01</v>
      </c>
      <c r="G137" s="9">
        <v>0.01</v>
      </c>
      <c r="H137" s="9">
        <v>0.0</v>
      </c>
      <c r="I137" s="9">
        <v>0.0</v>
      </c>
    </row>
    <row r="138" ht="15.75" customHeight="1">
      <c r="A138" s="9" t="s">
        <v>486</v>
      </c>
      <c r="B138" s="9" t="s">
        <v>17</v>
      </c>
      <c r="C138" s="10" t="s">
        <v>488</v>
      </c>
      <c r="D138" s="9">
        <v>12.0</v>
      </c>
      <c r="F138" s="9">
        <v>0.01</v>
      </c>
      <c r="G138" s="9">
        <v>0.01</v>
      </c>
      <c r="H138" s="9">
        <v>0.75</v>
      </c>
    </row>
    <row r="139" ht="15.75" customHeight="1">
      <c r="A139" s="9" t="s">
        <v>489</v>
      </c>
      <c r="B139" s="9" t="s">
        <v>17</v>
      </c>
      <c r="C139" s="10" t="s">
        <v>490</v>
      </c>
      <c r="D139" s="9">
        <v>11.0</v>
      </c>
      <c r="F139" s="9">
        <v>0.01</v>
      </c>
      <c r="G139" s="9">
        <v>0.01</v>
      </c>
      <c r="H139" s="9">
        <v>2.64</v>
      </c>
    </row>
    <row r="140" ht="15.75" customHeight="1">
      <c r="A140" s="7" t="s">
        <v>491</v>
      </c>
      <c r="B140" s="9" t="s">
        <v>17</v>
      </c>
      <c r="C140" s="10" t="s">
        <v>188</v>
      </c>
      <c r="D140" s="9">
        <v>11.0</v>
      </c>
      <c r="F140" s="9">
        <v>0.01</v>
      </c>
      <c r="G140" s="9">
        <v>0.01</v>
      </c>
      <c r="H140" s="9">
        <v>0.0</v>
      </c>
    </row>
    <row r="141" ht="15.75" customHeight="1">
      <c r="A141" s="7" t="s">
        <v>495</v>
      </c>
      <c r="B141" s="9" t="s">
        <v>17</v>
      </c>
      <c r="C141" s="10" t="s">
        <v>358</v>
      </c>
      <c r="D141" s="9">
        <v>11.0</v>
      </c>
      <c r="E141" s="9">
        <v>10.0</v>
      </c>
      <c r="F141" s="9">
        <v>0.01</v>
      </c>
      <c r="G141" s="9">
        <v>0.01</v>
      </c>
      <c r="H141" s="9">
        <v>1.18</v>
      </c>
      <c r="I141" s="9">
        <v>-0.82</v>
      </c>
    </row>
    <row r="142" ht="15.75" customHeight="1">
      <c r="A142" s="7" t="s">
        <v>496</v>
      </c>
      <c r="B142" s="9" t="s">
        <v>17</v>
      </c>
      <c r="C142" s="10" t="s">
        <v>497</v>
      </c>
      <c r="D142" s="9">
        <v>11.0</v>
      </c>
      <c r="E142" s="9">
        <v>10.0</v>
      </c>
      <c r="F142" s="9">
        <v>0.01</v>
      </c>
      <c r="G142" s="9">
        <v>0.01</v>
      </c>
      <c r="H142" s="9">
        <v>1.82</v>
      </c>
      <c r="I142" s="9">
        <v>0.82</v>
      </c>
    </row>
    <row r="143" ht="15.75" customHeight="1">
      <c r="A143" s="7" t="s">
        <v>500</v>
      </c>
      <c r="B143" s="9" t="s">
        <v>17</v>
      </c>
      <c r="C143" s="10"/>
      <c r="D143" s="9">
        <v>11.0</v>
      </c>
      <c r="F143" s="9">
        <v>0.01</v>
      </c>
      <c r="G143" s="9">
        <v>0.01</v>
      </c>
      <c r="H143" s="9">
        <v>1.64</v>
      </c>
    </row>
    <row r="144" ht="15.75" customHeight="1">
      <c r="A144" s="7" t="s">
        <v>502</v>
      </c>
      <c r="B144" s="9" t="s">
        <v>17</v>
      </c>
      <c r="C144" s="10" t="s">
        <v>503</v>
      </c>
      <c r="D144" s="9">
        <v>11.0</v>
      </c>
      <c r="F144" s="9">
        <v>0.01</v>
      </c>
      <c r="G144" s="9">
        <v>0.01</v>
      </c>
      <c r="H144" s="9">
        <v>1.18</v>
      </c>
    </row>
    <row r="145" ht="15.75" customHeight="1">
      <c r="A145" s="7" t="s">
        <v>504</v>
      </c>
      <c r="B145" s="9" t="s">
        <v>17</v>
      </c>
      <c r="C145" s="10" t="s">
        <v>506</v>
      </c>
      <c r="D145" s="9">
        <v>11.0</v>
      </c>
      <c r="F145" s="9">
        <v>0.01</v>
      </c>
      <c r="G145" s="9">
        <v>0.01</v>
      </c>
      <c r="H145" s="9">
        <v>0.64</v>
      </c>
    </row>
    <row r="146" ht="15.75" customHeight="1">
      <c r="A146" s="7" t="s">
        <v>508</v>
      </c>
      <c r="B146" s="9" t="s">
        <v>17</v>
      </c>
      <c r="C146" s="10"/>
      <c r="D146" s="9">
        <v>11.0</v>
      </c>
      <c r="F146" s="9">
        <v>0.01</v>
      </c>
      <c r="G146" s="9">
        <v>0.01</v>
      </c>
      <c r="H146" s="9">
        <v>2.36</v>
      </c>
    </row>
    <row r="147" ht="15.75" customHeight="1">
      <c r="A147" s="7" t="s">
        <v>509</v>
      </c>
      <c r="B147" s="9" t="s">
        <v>17</v>
      </c>
      <c r="C147" s="10" t="s">
        <v>510</v>
      </c>
      <c r="D147" s="9">
        <v>11.0</v>
      </c>
      <c r="F147" s="9">
        <v>0.01</v>
      </c>
      <c r="G147" s="9">
        <v>0.01</v>
      </c>
      <c r="H147" s="9">
        <v>0.18</v>
      </c>
    </row>
    <row r="148" ht="15.75" customHeight="1">
      <c r="A148" s="7" t="s">
        <v>511</v>
      </c>
      <c r="B148" s="9" t="s">
        <v>124</v>
      </c>
      <c r="C148" s="10" t="s">
        <v>515</v>
      </c>
      <c r="D148" s="9">
        <v>11.0</v>
      </c>
      <c r="F148" s="9">
        <v>0.01</v>
      </c>
      <c r="G148" s="9">
        <v>0.01</v>
      </c>
      <c r="H148" s="9">
        <v>0.45</v>
      </c>
    </row>
    <row r="149" ht="15.75" customHeight="1">
      <c r="A149" s="7" t="s">
        <v>516</v>
      </c>
      <c r="B149" s="9" t="s">
        <v>17</v>
      </c>
      <c r="C149" s="10" t="s">
        <v>340</v>
      </c>
      <c r="D149" s="9">
        <v>11.0</v>
      </c>
      <c r="F149" s="9">
        <v>0.01</v>
      </c>
      <c r="G149" s="9">
        <v>0.01</v>
      </c>
      <c r="H149" s="9">
        <v>0.64</v>
      </c>
    </row>
    <row r="150" ht="15.75" customHeight="1">
      <c r="A150" s="7" t="s">
        <v>519</v>
      </c>
      <c r="B150" s="9" t="s">
        <v>17</v>
      </c>
      <c r="C150" s="10" t="s">
        <v>188</v>
      </c>
      <c r="D150" s="9">
        <v>10.0</v>
      </c>
      <c r="F150" s="9">
        <v>0.01</v>
      </c>
      <c r="G150" s="9">
        <v>0.03</v>
      </c>
      <c r="H150" s="9">
        <v>0.0</v>
      </c>
    </row>
    <row r="151" ht="15.75" customHeight="1">
      <c r="A151" s="7" t="s">
        <v>525</v>
      </c>
      <c r="B151" s="9" t="s">
        <v>17</v>
      </c>
      <c r="C151" s="10" t="s">
        <v>526</v>
      </c>
      <c r="D151" s="9">
        <v>10.0</v>
      </c>
      <c r="E151" s="9">
        <v>8.0</v>
      </c>
      <c r="F151" s="9">
        <v>0.01</v>
      </c>
      <c r="G151" s="9">
        <v>0.01</v>
      </c>
      <c r="H151" s="9">
        <v>2.2</v>
      </c>
      <c r="I151" s="9">
        <v>-0.3</v>
      </c>
    </row>
    <row r="152" ht="15.75" customHeight="1">
      <c r="A152" s="7" t="s">
        <v>527</v>
      </c>
      <c r="B152" s="9" t="s">
        <v>44</v>
      </c>
      <c r="C152" s="10" t="s">
        <v>530</v>
      </c>
      <c r="D152" s="9">
        <v>10.0</v>
      </c>
      <c r="F152" s="9">
        <v>0.01</v>
      </c>
      <c r="G152" s="9">
        <v>0.01</v>
      </c>
      <c r="H152" s="9">
        <v>1.5</v>
      </c>
    </row>
    <row r="153" ht="15.75" customHeight="1">
      <c r="A153" s="7" t="s">
        <v>532</v>
      </c>
      <c r="B153" s="9" t="s">
        <v>17</v>
      </c>
      <c r="C153" s="10" t="s">
        <v>533</v>
      </c>
      <c r="D153" s="9">
        <v>10.0</v>
      </c>
      <c r="F153" s="9">
        <v>0.01</v>
      </c>
      <c r="G153" s="9">
        <v>0.01</v>
      </c>
      <c r="H153" s="9">
        <v>1.0</v>
      </c>
    </row>
    <row r="154" ht="15.75" customHeight="1">
      <c r="A154" s="7" t="s">
        <v>536</v>
      </c>
      <c r="B154" s="9" t="s">
        <v>17</v>
      </c>
      <c r="C154" s="10"/>
      <c r="D154" s="9">
        <v>10.0</v>
      </c>
      <c r="F154" s="9">
        <v>0.01</v>
      </c>
      <c r="G154" s="9">
        <v>0.01</v>
      </c>
      <c r="H154" s="9">
        <v>0.5</v>
      </c>
    </row>
    <row r="155" ht="15.75" customHeight="1">
      <c r="A155" s="7" t="s">
        <v>538</v>
      </c>
      <c r="B155" s="9" t="s">
        <v>17</v>
      </c>
      <c r="C155" s="10" t="s">
        <v>539</v>
      </c>
      <c r="D155" s="9">
        <v>10.0</v>
      </c>
      <c r="F155" s="9">
        <v>0.01</v>
      </c>
      <c r="G155" s="9">
        <v>0.01</v>
      </c>
      <c r="H155" s="9">
        <v>0.0</v>
      </c>
    </row>
    <row r="156" ht="15.75" customHeight="1">
      <c r="A156" s="9" t="s">
        <v>540</v>
      </c>
      <c r="B156" s="9" t="s">
        <v>17</v>
      </c>
      <c r="C156" s="10" t="s">
        <v>541</v>
      </c>
      <c r="D156" s="9">
        <v>10.0</v>
      </c>
      <c r="F156" s="9">
        <v>0.01</v>
      </c>
      <c r="G156" s="9">
        <v>0.01</v>
      </c>
      <c r="H156" s="9">
        <v>1.0</v>
      </c>
    </row>
    <row r="157" ht="15.75" customHeight="1">
      <c r="A157" s="7" t="s">
        <v>542</v>
      </c>
      <c r="B157" s="9" t="s">
        <v>17</v>
      </c>
      <c r="C157" s="10" t="s">
        <v>201</v>
      </c>
      <c r="D157" s="9">
        <v>10.0</v>
      </c>
      <c r="F157" s="9">
        <v>0.01</v>
      </c>
      <c r="G157" s="9">
        <v>0.01</v>
      </c>
      <c r="H157" s="9">
        <v>0.6</v>
      </c>
    </row>
    <row r="158" ht="15.75" customHeight="1">
      <c r="A158" s="9" t="s">
        <v>546</v>
      </c>
      <c r="B158" s="9" t="s">
        <v>17</v>
      </c>
      <c r="C158" s="10" t="s">
        <v>547</v>
      </c>
      <c r="D158" s="9">
        <v>10.0</v>
      </c>
      <c r="F158" s="9">
        <v>0.01</v>
      </c>
      <c r="G158" s="9">
        <v>0.01</v>
      </c>
      <c r="H158" s="9">
        <v>0.1</v>
      </c>
    </row>
    <row r="159" ht="15.75" customHeight="1">
      <c r="A159" s="7" t="s">
        <v>550</v>
      </c>
      <c r="B159" s="9" t="s">
        <v>17</v>
      </c>
      <c r="C159" s="10" t="s">
        <v>552</v>
      </c>
      <c r="D159" s="9">
        <v>10.0</v>
      </c>
      <c r="F159" s="9">
        <v>0.01</v>
      </c>
      <c r="G159" s="9">
        <v>0.01</v>
      </c>
      <c r="H159" s="9">
        <v>0.8</v>
      </c>
    </row>
    <row r="160" ht="15.75" customHeight="1">
      <c r="A160" s="7" t="s">
        <v>553</v>
      </c>
      <c r="B160" s="9" t="s">
        <v>360</v>
      </c>
      <c r="C160" s="10" t="s">
        <v>201</v>
      </c>
      <c r="D160" s="9">
        <v>10.0</v>
      </c>
      <c r="F160" s="9">
        <v>0.01</v>
      </c>
      <c r="G160" s="9">
        <v>0.01</v>
      </c>
      <c r="H160" s="9">
        <v>0.4</v>
      </c>
    </row>
    <row r="161" ht="15.75" customHeight="1">
      <c r="A161" s="7" t="s">
        <v>554</v>
      </c>
      <c r="B161" s="9" t="s">
        <v>17</v>
      </c>
      <c r="C161" s="10"/>
      <c r="D161" s="9">
        <v>10.0</v>
      </c>
      <c r="F161" s="9">
        <v>0.01</v>
      </c>
      <c r="G161" s="9">
        <v>0.01</v>
      </c>
      <c r="H161" s="9">
        <v>0.4</v>
      </c>
    </row>
    <row r="162" ht="15.75" customHeight="1">
      <c r="A162" s="7" t="s">
        <v>557</v>
      </c>
      <c r="B162" s="9" t="s">
        <v>17</v>
      </c>
      <c r="C162" s="10" t="s">
        <v>559</v>
      </c>
      <c r="D162" s="9">
        <v>10.0</v>
      </c>
      <c r="F162" s="9">
        <v>0.01</v>
      </c>
      <c r="G162" s="9">
        <v>0.01</v>
      </c>
      <c r="H162" s="9">
        <v>0.6</v>
      </c>
    </row>
    <row r="163" ht="15.75" customHeight="1">
      <c r="A163" s="7" t="s">
        <v>560</v>
      </c>
      <c r="B163" s="9" t="s">
        <v>17</v>
      </c>
      <c r="C163" s="10" t="s">
        <v>188</v>
      </c>
      <c r="D163" s="9">
        <v>10.0</v>
      </c>
      <c r="F163" s="9">
        <v>0.01</v>
      </c>
      <c r="G163" s="9">
        <v>0.01</v>
      </c>
      <c r="H163" s="9">
        <v>0.2</v>
      </c>
    </row>
    <row r="164" ht="15.75" customHeight="1">
      <c r="A164" s="7" t="s">
        <v>564</v>
      </c>
      <c r="B164" s="9" t="s">
        <v>17</v>
      </c>
      <c r="C164" s="10" t="s">
        <v>565</v>
      </c>
      <c r="D164" s="9">
        <v>10.0</v>
      </c>
      <c r="E164" s="9">
        <v>8.0</v>
      </c>
      <c r="F164" s="9">
        <v>0.01</v>
      </c>
      <c r="G164" s="9">
        <v>0.01</v>
      </c>
      <c r="H164" s="9">
        <v>0.9</v>
      </c>
      <c r="I164" s="9">
        <v>-0.6</v>
      </c>
    </row>
    <row r="165" ht="15.75" customHeight="1">
      <c r="A165" s="7" t="s">
        <v>566</v>
      </c>
      <c r="B165" s="9" t="s">
        <v>17</v>
      </c>
      <c r="C165" s="10"/>
      <c r="D165" s="9">
        <v>10.0</v>
      </c>
      <c r="F165" s="9">
        <v>0.01</v>
      </c>
      <c r="G165" s="9">
        <v>0.01</v>
      </c>
      <c r="H165" s="9">
        <v>0.2</v>
      </c>
    </row>
    <row r="166" ht="15.75" customHeight="1">
      <c r="A166" s="7" t="s">
        <v>570</v>
      </c>
      <c r="B166" s="9" t="s">
        <v>17</v>
      </c>
      <c r="C166" s="10"/>
      <c r="D166" s="9">
        <v>10.0</v>
      </c>
      <c r="F166" s="9">
        <v>0.01</v>
      </c>
      <c r="G166" s="9">
        <v>0.01</v>
      </c>
      <c r="H166" s="9">
        <v>0.1</v>
      </c>
    </row>
    <row r="167" ht="15.75" customHeight="1">
      <c r="A167" s="7" t="s">
        <v>571</v>
      </c>
      <c r="B167" s="9" t="s">
        <v>17</v>
      </c>
      <c r="C167" s="10" t="s">
        <v>188</v>
      </c>
      <c r="D167" s="9">
        <v>10.0</v>
      </c>
      <c r="F167" s="9">
        <v>0.01</v>
      </c>
      <c r="G167" s="9">
        <v>0.01</v>
      </c>
      <c r="H167" s="9">
        <v>0.0</v>
      </c>
    </row>
    <row r="168" ht="15.75" customHeight="1">
      <c r="A168" s="7" t="s">
        <v>575</v>
      </c>
      <c r="B168" s="9" t="s">
        <v>17</v>
      </c>
      <c r="C168" s="10" t="s">
        <v>576</v>
      </c>
      <c r="D168" s="9">
        <v>10.0</v>
      </c>
      <c r="F168" s="9">
        <v>0.01</v>
      </c>
      <c r="G168" s="9">
        <v>0.01</v>
      </c>
      <c r="H168" s="9">
        <v>1.0</v>
      </c>
    </row>
    <row r="169" ht="15.75" customHeight="1">
      <c r="A169" s="7" t="s">
        <v>579</v>
      </c>
      <c r="B169" s="9" t="s">
        <v>17</v>
      </c>
      <c r="C169" s="10"/>
      <c r="D169" s="9">
        <v>10.0</v>
      </c>
      <c r="F169" s="9">
        <v>0.01</v>
      </c>
      <c r="G169" s="9">
        <v>0.01</v>
      </c>
      <c r="H169" s="9">
        <v>0.5</v>
      </c>
    </row>
    <row r="170" ht="15.75" customHeight="1">
      <c r="A170" s="7" t="s">
        <v>581</v>
      </c>
      <c r="B170" s="9" t="s">
        <v>17</v>
      </c>
      <c r="C170" s="10" t="s">
        <v>582</v>
      </c>
      <c r="D170" s="9">
        <v>10.0</v>
      </c>
      <c r="E170" s="9">
        <v>6.0</v>
      </c>
      <c r="F170" s="9">
        <v>0.01</v>
      </c>
      <c r="G170" s="9">
        <v>0.01</v>
      </c>
      <c r="H170" s="9">
        <v>0.2</v>
      </c>
      <c r="I170" s="9">
        <v>0.2</v>
      </c>
    </row>
    <row r="171" ht="15.75" customHeight="1">
      <c r="A171" s="7" t="s">
        <v>584</v>
      </c>
      <c r="B171" s="9" t="s">
        <v>17</v>
      </c>
      <c r="C171" s="10"/>
      <c r="D171" s="9">
        <v>10.0</v>
      </c>
      <c r="F171" s="9">
        <v>0.01</v>
      </c>
      <c r="G171" s="9">
        <v>0.01</v>
      </c>
      <c r="H171" s="9">
        <v>0.9</v>
      </c>
    </row>
    <row r="172" ht="15.75" customHeight="1">
      <c r="A172" s="7" t="s">
        <v>587</v>
      </c>
      <c r="B172" s="9" t="s">
        <v>17</v>
      </c>
      <c r="C172" s="10"/>
      <c r="D172" s="9">
        <v>10.0</v>
      </c>
      <c r="F172" s="9">
        <v>0.01</v>
      </c>
      <c r="G172" s="9">
        <v>0.01</v>
      </c>
      <c r="H172" s="9">
        <v>0.9</v>
      </c>
    </row>
    <row r="173" ht="15.75" customHeight="1">
      <c r="A173" s="7" t="s">
        <v>589</v>
      </c>
      <c r="B173" s="9" t="s">
        <v>44</v>
      </c>
      <c r="C173" s="10" t="s">
        <v>591</v>
      </c>
      <c r="D173" s="9">
        <v>9.0</v>
      </c>
      <c r="F173" s="9">
        <v>0.01</v>
      </c>
      <c r="G173" s="9">
        <v>0.01</v>
      </c>
      <c r="H173" s="9">
        <v>1.33</v>
      </c>
    </row>
    <row r="174" ht="15.75" customHeight="1">
      <c r="A174" s="7" t="s">
        <v>592</v>
      </c>
      <c r="B174" s="9" t="s">
        <v>17</v>
      </c>
      <c r="C174" s="10" t="s">
        <v>188</v>
      </c>
      <c r="D174" s="9">
        <v>9.0</v>
      </c>
      <c r="F174" s="9">
        <v>0.01</v>
      </c>
      <c r="G174" s="9">
        <v>0.01</v>
      </c>
      <c r="H174" s="9">
        <v>0.0</v>
      </c>
    </row>
    <row r="175" ht="15.75" customHeight="1">
      <c r="A175" s="7" t="s">
        <v>593</v>
      </c>
      <c r="B175" s="9" t="s">
        <v>17</v>
      </c>
      <c r="C175" s="10" t="s">
        <v>596</v>
      </c>
      <c r="D175" s="9">
        <v>9.0</v>
      </c>
      <c r="E175" s="9">
        <v>7.0</v>
      </c>
      <c r="F175" s="9">
        <v>0.01</v>
      </c>
      <c r="G175" s="9">
        <v>0.01</v>
      </c>
      <c r="H175" s="9">
        <v>0.0</v>
      </c>
      <c r="I175" s="9">
        <v>-3.0</v>
      </c>
    </row>
    <row r="176" ht="15.75" customHeight="1">
      <c r="A176" s="7" t="s">
        <v>597</v>
      </c>
      <c r="B176" s="9" t="s">
        <v>17</v>
      </c>
      <c r="C176" s="10" t="s">
        <v>188</v>
      </c>
      <c r="D176" s="9">
        <v>9.0</v>
      </c>
      <c r="F176" s="9">
        <v>0.01</v>
      </c>
      <c r="G176" s="9">
        <v>0.01</v>
      </c>
      <c r="H176" s="9">
        <v>1.67</v>
      </c>
    </row>
    <row r="177" ht="15.75" customHeight="1">
      <c r="A177" s="7" t="s">
        <v>601</v>
      </c>
      <c r="B177" s="9" t="s">
        <v>124</v>
      </c>
      <c r="C177" s="10" t="s">
        <v>604</v>
      </c>
      <c r="D177" s="9">
        <v>9.0</v>
      </c>
      <c r="F177" s="9">
        <v>0.01</v>
      </c>
      <c r="G177" s="9">
        <v>0.01</v>
      </c>
      <c r="H177" s="9">
        <v>1.67</v>
      </c>
    </row>
    <row r="178" ht="15.75" customHeight="1">
      <c r="A178" s="7" t="s">
        <v>606</v>
      </c>
      <c r="B178" s="9" t="s">
        <v>17</v>
      </c>
      <c r="C178" s="10" t="s">
        <v>188</v>
      </c>
      <c r="D178" s="9">
        <v>9.0</v>
      </c>
      <c r="F178" s="9">
        <v>0.01</v>
      </c>
      <c r="G178" s="9">
        <v>0.01</v>
      </c>
      <c r="H178" s="9">
        <v>0.0</v>
      </c>
    </row>
    <row r="179" ht="15.75" customHeight="1">
      <c r="A179" s="7" t="s">
        <v>609</v>
      </c>
      <c r="B179" s="9" t="s">
        <v>17</v>
      </c>
      <c r="C179" s="10"/>
      <c r="D179" s="9">
        <v>9.0</v>
      </c>
      <c r="E179" s="9">
        <v>8.0</v>
      </c>
      <c r="F179" s="9">
        <v>0.01</v>
      </c>
      <c r="G179" s="9">
        <v>0.01</v>
      </c>
      <c r="H179" s="9">
        <v>0.0</v>
      </c>
      <c r="I179" s="9">
        <v>0.0</v>
      </c>
    </row>
    <row r="180" ht="15.75" customHeight="1">
      <c r="A180" s="7" t="s">
        <v>611</v>
      </c>
      <c r="B180" s="9" t="s">
        <v>17</v>
      </c>
      <c r="C180" s="10" t="s">
        <v>615</v>
      </c>
      <c r="D180" s="9">
        <v>9.0</v>
      </c>
      <c r="F180" s="9">
        <v>0.01</v>
      </c>
      <c r="G180" s="9">
        <v>0.01</v>
      </c>
      <c r="H180" s="9">
        <v>0.0</v>
      </c>
    </row>
    <row r="181" ht="15.75" customHeight="1">
      <c r="A181" s="7" t="s">
        <v>616</v>
      </c>
      <c r="B181" s="9" t="s">
        <v>44</v>
      </c>
      <c r="C181" s="10"/>
      <c r="D181" s="9">
        <v>9.0</v>
      </c>
      <c r="E181" s="9">
        <v>8.0</v>
      </c>
      <c r="F181" s="9">
        <v>0.01</v>
      </c>
      <c r="G181" s="9">
        <v>0.01</v>
      </c>
      <c r="H181" s="9">
        <v>1.11</v>
      </c>
      <c r="I181" s="9">
        <v>1.11</v>
      </c>
    </row>
    <row r="182" ht="15.75" customHeight="1">
      <c r="A182" s="7" t="s">
        <v>617</v>
      </c>
      <c r="B182" s="9" t="s">
        <v>17</v>
      </c>
      <c r="C182" s="10" t="s">
        <v>188</v>
      </c>
      <c r="D182" s="9">
        <v>9.0</v>
      </c>
      <c r="E182" s="9">
        <v>7.0</v>
      </c>
      <c r="F182" s="9">
        <v>0.01</v>
      </c>
      <c r="G182" s="9">
        <v>0.01</v>
      </c>
      <c r="H182" s="9">
        <v>1.0</v>
      </c>
      <c r="I182" s="9">
        <v>0.0</v>
      </c>
    </row>
    <row r="183" ht="15.75" customHeight="1">
      <c r="A183" s="7" t="s">
        <v>621</v>
      </c>
      <c r="B183" s="9" t="s">
        <v>17</v>
      </c>
      <c r="C183" s="10"/>
      <c r="D183" s="9">
        <v>9.0</v>
      </c>
      <c r="F183" s="9">
        <v>0.01</v>
      </c>
      <c r="G183" s="9">
        <v>0.01</v>
      </c>
      <c r="H183" s="9">
        <v>0.89</v>
      </c>
    </row>
    <row r="184" ht="15.75" customHeight="1">
      <c r="A184" s="7" t="s">
        <v>624</v>
      </c>
      <c r="B184" s="9" t="s">
        <v>17</v>
      </c>
      <c r="C184" s="10"/>
      <c r="D184" s="9">
        <v>9.0</v>
      </c>
      <c r="E184" s="9">
        <v>7.0</v>
      </c>
      <c r="F184" s="9">
        <v>0.01</v>
      </c>
      <c r="G184" s="9">
        <v>0.01</v>
      </c>
      <c r="H184" s="9">
        <v>0.78</v>
      </c>
      <c r="I184" s="9">
        <v>-0.22</v>
      </c>
    </row>
    <row r="185" ht="15.75" customHeight="1">
      <c r="A185" s="7" t="s">
        <v>628</v>
      </c>
      <c r="B185" s="9" t="s">
        <v>17</v>
      </c>
      <c r="C185" s="10"/>
      <c r="D185" s="9">
        <v>9.0</v>
      </c>
      <c r="F185" s="9">
        <v>0.01</v>
      </c>
      <c r="G185" s="9">
        <v>0.01</v>
      </c>
      <c r="H185" s="9">
        <v>0.0</v>
      </c>
    </row>
    <row r="186" ht="15.75" customHeight="1">
      <c r="A186" s="7" t="s">
        <v>629</v>
      </c>
      <c r="B186" s="9" t="s">
        <v>17</v>
      </c>
      <c r="C186" s="10" t="s">
        <v>188</v>
      </c>
      <c r="D186" s="9">
        <v>9.0</v>
      </c>
      <c r="F186" s="9">
        <v>0.01</v>
      </c>
      <c r="G186" s="9">
        <v>0.01</v>
      </c>
      <c r="H186" s="9">
        <v>0.0</v>
      </c>
    </row>
    <row r="187" ht="15.75" customHeight="1">
      <c r="A187" s="7" t="s">
        <v>630</v>
      </c>
      <c r="B187" s="9" t="s">
        <v>17</v>
      </c>
      <c r="C187" s="10" t="s">
        <v>633</v>
      </c>
      <c r="D187" s="9">
        <v>9.0</v>
      </c>
      <c r="F187" s="9">
        <v>0.01</v>
      </c>
      <c r="G187" s="9">
        <v>0.01</v>
      </c>
      <c r="H187" s="9">
        <v>1.0</v>
      </c>
    </row>
    <row r="188" ht="15.75" customHeight="1">
      <c r="A188" s="7" t="s">
        <v>634</v>
      </c>
      <c r="B188" s="9" t="s">
        <v>17</v>
      </c>
      <c r="C188" s="10" t="s">
        <v>400</v>
      </c>
      <c r="D188" s="9">
        <v>9.0</v>
      </c>
      <c r="F188" s="9">
        <v>0.01</v>
      </c>
      <c r="G188" s="9">
        <v>0.01</v>
      </c>
      <c r="H188" s="9">
        <v>0.0</v>
      </c>
    </row>
    <row r="189" ht="15.75" customHeight="1">
      <c r="A189" s="7" t="s">
        <v>637</v>
      </c>
      <c r="B189" s="9" t="s">
        <v>17</v>
      </c>
      <c r="C189" s="10"/>
      <c r="D189" s="9">
        <v>9.0</v>
      </c>
      <c r="F189" s="9">
        <v>0.01</v>
      </c>
      <c r="G189" s="9">
        <v>0.01</v>
      </c>
      <c r="H189" s="9">
        <v>0.0</v>
      </c>
    </row>
    <row r="190" ht="15.75" customHeight="1">
      <c r="A190" s="9" t="s">
        <v>639</v>
      </c>
      <c r="B190" s="9" t="s">
        <v>25</v>
      </c>
      <c r="C190" s="10" t="s">
        <v>641</v>
      </c>
      <c r="D190" s="9">
        <v>9.0</v>
      </c>
      <c r="E190" s="9">
        <v>8.0</v>
      </c>
      <c r="F190" s="9">
        <v>0.01</v>
      </c>
      <c r="G190" s="9">
        <v>0.01</v>
      </c>
      <c r="H190" s="9">
        <v>1.56</v>
      </c>
      <c r="I190" s="9">
        <v>0.56</v>
      </c>
    </row>
    <row r="191" ht="15.75" customHeight="1">
      <c r="A191" s="7" t="s">
        <v>643</v>
      </c>
      <c r="B191" s="9" t="s">
        <v>17</v>
      </c>
      <c r="C191" s="10"/>
      <c r="D191" s="9">
        <v>8.0</v>
      </c>
      <c r="E191" s="9">
        <v>7.0</v>
      </c>
      <c r="F191" s="9">
        <v>0.01</v>
      </c>
      <c r="G191" s="9">
        <v>0.01</v>
      </c>
      <c r="H191" s="9">
        <v>0.5</v>
      </c>
      <c r="I191" s="9">
        <v>0.5</v>
      </c>
    </row>
    <row r="192" ht="15.75" customHeight="1">
      <c r="A192" s="7" t="s">
        <v>645</v>
      </c>
      <c r="B192" s="9" t="s">
        <v>17</v>
      </c>
      <c r="C192" s="10" t="s">
        <v>648</v>
      </c>
      <c r="D192" s="9">
        <v>8.0</v>
      </c>
      <c r="E192" s="9">
        <v>6.0</v>
      </c>
      <c r="F192" s="9">
        <v>0.01</v>
      </c>
      <c r="G192" s="9">
        <v>0.01</v>
      </c>
      <c r="H192" s="9">
        <v>0.75</v>
      </c>
      <c r="I192" s="9">
        <v>-0.25</v>
      </c>
    </row>
    <row r="193" ht="15.75" customHeight="1">
      <c r="A193" s="7" t="s">
        <v>649</v>
      </c>
      <c r="B193" s="9" t="s">
        <v>17</v>
      </c>
      <c r="C193" s="10" t="s">
        <v>188</v>
      </c>
      <c r="D193" s="9">
        <v>8.0</v>
      </c>
      <c r="E193" s="9">
        <v>7.0</v>
      </c>
      <c r="F193" s="9">
        <v>0.01</v>
      </c>
      <c r="G193" s="9">
        <v>0.01</v>
      </c>
      <c r="H193" s="9">
        <v>1.5</v>
      </c>
      <c r="I193" s="9">
        <v>0.5</v>
      </c>
    </row>
    <row r="194" ht="15.75" customHeight="1">
      <c r="A194" s="7" t="s">
        <v>651</v>
      </c>
      <c r="B194" s="9" t="s">
        <v>44</v>
      </c>
      <c r="C194" s="10" t="s">
        <v>652</v>
      </c>
      <c r="D194" s="9">
        <v>8.0</v>
      </c>
      <c r="E194" s="9">
        <v>-15.0</v>
      </c>
      <c r="F194" s="9">
        <v>0.01</v>
      </c>
      <c r="G194" s="9">
        <v>0.01</v>
      </c>
      <c r="H194" s="9">
        <v>0.63</v>
      </c>
      <c r="I194" s="9">
        <v>-0.55</v>
      </c>
    </row>
    <row r="195" ht="15.75" customHeight="1">
      <c r="A195" s="7" t="s">
        <v>653</v>
      </c>
      <c r="B195" s="9" t="s">
        <v>17</v>
      </c>
      <c r="C195" s="10"/>
      <c r="D195" s="9">
        <v>8.0</v>
      </c>
      <c r="E195" s="9">
        <v>7.0</v>
      </c>
      <c r="F195" s="9">
        <v>0.01</v>
      </c>
      <c r="G195" s="9">
        <v>0.01</v>
      </c>
      <c r="H195" s="9">
        <v>0.25</v>
      </c>
      <c r="I195" s="9">
        <v>0.25</v>
      </c>
    </row>
    <row r="196" ht="15.75" customHeight="1">
      <c r="A196" s="7" t="s">
        <v>655</v>
      </c>
      <c r="B196" s="9" t="s">
        <v>17</v>
      </c>
      <c r="C196" s="10"/>
      <c r="D196" s="9">
        <v>8.0</v>
      </c>
      <c r="F196" s="9">
        <v>0.01</v>
      </c>
      <c r="G196" s="9">
        <v>0.01</v>
      </c>
      <c r="H196" s="9">
        <v>0.0</v>
      </c>
    </row>
    <row r="197" ht="15.75" customHeight="1">
      <c r="A197" s="7" t="s">
        <v>657</v>
      </c>
      <c r="B197" s="9" t="s">
        <v>17</v>
      </c>
      <c r="C197" s="10" t="s">
        <v>658</v>
      </c>
      <c r="D197" s="9">
        <v>8.0</v>
      </c>
      <c r="F197" s="9">
        <v>0.01</v>
      </c>
      <c r="G197" s="9">
        <v>0.01</v>
      </c>
      <c r="H197" s="9">
        <v>0.0</v>
      </c>
    </row>
    <row r="198" ht="15.75" customHeight="1">
      <c r="A198" s="7" t="s">
        <v>659</v>
      </c>
      <c r="B198" s="9" t="s">
        <v>17</v>
      </c>
      <c r="C198" s="10"/>
      <c r="D198" s="9">
        <v>8.0</v>
      </c>
      <c r="E198" s="9">
        <v>0.0</v>
      </c>
      <c r="F198" s="9">
        <v>0.01</v>
      </c>
      <c r="G198" s="9">
        <v>0.01</v>
      </c>
      <c r="H198" s="9">
        <v>1.75</v>
      </c>
      <c r="I198" s="9">
        <v>1.75</v>
      </c>
    </row>
    <row r="199" ht="15.75" customHeight="1">
      <c r="A199" s="9" t="s">
        <v>660</v>
      </c>
      <c r="B199" s="9" t="s">
        <v>124</v>
      </c>
      <c r="C199" s="10"/>
      <c r="D199" s="9">
        <v>8.0</v>
      </c>
      <c r="F199" s="9">
        <v>0.01</v>
      </c>
      <c r="G199" s="9">
        <v>0.01</v>
      </c>
      <c r="H199" s="9">
        <v>0.0</v>
      </c>
    </row>
    <row r="200" ht="15.75" customHeight="1">
      <c r="A200" s="7" t="s">
        <v>661</v>
      </c>
      <c r="B200" s="9" t="s">
        <v>44</v>
      </c>
      <c r="C200" s="10" t="s">
        <v>662</v>
      </c>
      <c r="D200" s="9">
        <v>8.0</v>
      </c>
      <c r="E200" s="9">
        <v>-2.0</v>
      </c>
      <c r="F200" s="9">
        <v>0.01</v>
      </c>
      <c r="G200" s="9">
        <v>0.01</v>
      </c>
      <c r="H200" s="9">
        <v>2.5</v>
      </c>
      <c r="I200" s="9">
        <v>0.3</v>
      </c>
    </row>
    <row r="201" ht="15.75" customHeight="1">
      <c r="A201" s="7" t="s">
        <v>664</v>
      </c>
      <c r="B201" s="9" t="s">
        <v>17</v>
      </c>
      <c r="C201" s="10" t="s">
        <v>666</v>
      </c>
      <c r="D201" s="9">
        <v>8.0</v>
      </c>
      <c r="F201" s="9">
        <v>0.01</v>
      </c>
      <c r="G201" s="9">
        <v>0.01</v>
      </c>
      <c r="H201" s="9">
        <v>0.38</v>
      </c>
    </row>
    <row r="202" ht="15.75" customHeight="1">
      <c r="A202" s="7" t="s">
        <v>667</v>
      </c>
      <c r="B202" s="9" t="s">
        <v>17</v>
      </c>
      <c r="C202" s="10"/>
      <c r="D202" s="9">
        <v>8.0</v>
      </c>
      <c r="F202" s="9">
        <v>0.01</v>
      </c>
      <c r="G202" s="9">
        <v>0.01</v>
      </c>
      <c r="H202" s="9">
        <v>0.63</v>
      </c>
    </row>
    <row r="203" ht="15.75" customHeight="1">
      <c r="A203" s="7" t="s">
        <v>668</v>
      </c>
      <c r="B203" s="9" t="s">
        <v>17</v>
      </c>
      <c r="C203" s="10"/>
      <c r="D203" s="9">
        <v>8.0</v>
      </c>
      <c r="F203" s="9">
        <v>0.01</v>
      </c>
      <c r="G203" s="9">
        <v>0.01</v>
      </c>
      <c r="H203" s="9">
        <v>1.75</v>
      </c>
    </row>
    <row r="204" ht="15.75" customHeight="1">
      <c r="A204" s="7" t="s">
        <v>671</v>
      </c>
      <c r="B204" s="9" t="s">
        <v>44</v>
      </c>
      <c r="C204" s="10" t="s">
        <v>672</v>
      </c>
      <c r="D204" s="9">
        <v>8.0</v>
      </c>
      <c r="F204" s="9">
        <v>0.01</v>
      </c>
      <c r="G204" s="9">
        <v>0.01</v>
      </c>
      <c r="H204" s="9">
        <v>0.0</v>
      </c>
    </row>
    <row r="205" ht="15.75" customHeight="1">
      <c r="A205" s="7" t="s">
        <v>673</v>
      </c>
      <c r="B205" s="9" t="s">
        <v>17</v>
      </c>
      <c r="C205" s="10" t="s">
        <v>675</v>
      </c>
      <c r="D205" s="9">
        <v>8.0</v>
      </c>
      <c r="F205" s="9">
        <v>0.01</v>
      </c>
      <c r="G205" s="9">
        <v>0.01</v>
      </c>
      <c r="H205" s="9">
        <v>0.13</v>
      </c>
    </row>
    <row r="206" ht="15.75" customHeight="1">
      <c r="A206" s="7" t="s">
        <v>676</v>
      </c>
      <c r="B206" s="9" t="s">
        <v>17</v>
      </c>
      <c r="C206" s="10"/>
      <c r="D206" s="9">
        <v>8.0</v>
      </c>
      <c r="E206" s="9">
        <v>7.0</v>
      </c>
      <c r="F206" s="9">
        <v>0.01</v>
      </c>
      <c r="G206" s="9">
        <v>0.01</v>
      </c>
      <c r="H206" s="9">
        <v>0.0</v>
      </c>
      <c r="I206" s="9">
        <v>0.0</v>
      </c>
    </row>
    <row r="207" ht="15.75" customHeight="1">
      <c r="A207" s="7" t="s">
        <v>677</v>
      </c>
      <c r="B207" s="9" t="s">
        <v>17</v>
      </c>
      <c r="C207" s="10" t="s">
        <v>188</v>
      </c>
      <c r="D207" s="9">
        <v>8.0</v>
      </c>
      <c r="F207" s="9">
        <v>0.01</v>
      </c>
      <c r="G207" s="9">
        <v>0.01</v>
      </c>
      <c r="H207" s="9">
        <v>0.0</v>
      </c>
    </row>
    <row r="208" ht="15.75" customHeight="1">
      <c r="A208" s="7" t="s">
        <v>682</v>
      </c>
      <c r="B208" s="9" t="s">
        <v>17</v>
      </c>
      <c r="C208" s="10" t="s">
        <v>685</v>
      </c>
      <c r="D208" s="9">
        <v>8.0</v>
      </c>
      <c r="E208" s="9">
        <v>6.0</v>
      </c>
      <c r="F208" s="9">
        <v>0.01</v>
      </c>
      <c r="G208" s="9">
        <v>0.01</v>
      </c>
      <c r="H208" s="9">
        <v>0.0</v>
      </c>
      <c r="I208" s="9">
        <v>-0.5</v>
      </c>
    </row>
    <row r="209" ht="15.75" customHeight="1">
      <c r="A209" s="7" t="s">
        <v>686</v>
      </c>
      <c r="B209" s="9" t="s">
        <v>25</v>
      </c>
      <c r="C209" s="10"/>
      <c r="D209" s="9">
        <v>8.0</v>
      </c>
      <c r="F209" s="9">
        <v>0.01</v>
      </c>
      <c r="G209" s="9">
        <v>0.01</v>
      </c>
      <c r="H209" s="9">
        <v>0.0</v>
      </c>
    </row>
    <row r="210" ht="15.75" customHeight="1">
      <c r="A210" s="7" t="s">
        <v>690</v>
      </c>
      <c r="B210" s="9" t="s">
        <v>17</v>
      </c>
      <c r="C210" s="10" t="s">
        <v>691</v>
      </c>
      <c r="D210" s="9">
        <v>8.0</v>
      </c>
      <c r="F210" s="9">
        <v>0.01</v>
      </c>
      <c r="G210" s="9">
        <v>0.01</v>
      </c>
      <c r="H210" s="9">
        <v>0.38</v>
      </c>
    </row>
    <row r="211" ht="15.75" customHeight="1">
      <c r="A211" s="7" t="s">
        <v>692</v>
      </c>
      <c r="B211" s="9" t="s">
        <v>17</v>
      </c>
      <c r="C211" s="10" t="s">
        <v>696</v>
      </c>
      <c r="D211" s="9">
        <v>7.0</v>
      </c>
      <c r="F211" s="9">
        <v>0.01</v>
      </c>
      <c r="G211" s="9">
        <v>0.01</v>
      </c>
      <c r="H211" s="9">
        <v>2.14</v>
      </c>
    </row>
    <row r="212" ht="15.75" customHeight="1">
      <c r="A212" s="7" t="s">
        <v>697</v>
      </c>
      <c r="B212" s="9" t="s">
        <v>17</v>
      </c>
      <c r="C212" s="10"/>
      <c r="D212" s="9">
        <v>7.0</v>
      </c>
      <c r="F212" s="9">
        <v>0.01</v>
      </c>
      <c r="G212" s="9">
        <v>0.01</v>
      </c>
      <c r="H212" s="9">
        <v>1.43</v>
      </c>
    </row>
    <row r="213" ht="15.75" customHeight="1">
      <c r="A213" s="7" t="s">
        <v>698</v>
      </c>
      <c r="B213" s="9" t="s">
        <v>44</v>
      </c>
      <c r="C213" s="10" t="s">
        <v>701</v>
      </c>
      <c r="D213" s="9">
        <v>7.0</v>
      </c>
      <c r="E213" s="9">
        <v>-12.0</v>
      </c>
      <c r="F213" s="9">
        <v>0.01</v>
      </c>
      <c r="G213" s="9">
        <v>0.01</v>
      </c>
      <c r="H213" s="9">
        <v>1.14</v>
      </c>
      <c r="I213" s="9">
        <v>0.2</v>
      </c>
    </row>
    <row r="214" ht="15.75" customHeight="1">
      <c r="A214" s="7" t="s">
        <v>703</v>
      </c>
      <c r="B214" s="9" t="s">
        <v>17</v>
      </c>
      <c r="C214" s="10" t="s">
        <v>704</v>
      </c>
      <c r="D214" s="9">
        <v>7.0</v>
      </c>
      <c r="E214" s="9">
        <v>6.0</v>
      </c>
      <c r="F214" s="9">
        <v>0.01</v>
      </c>
      <c r="G214" s="9">
        <v>0.01</v>
      </c>
      <c r="H214" s="9">
        <v>1.14</v>
      </c>
      <c r="I214" s="9">
        <v>-0.86</v>
      </c>
    </row>
    <row r="215" ht="15.75" customHeight="1">
      <c r="A215" s="7" t="s">
        <v>705</v>
      </c>
      <c r="B215" s="9" t="s">
        <v>17</v>
      </c>
      <c r="C215" s="10" t="s">
        <v>709</v>
      </c>
      <c r="D215" s="9">
        <v>7.0</v>
      </c>
      <c r="E215" s="9">
        <v>5.0</v>
      </c>
      <c r="F215" s="9">
        <v>0.01</v>
      </c>
      <c r="G215" s="9">
        <v>0.01</v>
      </c>
      <c r="H215" s="9">
        <v>1.43</v>
      </c>
      <c r="I215" s="9">
        <v>0.43</v>
      </c>
    </row>
    <row r="216" ht="15.75" customHeight="1">
      <c r="A216" s="7" t="s">
        <v>710</v>
      </c>
      <c r="B216" s="9" t="s">
        <v>44</v>
      </c>
      <c r="C216" s="9" t="s">
        <v>711</v>
      </c>
      <c r="D216" s="9">
        <v>7.0</v>
      </c>
      <c r="F216" s="9">
        <v>0.01</v>
      </c>
      <c r="G216" s="9">
        <v>0.01</v>
      </c>
      <c r="H216" s="9">
        <v>1.0</v>
      </c>
    </row>
    <row r="217" ht="15.75" customHeight="1">
      <c r="A217" s="9" t="s">
        <v>712</v>
      </c>
      <c r="B217" s="9" t="s">
        <v>17</v>
      </c>
      <c r="C217" s="9" t="s">
        <v>482</v>
      </c>
      <c r="D217" s="9">
        <v>7.0</v>
      </c>
      <c r="F217" s="9">
        <v>0.01</v>
      </c>
      <c r="G217" s="9">
        <v>0.01</v>
      </c>
      <c r="H217" s="9">
        <v>0.14</v>
      </c>
    </row>
    <row r="218" ht="15.75" customHeight="1">
      <c r="A218" s="7" t="s">
        <v>714</v>
      </c>
      <c r="B218" s="9" t="s">
        <v>17</v>
      </c>
      <c r="C218" s="9" t="s">
        <v>716</v>
      </c>
      <c r="D218" s="9">
        <v>7.0</v>
      </c>
      <c r="F218" s="9">
        <v>0.01</v>
      </c>
      <c r="G218" s="9">
        <v>0.01</v>
      </c>
      <c r="H218" s="9">
        <v>1.0</v>
      </c>
    </row>
    <row r="219" ht="15.75" customHeight="1">
      <c r="A219" s="7" t="s">
        <v>717</v>
      </c>
      <c r="B219" s="9" t="s">
        <v>17</v>
      </c>
      <c r="C219" s="9" t="s">
        <v>720</v>
      </c>
      <c r="D219" s="9">
        <v>7.0</v>
      </c>
      <c r="F219" s="9">
        <v>0.01</v>
      </c>
      <c r="G219" s="9">
        <v>0.01</v>
      </c>
      <c r="H219" s="9">
        <v>0.29</v>
      </c>
    </row>
    <row r="220" ht="15.75" customHeight="1">
      <c r="A220" s="7" t="s">
        <v>722</v>
      </c>
      <c r="B220" s="9" t="s">
        <v>17</v>
      </c>
      <c r="C220" s="9" t="s">
        <v>723</v>
      </c>
      <c r="D220" s="9">
        <v>7.0</v>
      </c>
      <c r="E220" s="9">
        <v>3.0</v>
      </c>
      <c r="F220" s="9">
        <v>0.01</v>
      </c>
      <c r="G220" s="9">
        <v>0.01</v>
      </c>
      <c r="H220" s="9">
        <v>1.0</v>
      </c>
      <c r="I220" s="9">
        <v>-0.25</v>
      </c>
    </row>
    <row r="221" ht="15.75" customHeight="1">
      <c r="A221" s="7" t="s">
        <v>724</v>
      </c>
      <c r="B221" s="9" t="s">
        <v>17</v>
      </c>
      <c r="C221" s="9" t="s">
        <v>725</v>
      </c>
      <c r="D221" s="9">
        <v>7.0</v>
      </c>
      <c r="F221" s="9">
        <v>0.01</v>
      </c>
      <c r="G221" s="9">
        <v>0.01</v>
      </c>
      <c r="H221" s="9">
        <v>0.0</v>
      </c>
    </row>
    <row r="222" ht="15.75" customHeight="1">
      <c r="A222" s="7" t="s">
        <v>726</v>
      </c>
      <c r="B222" s="9" t="s">
        <v>17</v>
      </c>
      <c r="C222" s="9" t="s">
        <v>727</v>
      </c>
      <c r="D222" s="9">
        <v>7.0</v>
      </c>
      <c r="E222" s="9">
        <v>-1.0</v>
      </c>
      <c r="F222" s="9">
        <v>0.01</v>
      </c>
      <c r="G222" s="9">
        <v>0.01</v>
      </c>
      <c r="H222" s="9">
        <v>0.86</v>
      </c>
      <c r="I222" s="9">
        <v>-0.64</v>
      </c>
    </row>
    <row r="223" ht="15.75" customHeight="1">
      <c r="A223" s="7" t="s">
        <v>728</v>
      </c>
      <c r="B223" s="9" t="s">
        <v>17</v>
      </c>
      <c r="D223" s="9">
        <v>7.0</v>
      </c>
      <c r="E223" s="9">
        <v>0.0</v>
      </c>
      <c r="F223" s="9">
        <v>0.01</v>
      </c>
      <c r="G223" s="9">
        <v>0.01</v>
      </c>
      <c r="H223" s="9">
        <v>0.29</v>
      </c>
      <c r="I223" s="9">
        <v>-0.86</v>
      </c>
    </row>
    <row r="224" ht="15.75" customHeight="1">
      <c r="A224" s="7" t="s">
        <v>730</v>
      </c>
      <c r="B224" s="9" t="s">
        <v>17</v>
      </c>
      <c r="C224" s="9" t="s">
        <v>188</v>
      </c>
      <c r="D224" s="9">
        <v>7.0</v>
      </c>
      <c r="F224" s="9">
        <v>0.01</v>
      </c>
      <c r="G224" s="9">
        <v>0.01</v>
      </c>
      <c r="H224" s="9">
        <v>1.29</v>
      </c>
    </row>
    <row r="225" ht="15.75" customHeight="1">
      <c r="A225" s="7" t="s">
        <v>731</v>
      </c>
      <c r="B225" s="9" t="s">
        <v>17</v>
      </c>
      <c r="C225" s="9" t="s">
        <v>732</v>
      </c>
      <c r="D225" s="9">
        <v>7.0</v>
      </c>
      <c r="F225" s="9">
        <v>0.01</v>
      </c>
      <c r="G225" s="9">
        <v>0.01</v>
      </c>
      <c r="H225" s="9">
        <v>1.14</v>
      </c>
    </row>
    <row r="226" ht="15.75" customHeight="1">
      <c r="A226" s="7" t="s">
        <v>734</v>
      </c>
      <c r="B226" s="9" t="s">
        <v>17</v>
      </c>
      <c r="D226" s="9">
        <v>7.0</v>
      </c>
      <c r="F226" s="9">
        <v>0.01</v>
      </c>
      <c r="G226" s="9">
        <v>0.01</v>
      </c>
      <c r="H226" s="9">
        <v>0.71</v>
      </c>
    </row>
    <row r="227" ht="15.75" customHeight="1">
      <c r="A227" s="7" t="s">
        <v>737</v>
      </c>
      <c r="B227" s="9" t="s">
        <v>17</v>
      </c>
      <c r="C227" s="9" t="s">
        <v>740</v>
      </c>
      <c r="D227" s="9">
        <v>7.0</v>
      </c>
      <c r="F227" s="9">
        <v>0.01</v>
      </c>
      <c r="G227" s="9">
        <v>0.01</v>
      </c>
      <c r="H227" s="9">
        <v>0.0</v>
      </c>
    </row>
    <row r="228" ht="15.75" customHeight="1">
      <c r="A228" s="7" t="s">
        <v>742</v>
      </c>
      <c r="B228" s="9" t="s">
        <v>17</v>
      </c>
      <c r="D228" s="9">
        <v>7.0</v>
      </c>
      <c r="F228" s="9">
        <v>0.01</v>
      </c>
      <c r="G228" s="9">
        <v>0.01</v>
      </c>
      <c r="H228" s="9">
        <v>0.29</v>
      </c>
    </row>
    <row r="229" ht="15.75" customHeight="1">
      <c r="A229" s="7" t="s">
        <v>744</v>
      </c>
      <c r="B229" s="9" t="s">
        <v>17</v>
      </c>
      <c r="C229" s="9" t="s">
        <v>188</v>
      </c>
      <c r="D229" s="9">
        <v>7.0</v>
      </c>
      <c r="E229" s="9">
        <v>6.0</v>
      </c>
      <c r="F229" s="9">
        <v>0.01</v>
      </c>
      <c r="G229" s="9">
        <v>0.01</v>
      </c>
      <c r="H229" s="9">
        <v>0.86</v>
      </c>
      <c r="I229" s="9">
        <v>-1.14</v>
      </c>
    </row>
    <row r="230" ht="15.75" customHeight="1">
      <c r="A230" s="7" t="s">
        <v>746</v>
      </c>
      <c r="B230" s="9" t="s">
        <v>17</v>
      </c>
      <c r="C230" s="9" t="s">
        <v>340</v>
      </c>
      <c r="D230" s="9">
        <v>7.0</v>
      </c>
      <c r="F230" s="9">
        <v>0.01</v>
      </c>
      <c r="G230" s="9">
        <v>0.01</v>
      </c>
      <c r="H230" s="9">
        <v>1.0</v>
      </c>
    </row>
    <row r="231" ht="15.75" customHeight="1">
      <c r="A231" s="7" t="s">
        <v>749</v>
      </c>
      <c r="B231" s="9" t="s">
        <v>17</v>
      </c>
      <c r="C231" s="9" t="s">
        <v>751</v>
      </c>
      <c r="D231" s="9">
        <v>7.0</v>
      </c>
      <c r="F231" s="9">
        <v>0.01</v>
      </c>
      <c r="G231" s="9">
        <v>0.01</v>
      </c>
      <c r="H231" s="9">
        <v>1.57</v>
      </c>
    </row>
    <row r="232" ht="15.75" customHeight="1">
      <c r="A232" s="9" t="s">
        <v>752</v>
      </c>
      <c r="B232" s="9" t="s">
        <v>17</v>
      </c>
      <c r="D232" s="9">
        <v>6.0</v>
      </c>
      <c r="F232" s="9">
        <v>0.01</v>
      </c>
      <c r="G232" s="9">
        <v>0.01</v>
      </c>
      <c r="H232" s="9">
        <v>0.5</v>
      </c>
    </row>
    <row r="233" ht="15.75" customHeight="1">
      <c r="A233" s="7" t="s">
        <v>753</v>
      </c>
      <c r="B233" s="9" t="s">
        <v>17</v>
      </c>
      <c r="D233" s="9">
        <v>6.0</v>
      </c>
      <c r="F233" s="9">
        <v>0.01</v>
      </c>
      <c r="G233" s="9">
        <v>0.01</v>
      </c>
      <c r="H233" s="9">
        <v>1.83</v>
      </c>
    </row>
    <row r="234" ht="15.75" customHeight="1">
      <c r="A234" s="7" t="s">
        <v>756</v>
      </c>
      <c r="B234" s="9" t="s">
        <v>44</v>
      </c>
      <c r="C234" s="9" t="s">
        <v>757</v>
      </c>
      <c r="D234" s="9">
        <v>6.0</v>
      </c>
      <c r="E234" s="9">
        <v>5.0</v>
      </c>
      <c r="F234" s="9">
        <v>0.01</v>
      </c>
      <c r="G234" s="9">
        <v>0.01</v>
      </c>
      <c r="H234" s="9">
        <v>1.83</v>
      </c>
      <c r="I234" s="9">
        <v>0.83</v>
      </c>
    </row>
    <row r="235" ht="15.75" customHeight="1">
      <c r="A235" s="7" t="s">
        <v>758</v>
      </c>
      <c r="B235" s="9" t="s">
        <v>17</v>
      </c>
      <c r="C235" s="9" t="s">
        <v>188</v>
      </c>
      <c r="D235" s="9">
        <v>6.0</v>
      </c>
      <c r="E235" s="9">
        <v>5.0</v>
      </c>
      <c r="F235" s="9">
        <v>0.01</v>
      </c>
      <c r="G235" s="9">
        <v>0.01</v>
      </c>
      <c r="H235" s="9">
        <v>1.83</v>
      </c>
      <c r="I235" s="9">
        <v>-0.17</v>
      </c>
    </row>
    <row r="236" ht="15.75" customHeight="1">
      <c r="A236" s="7" t="s">
        <v>760</v>
      </c>
      <c r="B236" s="9" t="s">
        <v>17</v>
      </c>
      <c r="C236" s="9" t="s">
        <v>762</v>
      </c>
      <c r="D236" s="9">
        <v>6.0</v>
      </c>
      <c r="F236" s="9">
        <v>0.01</v>
      </c>
      <c r="G236" s="9">
        <v>0.01</v>
      </c>
      <c r="H236" s="9">
        <v>1.67</v>
      </c>
    </row>
    <row r="237" ht="15.75" customHeight="1">
      <c r="A237" s="7" t="s">
        <v>763</v>
      </c>
      <c r="B237" s="9" t="s">
        <v>17</v>
      </c>
      <c r="C237" s="9" t="s">
        <v>482</v>
      </c>
      <c r="D237" s="9">
        <v>6.0</v>
      </c>
      <c r="F237" s="9">
        <v>0.01</v>
      </c>
      <c r="G237" s="9">
        <v>0.01</v>
      </c>
      <c r="H237" s="9">
        <v>1.17</v>
      </c>
    </row>
    <row r="238" ht="15.75" customHeight="1">
      <c r="A238" s="7" t="s">
        <v>767</v>
      </c>
      <c r="B238" s="9" t="s">
        <v>25</v>
      </c>
      <c r="C238" s="9" t="s">
        <v>455</v>
      </c>
      <c r="D238" s="9">
        <v>6.0</v>
      </c>
      <c r="F238" s="9">
        <v>0.01</v>
      </c>
      <c r="G238" s="9">
        <v>0.01</v>
      </c>
      <c r="H238" s="9">
        <v>0.5</v>
      </c>
    </row>
    <row r="239" ht="15.75" customHeight="1">
      <c r="A239" s="7" t="s">
        <v>771</v>
      </c>
      <c r="B239" s="9" t="s">
        <v>17</v>
      </c>
      <c r="D239" s="9">
        <v>6.0</v>
      </c>
      <c r="F239" s="9">
        <v>0.01</v>
      </c>
      <c r="G239" s="9">
        <v>0.01</v>
      </c>
      <c r="H239" s="9">
        <v>0.33</v>
      </c>
    </row>
    <row r="240" ht="15.75" customHeight="1">
      <c r="A240" s="7" t="s">
        <v>775</v>
      </c>
      <c r="B240" s="9" t="s">
        <v>17</v>
      </c>
      <c r="D240" s="9">
        <v>6.0</v>
      </c>
      <c r="F240" s="9">
        <v>0.01</v>
      </c>
      <c r="G240" s="9">
        <v>0.01</v>
      </c>
      <c r="H240" s="9">
        <v>1.33</v>
      </c>
    </row>
    <row r="241" ht="15.75" customHeight="1">
      <c r="A241" s="7" t="s">
        <v>777</v>
      </c>
      <c r="B241" s="9" t="s">
        <v>17</v>
      </c>
      <c r="D241" s="9">
        <v>6.0</v>
      </c>
      <c r="F241" s="9">
        <v>0.01</v>
      </c>
      <c r="G241" s="9">
        <v>0.01</v>
      </c>
      <c r="H241" s="9">
        <v>0.5</v>
      </c>
    </row>
    <row r="242" ht="15.75" customHeight="1">
      <c r="A242" s="7" t="s">
        <v>780</v>
      </c>
      <c r="B242" s="9" t="s">
        <v>39</v>
      </c>
      <c r="D242" s="9">
        <v>6.0</v>
      </c>
      <c r="F242" s="9">
        <v>0.01</v>
      </c>
      <c r="G242" s="9">
        <v>0.01</v>
      </c>
      <c r="H242" s="9">
        <v>0.0</v>
      </c>
    </row>
    <row r="243" ht="15.75" customHeight="1">
      <c r="A243" s="7" t="s">
        <v>783</v>
      </c>
      <c r="B243" s="9" t="s">
        <v>17</v>
      </c>
      <c r="C243" s="9" t="s">
        <v>785</v>
      </c>
      <c r="D243" s="9">
        <v>6.0</v>
      </c>
      <c r="F243" s="9">
        <v>0.01</v>
      </c>
      <c r="G243" s="9">
        <v>0.01</v>
      </c>
      <c r="H243" s="9">
        <v>0.0</v>
      </c>
    </row>
    <row r="244" ht="15.75" customHeight="1">
      <c r="A244" s="7" t="s">
        <v>786</v>
      </c>
      <c r="B244" s="9" t="s">
        <v>25</v>
      </c>
      <c r="D244" s="9">
        <v>6.0</v>
      </c>
      <c r="F244" s="9">
        <v>0.01</v>
      </c>
      <c r="G244" s="9">
        <v>0.01</v>
      </c>
      <c r="H244" s="9">
        <v>1.17</v>
      </c>
    </row>
    <row r="245" ht="15.75" customHeight="1">
      <c r="A245" s="7" t="s">
        <v>789</v>
      </c>
      <c r="B245" s="9" t="s">
        <v>17</v>
      </c>
      <c r="C245" s="9" t="s">
        <v>188</v>
      </c>
      <c r="D245" s="9">
        <v>6.0</v>
      </c>
      <c r="E245" s="9">
        <v>5.0</v>
      </c>
      <c r="F245" s="9">
        <v>0.01</v>
      </c>
      <c r="G245" s="9">
        <v>0.01</v>
      </c>
      <c r="H245" s="9">
        <v>0.17</v>
      </c>
      <c r="I245" s="9">
        <v>-1.83</v>
      </c>
    </row>
    <row r="246" ht="15.75" customHeight="1">
      <c r="A246" s="7" t="s">
        <v>793</v>
      </c>
      <c r="B246" s="9" t="s">
        <v>17</v>
      </c>
      <c r="C246" s="9" t="s">
        <v>795</v>
      </c>
      <c r="D246" s="9">
        <v>6.0</v>
      </c>
      <c r="E246" s="9">
        <v>-4.0</v>
      </c>
      <c r="F246" s="9">
        <v>0.01</v>
      </c>
      <c r="G246" s="9">
        <v>0.01</v>
      </c>
      <c r="H246" s="9">
        <v>0.5</v>
      </c>
      <c r="I246" s="9">
        <v>-0.2</v>
      </c>
    </row>
    <row r="247" ht="15.75" customHeight="1">
      <c r="A247" s="7" t="s">
        <v>796</v>
      </c>
      <c r="B247" s="9" t="s">
        <v>17</v>
      </c>
      <c r="C247" s="9" t="s">
        <v>799</v>
      </c>
      <c r="D247" s="9">
        <v>6.0</v>
      </c>
      <c r="E247" s="9">
        <v>5.0</v>
      </c>
      <c r="F247" s="9">
        <v>0.01</v>
      </c>
      <c r="G247" s="9">
        <v>0.01</v>
      </c>
      <c r="H247" s="9">
        <v>0.67</v>
      </c>
      <c r="I247" s="9">
        <v>0.67</v>
      </c>
    </row>
    <row r="248" ht="15.75" customHeight="1">
      <c r="A248" s="7" t="s">
        <v>800</v>
      </c>
      <c r="B248" s="9" t="s">
        <v>17</v>
      </c>
      <c r="C248" s="9" t="s">
        <v>802</v>
      </c>
      <c r="D248" s="9">
        <v>6.0</v>
      </c>
      <c r="F248" s="9">
        <v>0.01</v>
      </c>
      <c r="G248" s="9">
        <v>0.01</v>
      </c>
      <c r="H248" s="9">
        <v>0.0</v>
      </c>
    </row>
    <row r="249" ht="15.75" customHeight="1">
      <c r="A249" s="7" t="s">
        <v>805</v>
      </c>
      <c r="B249" s="9" t="s">
        <v>17</v>
      </c>
      <c r="C249" s="9" t="s">
        <v>720</v>
      </c>
      <c r="D249" s="9">
        <v>6.0</v>
      </c>
      <c r="E249" s="9">
        <v>-1.0</v>
      </c>
      <c r="F249" s="9">
        <v>0.01</v>
      </c>
      <c r="G249" s="9">
        <v>0.01</v>
      </c>
      <c r="H249" s="9">
        <v>0.17</v>
      </c>
      <c r="I249" s="9">
        <v>-1.12</v>
      </c>
    </row>
    <row r="250" ht="15.75" customHeight="1">
      <c r="A250" s="7" t="s">
        <v>806</v>
      </c>
      <c r="B250" s="9" t="s">
        <v>17</v>
      </c>
      <c r="C250" s="9" t="s">
        <v>807</v>
      </c>
      <c r="D250" s="9">
        <v>6.0</v>
      </c>
      <c r="E250" s="9">
        <v>-4.0</v>
      </c>
      <c r="F250" s="9">
        <v>0.01</v>
      </c>
      <c r="G250" s="9">
        <v>0.01</v>
      </c>
      <c r="H250" s="9">
        <v>0.83</v>
      </c>
      <c r="I250" s="9">
        <v>0.03</v>
      </c>
    </row>
    <row r="251" ht="15.75" customHeight="1">
      <c r="A251" s="7" t="s">
        <v>808</v>
      </c>
      <c r="B251" s="9" t="s">
        <v>17</v>
      </c>
      <c r="C251" s="9" t="s">
        <v>812</v>
      </c>
      <c r="D251" s="9">
        <v>5.0</v>
      </c>
      <c r="E251" s="9">
        <v>-1.0</v>
      </c>
      <c r="F251" s="9">
        <v>0.0</v>
      </c>
      <c r="G251" s="9">
        <v>0.01</v>
      </c>
      <c r="H251" s="9">
        <v>1.2</v>
      </c>
      <c r="I251" s="9">
        <v>0.87</v>
      </c>
    </row>
    <row r="252" ht="15.75" customHeight="1">
      <c r="A252" s="9" t="s">
        <v>813</v>
      </c>
      <c r="B252" s="9" t="s">
        <v>44</v>
      </c>
      <c r="C252" s="9" t="s">
        <v>814</v>
      </c>
      <c r="D252" s="9">
        <v>5.0</v>
      </c>
      <c r="E252" s="9">
        <v>4.0</v>
      </c>
      <c r="F252" s="9">
        <v>0.0</v>
      </c>
      <c r="G252" s="9">
        <v>0.01</v>
      </c>
      <c r="H252" s="9">
        <v>1.8</v>
      </c>
      <c r="I252" s="9">
        <v>0.8</v>
      </c>
    </row>
    <row r="253" ht="15.75" customHeight="1">
      <c r="A253" s="7" t="s">
        <v>815</v>
      </c>
      <c r="B253" s="9" t="s">
        <v>44</v>
      </c>
      <c r="C253" s="9" t="s">
        <v>816</v>
      </c>
      <c r="D253" s="9">
        <v>5.0</v>
      </c>
      <c r="F253" s="9">
        <v>0.0</v>
      </c>
      <c r="G253" s="9">
        <v>0.0</v>
      </c>
      <c r="H253" s="9">
        <v>1.4</v>
      </c>
    </row>
    <row r="254" ht="15.75" customHeight="1">
      <c r="A254" s="7" t="s">
        <v>817</v>
      </c>
      <c r="B254" s="9" t="s">
        <v>44</v>
      </c>
      <c r="C254" s="9" t="s">
        <v>818</v>
      </c>
      <c r="D254" s="9">
        <v>5.0</v>
      </c>
      <c r="F254" s="9">
        <v>0.0</v>
      </c>
      <c r="G254" s="9">
        <v>0.0</v>
      </c>
      <c r="H254" s="9">
        <v>1.6</v>
      </c>
    </row>
    <row r="255" ht="15.75" customHeight="1">
      <c r="A255" s="7" t="s">
        <v>819</v>
      </c>
      <c r="B255" s="9" t="s">
        <v>17</v>
      </c>
      <c r="D255" s="9">
        <v>5.0</v>
      </c>
      <c r="F255" s="9">
        <v>0.0</v>
      </c>
      <c r="G255" s="9">
        <v>0.01</v>
      </c>
      <c r="H255" s="9">
        <v>1.0</v>
      </c>
    </row>
    <row r="256" ht="15.75" customHeight="1">
      <c r="A256" s="7" t="s">
        <v>823</v>
      </c>
      <c r="B256" s="9" t="s">
        <v>25</v>
      </c>
      <c r="D256" s="9">
        <v>5.0</v>
      </c>
      <c r="E256" s="9">
        <v>4.0</v>
      </c>
      <c r="F256" s="9">
        <v>0.0</v>
      </c>
      <c r="G256" s="9">
        <v>0.0</v>
      </c>
      <c r="H256" s="9">
        <v>1.0</v>
      </c>
      <c r="I256" s="9">
        <v>1.0</v>
      </c>
    </row>
    <row r="257" ht="15.75" customHeight="1">
      <c r="A257" s="7" t="s">
        <v>826</v>
      </c>
      <c r="B257" s="9" t="s">
        <v>17</v>
      </c>
      <c r="D257" s="9">
        <v>5.0</v>
      </c>
      <c r="E257" s="9">
        <v>-3.0</v>
      </c>
      <c r="F257" s="9">
        <v>0.0</v>
      </c>
      <c r="G257" s="9">
        <v>0.0</v>
      </c>
      <c r="H257" s="9">
        <v>0.4</v>
      </c>
      <c r="I257" s="9">
        <v>-0.6</v>
      </c>
    </row>
    <row r="258" ht="15.75" customHeight="1">
      <c r="A258" s="7" t="s">
        <v>828</v>
      </c>
      <c r="B258" s="9" t="s">
        <v>17</v>
      </c>
      <c r="C258" s="9" t="s">
        <v>720</v>
      </c>
      <c r="D258" s="9">
        <v>5.0</v>
      </c>
      <c r="F258" s="9">
        <v>0.0</v>
      </c>
      <c r="G258" s="9">
        <v>0.0</v>
      </c>
      <c r="H258" s="9">
        <v>0.0</v>
      </c>
    </row>
    <row r="259" ht="15.75" customHeight="1">
      <c r="A259" s="7" t="s">
        <v>831</v>
      </c>
      <c r="B259" s="9" t="s">
        <v>17</v>
      </c>
      <c r="C259" s="9" t="s">
        <v>188</v>
      </c>
      <c r="D259" s="9">
        <v>5.0</v>
      </c>
      <c r="E259" s="9">
        <v>4.0</v>
      </c>
      <c r="F259" s="9">
        <v>0.0</v>
      </c>
      <c r="G259" s="9">
        <v>0.0</v>
      </c>
      <c r="H259" s="9">
        <v>0.8</v>
      </c>
      <c r="I259" s="9">
        <v>-1.2</v>
      </c>
    </row>
    <row r="260" ht="15.75" customHeight="1">
      <c r="A260" s="7" t="s">
        <v>832</v>
      </c>
      <c r="B260" s="9" t="s">
        <v>17</v>
      </c>
      <c r="C260" s="9" t="s">
        <v>833</v>
      </c>
      <c r="D260" s="9">
        <v>5.0</v>
      </c>
      <c r="E260" s="9">
        <v>2.0</v>
      </c>
      <c r="F260" s="9">
        <v>0.0</v>
      </c>
      <c r="G260" s="9">
        <v>0.0</v>
      </c>
      <c r="H260" s="9">
        <v>0.8</v>
      </c>
      <c r="I260" s="9">
        <v>0.13</v>
      </c>
    </row>
    <row r="261" ht="15.75" customHeight="1">
      <c r="A261" s="7" t="s">
        <v>835</v>
      </c>
      <c r="B261" s="9" t="s">
        <v>124</v>
      </c>
      <c r="C261" s="9" t="s">
        <v>837</v>
      </c>
      <c r="D261" s="9">
        <v>5.0</v>
      </c>
      <c r="F261" s="9">
        <v>0.0</v>
      </c>
      <c r="G261" s="9">
        <v>0.0</v>
      </c>
      <c r="H261" s="9">
        <v>0.0</v>
      </c>
    </row>
    <row r="262" ht="15.75" customHeight="1">
      <c r="A262" s="7" t="s">
        <v>838</v>
      </c>
      <c r="B262" s="9" t="s">
        <v>17</v>
      </c>
      <c r="C262" s="9" t="s">
        <v>839</v>
      </c>
      <c r="D262" s="9">
        <v>5.0</v>
      </c>
      <c r="F262" s="9">
        <v>0.0</v>
      </c>
      <c r="G262" s="9">
        <v>0.0</v>
      </c>
      <c r="H262" s="9">
        <v>0.2</v>
      </c>
    </row>
    <row r="263" ht="15.75" customHeight="1">
      <c r="A263" s="7" t="s">
        <v>840</v>
      </c>
      <c r="B263" s="9" t="s">
        <v>25</v>
      </c>
      <c r="C263" s="9" t="s">
        <v>842</v>
      </c>
      <c r="D263" s="9">
        <v>5.0</v>
      </c>
      <c r="E263" s="9">
        <v>4.0</v>
      </c>
      <c r="F263" s="9">
        <v>0.0</v>
      </c>
      <c r="G263" s="9">
        <v>0.0</v>
      </c>
      <c r="H263" s="9">
        <v>0.0</v>
      </c>
      <c r="I263" s="9">
        <v>0.0</v>
      </c>
    </row>
    <row r="264" ht="15.75" customHeight="1">
      <c r="A264" s="7" t="s">
        <v>844</v>
      </c>
      <c r="B264" s="9" t="s">
        <v>846</v>
      </c>
      <c r="C264" s="9" t="s">
        <v>847</v>
      </c>
      <c r="D264" s="9">
        <v>5.0</v>
      </c>
      <c r="F264" s="9">
        <v>0.0</v>
      </c>
      <c r="G264" s="9">
        <v>0.0</v>
      </c>
      <c r="H264" s="9">
        <v>1.0</v>
      </c>
    </row>
    <row r="265" ht="15.75" customHeight="1">
      <c r="A265" s="7" t="s">
        <v>848</v>
      </c>
      <c r="B265" s="9" t="s">
        <v>17</v>
      </c>
      <c r="C265" s="9" t="s">
        <v>799</v>
      </c>
      <c r="D265" s="9">
        <v>5.0</v>
      </c>
      <c r="E265" s="9">
        <v>-1.0</v>
      </c>
      <c r="F265" s="9">
        <v>0.0</v>
      </c>
      <c r="G265" s="9">
        <v>0.0</v>
      </c>
      <c r="H265" s="9">
        <v>1.4</v>
      </c>
      <c r="I265" s="9">
        <v>-0.27</v>
      </c>
    </row>
    <row r="266" ht="15.75" customHeight="1">
      <c r="A266" s="7" t="s">
        <v>852</v>
      </c>
      <c r="B266" s="9" t="s">
        <v>17</v>
      </c>
      <c r="C266" s="9" t="s">
        <v>853</v>
      </c>
      <c r="D266" s="9">
        <v>5.0</v>
      </c>
      <c r="F266" s="9">
        <v>0.0</v>
      </c>
      <c r="G266" s="9">
        <v>0.0</v>
      </c>
      <c r="H266" s="9">
        <v>1.2</v>
      </c>
    </row>
    <row r="267" ht="15.75" customHeight="1">
      <c r="A267" s="7" t="s">
        <v>854</v>
      </c>
      <c r="B267" s="9" t="s">
        <v>17</v>
      </c>
      <c r="D267" s="9">
        <v>5.0</v>
      </c>
      <c r="E267" s="9">
        <v>4.0</v>
      </c>
      <c r="F267" s="9">
        <v>0.0</v>
      </c>
      <c r="G267" s="9">
        <v>0.0</v>
      </c>
      <c r="H267" s="9">
        <v>1.0</v>
      </c>
      <c r="I267" s="9">
        <v>0.0</v>
      </c>
    </row>
    <row r="268" ht="15.75" customHeight="1">
      <c r="A268" s="7" t="s">
        <v>855</v>
      </c>
      <c r="B268" s="9" t="s">
        <v>25</v>
      </c>
      <c r="C268" s="9" t="s">
        <v>858</v>
      </c>
      <c r="D268" s="9">
        <v>5.0</v>
      </c>
      <c r="E268" s="9">
        <v>4.0</v>
      </c>
      <c r="F268" s="9">
        <v>0.0</v>
      </c>
      <c r="G268" s="9">
        <v>0.0</v>
      </c>
      <c r="H268" s="9">
        <v>0.2</v>
      </c>
      <c r="I268" s="9">
        <v>-0.8</v>
      </c>
    </row>
    <row r="269" ht="15.75" customHeight="1">
      <c r="A269" s="7" t="s">
        <v>860</v>
      </c>
      <c r="B269" s="9" t="s">
        <v>44</v>
      </c>
      <c r="C269" s="9" t="s">
        <v>861</v>
      </c>
      <c r="D269" s="9">
        <v>5.0</v>
      </c>
      <c r="E269" s="9">
        <v>-1.0</v>
      </c>
      <c r="F269" s="9">
        <v>0.0</v>
      </c>
      <c r="G269" s="9">
        <v>0.0</v>
      </c>
      <c r="H269" s="9">
        <v>0.4</v>
      </c>
      <c r="I269" s="9">
        <v>0.23</v>
      </c>
    </row>
    <row r="270" ht="15.75" customHeight="1">
      <c r="A270" s="7" t="s">
        <v>862</v>
      </c>
      <c r="B270" s="9" t="s">
        <v>17</v>
      </c>
      <c r="C270" s="9" t="s">
        <v>865</v>
      </c>
      <c r="D270" s="9">
        <v>5.0</v>
      </c>
      <c r="F270" s="9">
        <v>0.0</v>
      </c>
      <c r="G270" s="9">
        <v>0.0</v>
      </c>
      <c r="H270" s="9">
        <v>1.4</v>
      </c>
    </row>
    <row r="271" ht="15.75" customHeight="1">
      <c r="A271" s="7" t="s">
        <v>866</v>
      </c>
      <c r="B271" s="9" t="s">
        <v>25</v>
      </c>
      <c r="D271" s="9">
        <v>5.0</v>
      </c>
      <c r="F271" s="9">
        <v>0.0</v>
      </c>
      <c r="G271" s="9">
        <v>0.0</v>
      </c>
      <c r="H271" s="9">
        <v>1.2</v>
      </c>
    </row>
    <row r="272" ht="15.75" customHeight="1">
      <c r="A272" s="7" t="s">
        <v>867</v>
      </c>
      <c r="B272" s="9" t="s">
        <v>17</v>
      </c>
      <c r="C272" s="9" t="s">
        <v>868</v>
      </c>
      <c r="D272" s="9">
        <v>5.0</v>
      </c>
      <c r="F272" s="9">
        <v>0.0</v>
      </c>
      <c r="G272" s="9">
        <v>0.0</v>
      </c>
      <c r="H272" s="9">
        <v>0.0</v>
      </c>
    </row>
    <row r="273" ht="15.75" customHeight="1">
      <c r="A273" s="7" t="s">
        <v>869</v>
      </c>
      <c r="B273" s="9" t="s">
        <v>17</v>
      </c>
      <c r="C273" s="9" t="s">
        <v>870</v>
      </c>
      <c r="D273" s="9">
        <v>5.0</v>
      </c>
      <c r="F273" s="9">
        <v>0.0</v>
      </c>
      <c r="G273" s="9">
        <v>0.0</v>
      </c>
      <c r="H273" s="9">
        <v>1.6</v>
      </c>
    </row>
    <row r="274" ht="15.75" customHeight="1">
      <c r="A274" s="7" t="s">
        <v>871</v>
      </c>
      <c r="B274" s="9" t="s">
        <v>17</v>
      </c>
      <c r="C274" s="9" t="s">
        <v>340</v>
      </c>
      <c r="D274" s="9">
        <v>5.0</v>
      </c>
      <c r="F274" s="9">
        <v>0.0</v>
      </c>
      <c r="G274" s="9">
        <v>0.0</v>
      </c>
      <c r="H274" s="9">
        <v>0.0</v>
      </c>
    </row>
    <row r="275" ht="15.75" customHeight="1">
      <c r="A275" s="7" t="s">
        <v>874</v>
      </c>
      <c r="B275" s="9" t="s">
        <v>17</v>
      </c>
      <c r="C275" s="9" t="s">
        <v>875</v>
      </c>
      <c r="D275" s="9">
        <v>5.0</v>
      </c>
      <c r="F275" s="9">
        <v>0.0</v>
      </c>
      <c r="G275" s="9">
        <v>0.0</v>
      </c>
      <c r="H275" s="9">
        <v>0.8</v>
      </c>
    </row>
    <row r="276" ht="15.75" customHeight="1">
      <c r="A276" s="7" t="s">
        <v>876</v>
      </c>
      <c r="B276" s="9" t="s">
        <v>17</v>
      </c>
      <c r="C276" s="9" t="s">
        <v>879</v>
      </c>
      <c r="D276" s="9">
        <v>5.0</v>
      </c>
      <c r="E276" s="9">
        <v>-11.0</v>
      </c>
      <c r="F276" s="9">
        <v>0.0</v>
      </c>
      <c r="G276" s="9">
        <v>0.0</v>
      </c>
      <c r="H276" s="9">
        <v>1.0</v>
      </c>
      <c r="I276" s="9">
        <v>0.88</v>
      </c>
    </row>
    <row r="277" ht="15.75" customHeight="1">
      <c r="A277" s="7" t="s">
        <v>881</v>
      </c>
      <c r="B277" s="9" t="s">
        <v>17</v>
      </c>
      <c r="D277" s="9">
        <v>5.0</v>
      </c>
      <c r="F277" s="9">
        <v>0.0</v>
      </c>
      <c r="G277" s="9">
        <v>0.0</v>
      </c>
      <c r="H277" s="9">
        <v>0.0</v>
      </c>
    </row>
    <row r="278" ht="15.75" customHeight="1">
      <c r="A278" s="7" t="s">
        <v>882</v>
      </c>
      <c r="B278" s="9" t="s">
        <v>17</v>
      </c>
      <c r="D278" s="9">
        <v>5.0</v>
      </c>
      <c r="F278" s="9">
        <v>0.0</v>
      </c>
      <c r="G278" s="9">
        <v>0.0</v>
      </c>
      <c r="H278" s="9">
        <v>1.8</v>
      </c>
    </row>
    <row r="279" ht="15.75" customHeight="1">
      <c r="A279" s="7" t="s">
        <v>886</v>
      </c>
      <c r="B279" s="9" t="s">
        <v>25</v>
      </c>
      <c r="D279" s="9">
        <v>5.0</v>
      </c>
      <c r="F279" s="9">
        <v>0.0</v>
      </c>
      <c r="G279" s="9">
        <v>0.0</v>
      </c>
      <c r="H279" s="9">
        <v>0.0</v>
      </c>
    </row>
    <row r="280" ht="15.75" customHeight="1">
      <c r="A280" s="7" t="s">
        <v>887</v>
      </c>
      <c r="B280" s="9" t="s">
        <v>44</v>
      </c>
      <c r="C280" s="9" t="s">
        <v>891</v>
      </c>
      <c r="D280" s="9">
        <v>4.0</v>
      </c>
      <c r="E280" s="9">
        <v>-14.0</v>
      </c>
      <c r="F280" s="9">
        <v>0.0</v>
      </c>
      <c r="G280" s="9">
        <v>0.0</v>
      </c>
      <c r="H280" s="9">
        <v>1.75</v>
      </c>
      <c r="I280" s="9">
        <v>0.31</v>
      </c>
    </row>
    <row r="281" ht="15.75" customHeight="1">
      <c r="A281" s="7" t="s">
        <v>892</v>
      </c>
      <c r="B281" s="9" t="s">
        <v>17</v>
      </c>
      <c r="C281" s="9" t="s">
        <v>482</v>
      </c>
      <c r="D281" s="9">
        <v>4.0</v>
      </c>
      <c r="F281" s="9">
        <v>0.0</v>
      </c>
      <c r="G281" s="9">
        <v>0.0</v>
      </c>
      <c r="H281" s="9">
        <v>1.75</v>
      </c>
    </row>
    <row r="282" ht="15.75" customHeight="1">
      <c r="A282" s="9" t="s">
        <v>893</v>
      </c>
      <c r="B282" s="9" t="s">
        <v>17</v>
      </c>
      <c r="C282" s="9" t="s">
        <v>894</v>
      </c>
      <c r="D282" s="9">
        <v>4.0</v>
      </c>
      <c r="E282" s="9">
        <v>-15.0</v>
      </c>
      <c r="F282" s="9">
        <v>0.0</v>
      </c>
      <c r="G282" s="9">
        <v>0.0</v>
      </c>
      <c r="H282" s="9">
        <v>1.5</v>
      </c>
      <c r="I282" s="9">
        <v>-0.03</v>
      </c>
    </row>
    <row r="283" ht="15.75" customHeight="1">
      <c r="A283" s="7" t="s">
        <v>895</v>
      </c>
      <c r="B283" s="9" t="s">
        <v>17</v>
      </c>
      <c r="C283" s="9" t="s">
        <v>666</v>
      </c>
      <c r="D283" s="9">
        <v>4.0</v>
      </c>
      <c r="E283" s="9">
        <v>0.0</v>
      </c>
      <c r="F283" s="9">
        <v>0.0</v>
      </c>
      <c r="G283" s="9">
        <v>0.0</v>
      </c>
      <c r="H283" s="9">
        <v>1.5</v>
      </c>
      <c r="I283" s="9">
        <v>0.25</v>
      </c>
    </row>
    <row r="284" ht="15.75" customHeight="1">
      <c r="A284" s="7" t="s">
        <v>898</v>
      </c>
      <c r="B284" s="9" t="s">
        <v>17</v>
      </c>
      <c r="C284" s="9" t="s">
        <v>899</v>
      </c>
      <c r="D284" s="9">
        <v>4.0</v>
      </c>
      <c r="E284" s="9">
        <v>3.0</v>
      </c>
      <c r="F284" s="9">
        <v>0.0</v>
      </c>
      <c r="G284" s="9">
        <v>0.0</v>
      </c>
      <c r="H284" s="9">
        <v>1.25</v>
      </c>
      <c r="I284" s="9">
        <v>0.25</v>
      </c>
    </row>
    <row r="285" ht="15.75" customHeight="1">
      <c r="A285" s="7" t="s">
        <v>900</v>
      </c>
      <c r="B285" s="9" t="s">
        <v>17</v>
      </c>
      <c r="C285" s="9" t="s">
        <v>188</v>
      </c>
      <c r="D285" s="9">
        <v>4.0</v>
      </c>
      <c r="F285" s="9">
        <v>0.0</v>
      </c>
      <c r="G285" s="9">
        <v>0.0</v>
      </c>
      <c r="H285" s="9">
        <v>0.0</v>
      </c>
    </row>
    <row r="286" ht="15.75" customHeight="1">
      <c r="A286" s="7" t="s">
        <v>903</v>
      </c>
      <c r="B286" s="9" t="s">
        <v>25</v>
      </c>
      <c r="C286" s="9" t="s">
        <v>905</v>
      </c>
      <c r="D286" s="9">
        <v>4.0</v>
      </c>
      <c r="F286" s="9">
        <v>0.0</v>
      </c>
      <c r="G286" s="9">
        <v>0.0</v>
      </c>
      <c r="H286" s="9">
        <v>1.25</v>
      </c>
    </row>
    <row r="287" ht="15.75" customHeight="1">
      <c r="A287" s="7" t="s">
        <v>907</v>
      </c>
      <c r="B287" s="9" t="s">
        <v>17</v>
      </c>
      <c r="D287" s="9">
        <v>4.0</v>
      </c>
      <c r="E287" s="9">
        <v>-3.0</v>
      </c>
      <c r="F287" s="9">
        <v>0.0</v>
      </c>
      <c r="G287" s="9">
        <v>0.0</v>
      </c>
      <c r="H287" s="9">
        <v>0.0</v>
      </c>
      <c r="I287" s="9">
        <v>-1.71</v>
      </c>
    </row>
    <row r="288" ht="15.75" customHeight="1">
      <c r="A288" s="9" t="s">
        <v>909</v>
      </c>
      <c r="B288" s="9" t="s">
        <v>17</v>
      </c>
      <c r="D288" s="9">
        <v>4.0</v>
      </c>
      <c r="F288" s="9">
        <v>0.0</v>
      </c>
      <c r="G288" s="9">
        <v>0.0</v>
      </c>
      <c r="H288" s="9">
        <v>0.75</v>
      </c>
    </row>
    <row r="289" ht="15.75" customHeight="1">
      <c r="A289" s="7" t="s">
        <v>912</v>
      </c>
      <c r="B289" s="9" t="s">
        <v>124</v>
      </c>
      <c r="C289" s="9" t="s">
        <v>914</v>
      </c>
      <c r="D289" s="9">
        <v>4.0</v>
      </c>
      <c r="E289" s="9">
        <v>3.0</v>
      </c>
      <c r="F289" s="9">
        <v>0.0</v>
      </c>
      <c r="G289" s="9">
        <v>0.0</v>
      </c>
      <c r="H289" s="9">
        <v>0.0</v>
      </c>
      <c r="I289" s="9">
        <v>0.0</v>
      </c>
    </row>
    <row r="290" ht="15.75" customHeight="1">
      <c r="A290" s="7" t="s">
        <v>915</v>
      </c>
      <c r="B290" s="9" t="s">
        <v>17</v>
      </c>
      <c r="D290" s="9">
        <v>4.0</v>
      </c>
      <c r="F290" s="9">
        <v>0.0</v>
      </c>
      <c r="G290" s="9">
        <v>0.0</v>
      </c>
      <c r="H290" s="9">
        <v>0.0</v>
      </c>
    </row>
    <row r="291" ht="15.75" customHeight="1">
      <c r="A291" s="7" t="s">
        <v>916</v>
      </c>
      <c r="B291" s="9" t="s">
        <v>124</v>
      </c>
      <c r="C291" s="9" t="s">
        <v>919</v>
      </c>
      <c r="D291" s="9">
        <v>4.0</v>
      </c>
      <c r="E291" s="9">
        <v>-10.0</v>
      </c>
      <c r="F291" s="9">
        <v>0.0</v>
      </c>
      <c r="G291" s="9">
        <v>0.0</v>
      </c>
      <c r="H291" s="9">
        <v>2.0</v>
      </c>
      <c r="I291" s="9">
        <v>0.0</v>
      </c>
    </row>
    <row r="292" ht="15.75" customHeight="1">
      <c r="A292" s="7" t="s">
        <v>920</v>
      </c>
      <c r="B292" s="9" t="s">
        <v>124</v>
      </c>
      <c r="C292" s="9" t="s">
        <v>922</v>
      </c>
      <c r="D292" s="9">
        <v>4.0</v>
      </c>
      <c r="E292" s="9">
        <v>-14.0</v>
      </c>
      <c r="F292" s="9">
        <v>0.0</v>
      </c>
      <c r="G292" s="9">
        <v>0.0</v>
      </c>
      <c r="H292" s="9">
        <v>0.25</v>
      </c>
      <c r="I292" s="9">
        <v>0.08</v>
      </c>
    </row>
    <row r="293" ht="15.75" customHeight="1">
      <c r="A293" s="7" t="s">
        <v>923</v>
      </c>
      <c r="B293" s="9" t="s">
        <v>124</v>
      </c>
      <c r="C293" s="9" t="s">
        <v>924</v>
      </c>
      <c r="D293" s="9">
        <v>4.0</v>
      </c>
      <c r="E293" s="9">
        <v>3.0</v>
      </c>
      <c r="F293" s="9">
        <v>0.0</v>
      </c>
      <c r="G293" s="9">
        <v>0.0</v>
      </c>
      <c r="H293" s="9">
        <v>0.75</v>
      </c>
      <c r="I293" s="9">
        <v>0.75</v>
      </c>
    </row>
    <row r="294" ht="15.75" customHeight="1">
      <c r="A294" s="7" t="s">
        <v>925</v>
      </c>
      <c r="B294" s="9" t="s">
        <v>17</v>
      </c>
      <c r="C294" s="9" t="s">
        <v>929</v>
      </c>
      <c r="D294" s="9">
        <v>4.0</v>
      </c>
      <c r="F294" s="9">
        <v>0.0</v>
      </c>
      <c r="G294" s="9">
        <v>0.0</v>
      </c>
      <c r="H294" s="9">
        <v>0.0</v>
      </c>
    </row>
    <row r="295" ht="15.75" customHeight="1">
      <c r="A295" s="7" t="s">
        <v>930</v>
      </c>
      <c r="B295" s="9" t="s">
        <v>17</v>
      </c>
      <c r="D295" s="9">
        <v>4.0</v>
      </c>
      <c r="F295" s="9">
        <v>0.0</v>
      </c>
      <c r="G295" s="9">
        <v>0.0</v>
      </c>
      <c r="H295" s="9">
        <v>0.75</v>
      </c>
    </row>
    <row r="296" ht="15.75" customHeight="1">
      <c r="A296" s="7" t="s">
        <v>934</v>
      </c>
      <c r="B296" s="9" t="s">
        <v>17</v>
      </c>
      <c r="C296" s="9" t="s">
        <v>935</v>
      </c>
      <c r="D296" s="9">
        <v>4.0</v>
      </c>
      <c r="F296" s="9">
        <v>0.0</v>
      </c>
      <c r="G296" s="9">
        <v>0.0</v>
      </c>
      <c r="H296" s="9">
        <v>0.5</v>
      </c>
    </row>
    <row r="297" ht="15.75" customHeight="1">
      <c r="A297" s="7" t="s">
        <v>937</v>
      </c>
      <c r="B297" s="9" t="s">
        <v>17</v>
      </c>
      <c r="C297" s="9" t="s">
        <v>188</v>
      </c>
      <c r="D297" s="9">
        <v>4.0</v>
      </c>
      <c r="F297" s="9">
        <v>0.0</v>
      </c>
      <c r="G297" s="9">
        <v>0.0</v>
      </c>
      <c r="H297" s="9">
        <v>0.0</v>
      </c>
    </row>
    <row r="298" ht="15.75" customHeight="1">
      <c r="A298" s="7" t="s">
        <v>939</v>
      </c>
      <c r="B298" s="9" t="s">
        <v>17</v>
      </c>
      <c r="C298" s="9" t="s">
        <v>188</v>
      </c>
      <c r="D298" s="9">
        <v>4.0</v>
      </c>
      <c r="F298" s="9">
        <v>0.0</v>
      </c>
      <c r="G298" s="9">
        <v>0.0</v>
      </c>
      <c r="H298" s="9">
        <v>0.0</v>
      </c>
    </row>
    <row r="299" ht="15.75" customHeight="1">
      <c r="A299" s="7" t="s">
        <v>940</v>
      </c>
      <c r="B299" s="9" t="s">
        <v>25</v>
      </c>
      <c r="C299" s="9" t="s">
        <v>188</v>
      </c>
      <c r="D299" s="9">
        <v>4.0</v>
      </c>
      <c r="E299" s="9">
        <v>0.0</v>
      </c>
      <c r="F299" s="9">
        <v>0.0</v>
      </c>
      <c r="G299" s="9">
        <v>0.0</v>
      </c>
      <c r="H299" s="9">
        <v>1.0</v>
      </c>
      <c r="I299" s="9">
        <v>0.5</v>
      </c>
    </row>
    <row r="300" ht="15.75" customHeight="1">
      <c r="A300" s="7" t="s">
        <v>943</v>
      </c>
      <c r="B300" s="9" t="s">
        <v>39</v>
      </c>
      <c r="C300" s="9" t="s">
        <v>946</v>
      </c>
      <c r="D300" s="9">
        <v>4.0</v>
      </c>
      <c r="F300" s="9">
        <v>0.0</v>
      </c>
      <c r="G300" s="9">
        <v>0.0</v>
      </c>
      <c r="H300" s="9">
        <v>0.0</v>
      </c>
    </row>
    <row r="301" ht="15.75" customHeight="1">
      <c r="A301" s="7" t="s">
        <v>947</v>
      </c>
      <c r="B301" s="9" t="s">
        <v>124</v>
      </c>
      <c r="C301" s="9" t="s">
        <v>951</v>
      </c>
      <c r="D301" s="9">
        <v>4.0</v>
      </c>
      <c r="F301" s="9">
        <v>0.0</v>
      </c>
      <c r="G301" s="9">
        <v>0.0</v>
      </c>
      <c r="H301" s="9">
        <v>0.0</v>
      </c>
    </row>
    <row r="302" ht="15.75" customHeight="1">
      <c r="A302" s="7" t="s">
        <v>952</v>
      </c>
      <c r="B302" s="9" t="s">
        <v>124</v>
      </c>
      <c r="C302" s="9" t="s">
        <v>482</v>
      </c>
      <c r="D302" s="9">
        <v>4.0</v>
      </c>
      <c r="F302" s="9">
        <v>0.0</v>
      </c>
      <c r="G302" s="9">
        <v>0.0</v>
      </c>
      <c r="H302" s="9">
        <v>1.75</v>
      </c>
    </row>
    <row r="303" ht="15.75" customHeight="1">
      <c r="A303" s="7" t="s">
        <v>956</v>
      </c>
      <c r="B303" s="9" t="s">
        <v>17</v>
      </c>
      <c r="C303" s="9" t="s">
        <v>552</v>
      </c>
      <c r="D303" s="9">
        <v>4.0</v>
      </c>
      <c r="F303" s="9">
        <v>0.0</v>
      </c>
      <c r="G303" s="9">
        <v>0.0</v>
      </c>
      <c r="H303" s="9">
        <v>0.0</v>
      </c>
    </row>
    <row r="304" ht="15.75" customHeight="1">
      <c r="A304" s="7" t="s">
        <v>958</v>
      </c>
      <c r="B304" s="9" t="s">
        <v>39</v>
      </c>
      <c r="C304" s="9" t="s">
        <v>961</v>
      </c>
      <c r="D304" s="9">
        <v>4.0</v>
      </c>
      <c r="E304" s="9">
        <v>3.0</v>
      </c>
      <c r="F304" s="9">
        <v>0.0</v>
      </c>
      <c r="G304" s="9">
        <v>0.0</v>
      </c>
      <c r="H304" s="9">
        <v>0.0</v>
      </c>
      <c r="I304" s="9">
        <v>-2.0</v>
      </c>
    </row>
    <row r="305" ht="15.75" customHeight="1">
      <c r="A305" s="7" t="s">
        <v>962</v>
      </c>
      <c r="B305" s="9" t="s">
        <v>94</v>
      </c>
      <c r="C305" s="9" t="s">
        <v>720</v>
      </c>
      <c r="D305" s="9">
        <v>4.0</v>
      </c>
      <c r="F305" s="9">
        <v>0.0</v>
      </c>
      <c r="G305" s="9">
        <v>0.0</v>
      </c>
      <c r="H305" s="9">
        <v>0.0</v>
      </c>
    </row>
    <row r="306" ht="15.75" customHeight="1">
      <c r="A306" s="7" t="s">
        <v>965</v>
      </c>
      <c r="B306" s="9" t="s">
        <v>17</v>
      </c>
      <c r="C306" s="9" t="s">
        <v>591</v>
      </c>
      <c r="D306" s="9">
        <v>4.0</v>
      </c>
      <c r="F306" s="9">
        <v>0.0</v>
      </c>
      <c r="G306" s="9">
        <v>0.0</v>
      </c>
      <c r="H306" s="9">
        <v>0.0</v>
      </c>
    </row>
    <row r="307" ht="15.75" customHeight="1">
      <c r="A307" s="9" t="s">
        <v>966</v>
      </c>
      <c r="B307" s="9" t="s">
        <v>17</v>
      </c>
      <c r="C307" s="9" t="s">
        <v>188</v>
      </c>
      <c r="D307" s="9">
        <v>4.0</v>
      </c>
      <c r="F307" s="9">
        <v>0.0</v>
      </c>
      <c r="G307" s="9">
        <v>0.0</v>
      </c>
      <c r="H307" s="9">
        <v>1.5</v>
      </c>
    </row>
    <row r="308" ht="15.75" customHeight="1">
      <c r="A308" s="7" t="s">
        <v>967</v>
      </c>
      <c r="B308" s="9" t="s">
        <v>17</v>
      </c>
      <c r="C308" s="9" t="s">
        <v>971</v>
      </c>
      <c r="D308" s="9">
        <v>4.0</v>
      </c>
      <c r="E308" s="9">
        <v>3.0</v>
      </c>
      <c r="F308" s="9">
        <v>0.0</v>
      </c>
      <c r="G308" s="9">
        <v>0.0</v>
      </c>
      <c r="H308" s="9">
        <v>0.0</v>
      </c>
      <c r="I308" s="9">
        <v>-1.0</v>
      </c>
    </row>
    <row r="309" ht="15.75" customHeight="1">
      <c r="A309" s="7" t="s">
        <v>972</v>
      </c>
      <c r="B309" s="9" t="s">
        <v>17</v>
      </c>
      <c r="C309" s="9" t="s">
        <v>188</v>
      </c>
      <c r="D309" s="9">
        <v>4.0</v>
      </c>
      <c r="E309" s="9">
        <v>-5.0</v>
      </c>
      <c r="F309" s="9">
        <v>0.0</v>
      </c>
      <c r="G309" s="9">
        <v>0.0</v>
      </c>
      <c r="H309" s="9">
        <v>0.5</v>
      </c>
      <c r="I309" s="9">
        <v>-0.61</v>
      </c>
    </row>
    <row r="310" ht="15.75" customHeight="1">
      <c r="A310" s="7" t="s">
        <v>973</v>
      </c>
      <c r="B310" s="9" t="s">
        <v>17</v>
      </c>
      <c r="D310" s="9">
        <v>4.0</v>
      </c>
      <c r="F310" s="9">
        <v>0.0</v>
      </c>
      <c r="G310" s="9">
        <v>0.0</v>
      </c>
      <c r="H310" s="9">
        <v>0.0</v>
      </c>
    </row>
    <row r="311" ht="15.75" customHeight="1">
      <c r="A311" s="7" t="s">
        <v>977</v>
      </c>
      <c r="B311" s="9" t="s">
        <v>94</v>
      </c>
      <c r="C311" s="9" t="s">
        <v>978</v>
      </c>
      <c r="D311" s="9">
        <v>4.0</v>
      </c>
      <c r="E311" s="9">
        <v>3.0</v>
      </c>
      <c r="F311" s="9">
        <v>0.0</v>
      </c>
      <c r="G311" s="9">
        <v>0.0</v>
      </c>
      <c r="H311" s="9">
        <v>0.5</v>
      </c>
      <c r="I311" s="9">
        <v>0.5</v>
      </c>
    </row>
    <row r="312" ht="15.75" customHeight="1">
      <c r="A312" s="7" t="s">
        <v>979</v>
      </c>
      <c r="B312" s="9" t="s">
        <v>124</v>
      </c>
      <c r="C312" s="9" t="s">
        <v>983</v>
      </c>
      <c r="D312" s="9">
        <v>4.0</v>
      </c>
      <c r="F312" s="9">
        <v>0.0</v>
      </c>
      <c r="G312" s="9">
        <v>0.0</v>
      </c>
      <c r="H312" s="9">
        <v>0.25</v>
      </c>
    </row>
    <row r="313" ht="15.75" customHeight="1">
      <c r="A313" s="7" t="s">
        <v>984</v>
      </c>
      <c r="B313" s="9" t="s">
        <v>39</v>
      </c>
      <c r="C313" s="9" t="s">
        <v>985</v>
      </c>
      <c r="D313" s="9">
        <v>4.0</v>
      </c>
      <c r="E313" s="9">
        <v>3.0</v>
      </c>
      <c r="F313" s="9">
        <v>0.0</v>
      </c>
      <c r="G313" s="9">
        <v>0.0</v>
      </c>
      <c r="H313" s="9">
        <v>0.0</v>
      </c>
      <c r="I313" s="9">
        <v>0.0</v>
      </c>
    </row>
    <row r="314" ht="15.75" customHeight="1">
      <c r="A314" s="7" t="s">
        <v>986</v>
      </c>
      <c r="B314" s="9" t="s">
        <v>17</v>
      </c>
      <c r="C314" s="9" t="s">
        <v>990</v>
      </c>
      <c r="D314" s="9">
        <v>3.0</v>
      </c>
      <c r="E314" s="9">
        <v>-15.0</v>
      </c>
      <c r="F314" s="9">
        <v>0.0</v>
      </c>
      <c r="G314" s="9">
        <v>0.01</v>
      </c>
      <c r="H314" s="9">
        <v>0.0</v>
      </c>
      <c r="I314" s="9">
        <v>-0.61</v>
      </c>
    </row>
    <row r="315" ht="15.75" customHeight="1">
      <c r="A315" s="7" t="s">
        <v>993</v>
      </c>
      <c r="B315" s="9" t="s">
        <v>17</v>
      </c>
      <c r="D315" s="9">
        <v>3.0</v>
      </c>
      <c r="F315" s="9">
        <v>0.0</v>
      </c>
      <c r="G315" s="9">
        <v>0.01</v>
      </c>
      <c r="H315" s="9">
        <v>2.67</v>
      </c>
    </row>
    <row r="316" ht="15.75" customHeight="1">
      <c r="A316" s="7" t="s">
        <v>998</v>
      </c>
      <c r="B316" s="9" t="s">
        <v>17</v>
      </c>
      <c r="C316" s="9" t="s">
        <v>1001</v>
      </c>
      <c r="D316" s="9">
        <v>3.0</v>
      </c>
      <c r="F316" s="9">
        <v>0.0</v>
      </c>
      <c r="G316" s="9">
        <v>0.0</v>
      </c>
      <c r="H316" s="9">
        <v>1.33</v>
      </c>
    </row>
    <row r="317" ht="15.75" customHeight="1">
      <c r="A317" s="7" t="s">
        <v>1003</v>
      </c>
      <c r="B317" s="9" t="s">
        <v>44</v>
      </c>
      <c r="C317" s="9" t="s">
        <v>1007</v>
      </c>
      <c r="D317" s="9">
        <v>3.0</v>
      </c>
      <c r="E317" s="9">
        <v>-1.0</v>
      </c>
      <c r="F317" s="9">
        <v>0.0</v>
      </c>
      <c r="G317" s="9">
        <v>0.0</v>
      </c>
      <c r="H317" s="9">
        <v>2.33</v>
      </c>
      <c r="I317" s="9">
        <v>1.33</v>
      </c>
    </row>
    <row r="318" ht="15.75" customHeight="1">
      <c r="A318" s="7" t="s">
        <v>1008</v>
      </c>
      <c r="B318" s="9" t="s">
        <v>17</v>
      </c>
      <c r="C318" s="9" t="s">
        <v>482</v>
      </c>
      <c r="D318" s="9">
        <v>3.0</v>
      </c>
      <c r="F318" s="9">
        <v>0.0</v>
      </c>
      <c r="G318" s="9">
        <v>0.0</v>
      </c>
      <c r="H318" s="9">
        <v>2.33</v>
      </c>
    </row>
    <row r="319" ht="15.75" customHeight="1">
      <c r="A319" s="7" t="s">
        <v>1009</v>
      </c>
      <c r="B319" s="9" t="s">
        <v>124</v>
      </c>
      <c r="C319" s="9" t="s">
        <v>1012</v>
      </c>
      <c r="D319" s="9">
        <v>3.0</v>
      </c>
      <c r="E319" s="9">
        <v>-10.0</v>
      </c>
      <c r="F319" s="9">
        <v>0.0</v>
      </c>
      <c r="G319" s="9">
        <v>0.0</v>
      </c>
      <c r="H319" s="9">
        <v>1.0</v>
      </c>
      <c r="I319" s="9">
        <v>0.54</v>
      </c>
    </row>
    <row r="320" ht="15.75" customHeight="1">
      <c r="A320" s="7" t="s">
        <v>1013</v>
      </c>
      <c r="B320" s="9" t="s">
        <v>17</v>
      </c>
      <c r="C320" s="9" t="s">
        <v>1014</v>
      </c>
      <c r="D320" s="9">
        <v>3.0</v>
      </c>
      <c r="F320" s="9">
        <v>0.0</v>
      </c>
      <c r="G320" s="9">
        <v>0.0</v>
      </c>
      <c r="H320" s="9">
        <v>9.33</v>
      </c>
    </row>
    <row r="321" ht="15.75" customHeight="1">
      <c r="A321" s="7" t="s">
        <v>1016</v>
      </c>
      <c r="B321" s="9" t="s">
        <v>94</v>
      </c>
      <c r="C321" s="9" t="s">
        <v>1018</v>
      </c>
      <c r="D321" s="9">
        <v>3.0</v>
      </c>
      <c r="F321" s="9">
        <v>0.0</v>
      </c>
      <c r="G321" s="9">
        <v>0.0</v>
      </c>
      <c r="H321" s="9">
        <v>0.67</v>
      </c>
    </row>
    <row r="322" ht="15.75" customHeight="1">
      <c r="A322" s="7" t="s">
        <v>1019</v>
      </c>
      <c r="B322" s="9" t="s">
        <v>17</v>
      </c>
      <c r="D322" s="9">
        <v>3.0</v>
      </c>
      <c r="F322" s="9">
        <v>0.0</v>
      </c>
      <c r="G322" s="9">
        <v>0.0</v>
      </c>
      <c r="H322" s="9">
        <v>0.0</v>
      </c>
    </row>
    <row r="323" ht="15.75" customHeight="1">
      <c r="A323" s="7" t="s">
        <v>1020</v>
      </c>
      <c r="B323" s="9" t="s">
        <v>94</v>
      </c>
      <c r="D323" s="9">
        <v>3.0</v>
      </c>
      <c r="F323" s="9">
        <v>0.0</v>
      </c>
      <c r="G323" s="9">
        <v>0.0</v>
      </c>
      <c r="H323" s="9">
        <v>0.0</v>
      </c>
    </row>
    <row r="324" ht="15.75" customHeight="1">
      <c r="A324" s="7" t="s">
        <v>1022</v>
      </c>
      <c r="B324" s="9" t="s">
        <v>17</v>
      </c>
      <c r="C324" s="9" t="s">
        <v>1026</v>
      </c>
      <c r="D324" s="9">
        <v>3.0</v>
      </c>
      <c r="F324" s="9">
        <v>0.0</v>
      </c>
      <c r="G324" s="9">
        <v>0.0</v>
      </c>
      <c r="H324" s="9">
        <v>0.0</v>
      </c>
    </row>
    <row r="325" ht="15.75" customHeight="1">
      <c r="A325" s="9" t="s">
        <v>1029</v>
      </c>
      <c r="B325" s="9" t="s">
        <v>17</v>
      </c>
      <c r="C325" s="9" t="s">
        <v>927</v>
      </c>
      <c r="D325" s="9">
        <v>3.0</v>
      </c>
      <c r="F325" s="9">
        <v>0.0</v>
      </c>
      <c r="G325" s="9">
        <v>0.0</v>
      </c>
      <c r="H325" s="9">
        <v>1.0</v>
      </c>
    </row>
    <row r="326" ht="15.75" customHeight="1">
      <c r="A326" s="7" t="s">
        <v>1030</v>
      </c>
      <c r="B326" s="9" t="s">
        <v>17</v>
      </c>
      <c r="C326" s="9" t="s">
        <v>1033</v>
      </c>
      <c r="D326" s="9">
        <v>3.0</v>
      </c>
      <c r="F326" s="9">
        <v>0.0</v>
      </c>
      <c r="G326" s="9">
        <v>0.0</v>
      </c>
      <c r="H326" s="9">
        <v>0.33</v>
      </c>
    </row>
    <row r="327" ht="15.75" customHeight="1">
      <c r="A327" s="7" t="s">
        <v>1034</v>
      </c>
      <c r="B327" s="9" t="s">
        <v>17</v>
      </c>
      <c r="C327" s="9" t="s">
        <v>720</v>
      </c>
      <c r="D327" s="9">
        <v>3.0</v>
      </c>
      <c r="F327" s="9">
        <v>0.0</v>
      </c>
      <c r="G327" s="9">
        <v>0.0</v>
      </c>
      <c r="H327" s="9">
        <v>0.0</v>
      </c>
    </row>
    <row r="328" ht="15.75" customHeight="1">
      <c r="A328" s="7" t="s">
        <v>1036</v>
      </c>
      <c r="B328" s="9" t="s">
        <v>44</v>
      </c>
      <c r="C328" s="9" t="s">
        <v>1039</v>
      </c>
      <c r="D328" s="9">
        <v>3.0</v>
      </c>
      <c r="E328" s="9">
        <v>-29.0</v>
      </c>
      <c r="F328" s="9">
        <v>0.0</v>
      </c>
      <c r="G328" s="9">
        <v>0.0</v>
      </c>
      <c r="H328" s="9">
        <v>0.67</v>
      </c>
      <c r="I328" s="9">
        <v>-0.74</v>
      </c>
    </row>
    <row r="329" ht="15.75" customHeight="1">
      <c r="A329" s="7" t="s">
        <v>1040</v>
      </c>
      <c r="B329" s="9" t="s">
        <v>17</v>
      </c>
      <c r="C329" s="9" t="s">
        <v>720</v>
      </c>
      <c r="D329" s="9">
        <v>3.0</v>
      </c>
      <c r="E329" s="9">
        <v>2.0</v>
      </c>
      <c r="F329" s="9">
        <v>0.0</v>
      </c>
      <c r="G329" s="9">
        <v>0.0</v>
      </c>
      <c r="H329" s="9">
        <v>0.33</v>
      </c>
      <c r="I329" s="9">
        <v>0.33</v>
      </c>
    </row>
    <row r="330" ht="15.75" customHeight="1">
      <c r="A330" s="7" t="s">
        <v>1044</v>
      </c>
      <c r="B330" s="9" t="s">
        <v>17</v>
      </c>
      <c r="D330" s="9">
        <v>3.0</v>
      </c>
      <c r="F330" s="9">
        <v>0.0</v>
      </c>
      <c r="G330" s="9">
        <v>0.0</v>
      </c>
      <c r="H330" s="9">
        <v>0.33</v>
      </c>
    </row>
    <row r="331" ht="15.75" customHeight="1">
      <c r="A331" s="7" t="s">
        <v>1045</v>
      </c>
      <c r="B331" s="9" t="s">
        <v>17</v>
      </c>
      <c r="C331" s="9" t="s">
        <v>1047</v>
      </c>
      <c r="D331" s="9">
        <v>3.0</v>
      </c>
      <c r="E331" s="9">
        <v>2.0</v>
      </c>
      <c r="F331" s="9">
        <v>0.0</v>
      </c>
      <c r="G331" s="9">
        <v>0.0</v>
      </c>
      <c r="H331" s="9">
        <v>0.0</v>
      </c>
      <c r="I331" s="9">
        <v>0.0</v>
      </c>
    </row>
    <row r="332" ht="15.75" customHeight="1">
      <c r="A332" s="7" t="s">
        <v>1048</v>
      </c>
      <c r="B332" s="9" t="s">
        <v>17</v>
      </c>
      <c r="C332" s="9" t="s">
        <v>799</v>
      </c>
      <c r="D332" s="9">
        <v>3.0</v>
      </c>
      <c r="E332" s="9">
        <v>1.0</v>
      </c>
      <c r="F332" s="9">
        <v>0.0</v>
      </c>
      <c r="G332" s="9">
        <v>0.0</v>
      </c>
      <c r="H332" s="9">
        <v>2.33</v>
      </c>
      <c r="I332" s="9">
        <v>0.83</v>
      </c>
    </row>
    <row r="333" ht="15.75" customHeight="1">
      <c r="A333" s="7" t="s">
        <v>1051</v>
      </c>
      <c r="B333" s="9" t="s">
        <v>44</v>
      </c>
      <c r="C333" s="9" t="s">
        <v>1053</v>
      </c>
      <c r="D333" s="9">
        <v>3.0</v>
      </c>
      <c r="E333" s="9">
        <v>-26.0</v>
      </c>
      <c r="F333" s="9">
        <v>0.0</v>
      </c>
      <c r="G333" s="9">
        <v>0.0</v>
      </c>
      <c r="H333" s="9">
        <v>2.33</v>
      </c>
      <c r="I333" s="9">
        <v>0.68</v>
      </c>
    </row>
    <row r="334" ht="15.75" customHeight="1">
      <c r="A334" s="7" t="s">
        <v>1055</v>
      </c>
      <c r="B334" s="9" t="s">
        <v>17</v>
      </c>
      <c r="C334" s="9" t="s">
        <v>482</v>
      </c>
      <c r="D334" s="9">
        <v>3.0</v>
      </c>
      <c r="E334" s="9">
        <v>-1.0</v>
      </c>
      <c r="F334" s="9">
        <v>0.0</v>
      </c>
      <c r="G334" s="9">
        <v>0.0</v>
      </c>
      <c r="H334" s="9">
        <v>1.0</v>
      </c>
      <c r="I334" s="9">
        <v>-1.25</v>
      </c>
    </row>
    <row r="335" ht="15.75" customHeight="1">
      <c r="A335" s="7" t="s">
        <v>1059</v>
      </c>
      <c r="B335" s="9" t="s">
        <v>17</v>
      </c>
      <c r="D335" s="9">
        <v>3.0</v>
      </c>
      <c r="F335" s="9">
        <v>0.0</v>
      </c>
      <c r="G335" s="9">
        <v>0.0</v>
      </c>
      <c r="H335" s="9">
        <v>1.0</v>
      </c>
    </row>
    <row r="336" ht="15.75" customHeight="1">
      <c r="A336" s="7" t="s">
        <v>1061</v>
      </c>
      <c r="B336" s="9" t="s">
        <v>17</v>
      </c>
      <c r="C336" s="9" t="s">
        <v>1065</v>
      </c>
      <c r="D336" s="9">
        <v>3.0</v>
      </c>
      <c r="E336" s="9">
        <v>-4.0</v>
      </c>
      <c r="F336" s="9">
        <v>0.0</v>
      </c>
      <c r="G336" s="9">
        <v>0.0</v>
      </c>
      <c r="H336" s="9">
        <v>0.0</v>
      </c>
      <c r="I336" s="9">
        <v>-0.86</v>
      </c>
    </row>
    <row r="337" ht="15.75" customHeight="1">
      <c r="A337" s="7" t="s">
        <v>1067</v>
      </c>
      <c r="B337" s="9" t="s">
        <v>124</v>
      </c>
      <c r="C337" s="9" t="s">
        <v>1070</v>
      </c>
      <c r="D337" s="9">
        <v>3.0</v>
      </c>
      <c r="F337" s="9">
        <v>0.0</v>
      </c>
      <c r="G337" s="9">
        <v>0.0</v>
      </c>
      <c r="H337" s="9">
        <v>1.67</v>
      </c>
    </row>
    <row r="338" ht="15.75" customHeight="1">
      <c r="A338" s="7" t="s">
        <v>1071</v>
      </c>
      <c r="B338" s="9" t="s">
        <v>94</v>
      </c>
      <c r="D338" s="9">
        <v>3.0</v>
      </c>
      <c r="F338" s="9">
        <v>0.0</v>
      </c>
      <c r="G338" s="9">
        <v>0.0</v>
      </c>
      <c r="H338" s="9">
        <v>1.33</v>
      </c>
    </row>
    <row r="339" ht="15.75" customHeight="1">
      <c r="A339" s="7" t="s">
        <v>1073</v>
      </c>
      <c r="B339" s="9" t="s">
        <v>17</v>
      </c>
      <c r="C339" s="9" t="s">
        <v>1075</v>
      </c>
      <c r="D339" s="9">
        <v>3.0</v>
      </c>
      <c r="E339" s="9">
        <v>-14.0</v>
      </c>
      <c r="F339" s="9">
        <v>0.0</v>
      </c>
      <c r="G339" s="9">
        <v>0.0</v>
      </c>
      <c r="H339" s="9">
        <v>1.0</v>
      </c>
      <c r="I339" s="9">
        <v>-0.82</v>
      </c>
    </row>
    <row r="340" ht="15.75" customHeight="1">
      <c r="A340" s="7" t="s">
        <v>1077</v>
      </c>
      <c r="B340" s="9" t="s">
        <v>17</v>
      </c>
      <c r="C340" s="9" t="s">
        <v>1079</v>
      </c>
      <c r="D340" s="9">
        <v>3.0</v>
      </c>
      <c r="E340" s="9">
        <v>-9.0</v>
      </c>
      <c r="F340" s="9">
        <v>0.0</v>
      </c>
      <c r="G340" s="9">
        <v>0.0</v>
      </c>
      <c r="H340" s="9">
        <v>1.67</v>
      </c>
      <c r="I340" s="9">
        <v>-0.08</v>
      </c>
    </row>
    <row r="341" ht="15.75" customHeight="1">
      <c r="A341" s="7" t="s">
        <v>1080</v>
      </c>
      <c r="B341" s="9" t="s">
        <v>17</v>
      </c>
      <c r="C341" s="9" t="s">
        <v>1081</v>
      </c>
      <c r="D341" s="9">
        <v>3.0</v>
      </c>
      <c r="F341" s="9">
        <v>0.0</v>
      </c>
      <c r="G341" s="9">
        <v>0.0</v>
      </c>
      <c r="H341" s="9">
        <v>1.0</v>
      </c>
    </row>
    <row r="342" ht="15.75" customHeight="1">
      <c r="A342" s="7" t="s">
        <v>1084</v>
      </c>
      <c r="B342" s="9" t="s">
        <v>17</v>
      </c>
      <c r="D342" s="9">
        <v>3.0</v>
      </c>
      <c r="F342" s="9">
        <v>0.0</v>
      </c>
      <c r="G342" s="9">
        <v>0.0</v>
      </c>
      <c r="H342" s="9">
        <v>1.0</v>
      </c>
    </row>
    <row r="343" ht="15.75" customHeight="1">
      <c r="A343" s="7" t="s">
        <v>1087</v>
      </c>
      <c r="B343" s="9" t="s">
        <v>25</v>
      </c>
      <c r="D343" s="9">
        <v>3.0</v>
      </c>
      <c r="E343" s="9">
        <v>1.0</v>
      </c>
      <c r="F343" s="9">
        <v>0.0</v>
      </c>
      <c r="G343" s="9">
        <v>0.0</v>
      </c>
      <c r="H343" s="9">
        <v>0.67</v>
      </c>
      <c r="I343" s="9">
        <v>-0.33</v>
      </c>
    </row>
    <row r="344" ht="15.75" customHeight="1">
      <c r="A344" s="7" t="s">
        <v>1089</v>
      </c>
      <c r="B344" s="9" t="s">
        <v>17</v>
      </c>
      <c r="C344" s="9" t="s">
        <v>1093</v>
      </c>
      <c r="D344" s="9">
        <v>3.0</v>
      </c>
      <c r="E344" s="9">
        <v>2.0</v>
      </c>
      <c r="F344" s="9">
        <v>0.0</v>
      </c>
      <c r="G344" s="9">
        <v>0.0</v>
      </c>
      <c r="H344" s="9">
        <v>0.33</v>
      </c>
      <c r="I344" s="9">
        <v>-0.67</v>
      </c>
    </row>
    <row r="345" ht="15.75" customHeight="1">
      <c r="A345" s="7" t="s">
        <v>1094</v>
      </c>
      <c r="B345" s="9" t="s">
        <v>17</v>
      </c>
      <c r="C345" s="9" t="s">
        <v>1098</v>
      </c>
      <c r="D345" s="9">
        <v>3.0</v>
      </c>
      <c r="F345" s="9">
        <v>0.0</v>
      </c>
      <c r="G345" s="9">
        <v>0.0</v>
      </c>
      <c r="H345" s="9">
        <v>0.33</v>
      </c>
    </row>
    <row r="346" ht="15.75" customHeight="1">
      <c r="A346" s="7" t="s">
        <v>1099</v>
      </c>
      <c r="B346" s="9" t="s">
        <v>17</v>
      </c>
      <c r="D346" s="9">
        <v>3.0</v>
      </c>
      <c r="E346" s="9">
        <v>1.0</v>
      </c>
      <c r="F346" s="9">
        <v>0.0</v>
      </c>
      <c r="G346" s="9">
        <v>0.0</v>
      </c>
      <c r="H346" s="9">
        <v>0.67</v>
      </c>
      <c r="I346" s="9">
        <v>-1.33</v>
      </c>
    </row>
    <row r="347" ht="15.75" customHeight="1">
      <c r="A347" s="7" t="s">
        <v>1103</v>
      </c>
      <c r="B347" s="9" t="s">
        <v>44</v>
      </c>
      <c r="C347" s="9" t="s">
        <v>1104</v>
      </c>
      <c r="D347" s="9">
        <v>3.0</v>
      </c>
      <c r="E347" s="9">
        <v>2.0</v>
      </c>
      <c r="F347" s="9">
        <v>0.0</v>
      </c>
      <c r="G347" s="9">
        <v>0.0</v>
      </c>
      <c r="H347" s="9">
        <v>0.67</v>
      </c>
      <c r="I347" s="9">
        <v>-1.33</v>
      </c>
    </row>
    <row r="348" ht="15.75" customHeight="1">
      <c r="A348" s="7" t="s">
        <v>1105</v>
      </c>
      <c r="B348" s="9" t="s">
        <v>17</v>
      </c>
      <c r="C348" s="9" t="s">
        <v>1107</v>
      </c>
      <c r="D348" s="9">
        <v>3.0</v>
      </c>
      <c r="F348" s="9">
        <v>0.0</v>
      </c>
      <c r="G348" s="9">
        <v>0.0</v>
      </c>
      <c r="H348" s="9">
        <v>1.0</v>
      </c>
    </row>
    <row r="349" ht="15.75" customHeight="1">
      <c r="A349" s="7" t="s">
        <v>1109</v>
      </c>
      <c r="B349" s="9" t="s">
        <v>44</v>
      </c>
      <c r="C349" s="9" t="s">
        <v>1110</v>
      </c>
      <c r="D349" s="9">
        <v>3.0</v>
      </c>
      <c r="E349" s="9">
        <v>-3.0</v>
      </c>
      <c r="F349" s="9">
        <v>0.0</v>
      </c>
      <c r="G349" s="9">
        <v>0.0</v>
      </c>
      <c r="H349" s="9">
        <v>0.67</v>
      </c>
      <c r="I349" s="9">
        <v>-0.67</v>
      </c>
    </row>
    <row r="350" ht="15.75" customHeight="1">
      <c r="A350" s="7" t="s">
        <v>1113</v>
      </c>
      <c r="B350" s="9" t="s">
        <v>44</v>
      </c>
      <c r="C350" s="9" t="s">
        <v>1114</v>
      </c>
      <c r="D350" s="9">
        <v>3.0</v>
      </c>
      <c r="E350" s="9">
        <v>-2.0</v>
      </c>
      <c r="F350" s="9">
        <v>0.0</v>
      </c>
      <c r="G350" s="9">
        <v>0.0</v>
      </c>
      <c r="H350" s="9">
        <v>1.33</v>
      </c>
      <c r="I350" s="9">
        <v>-0.27</v>
      </c>
    </row>
    <row r="351" ht="15.75" customHeight="1">
      <c r="A351" s="7" t="s">
        <v>1115</v>
      </c>
      <c r="B351" s="9" t="s">
        <v>17</v>
      </c>
      <c r="C351" s="9" t="s">
        <v>1119</v>
      </c>
      <c r="D351" s="9">
        <v>3.0</v>
      </c>
      <c r="E351" s="9">
        <v>-15.0</v>
      </c>
      <c r="F351" s="9">
        <v>0.0</v>
      </c>
      <c r="G351" s="9">
        <v>0.0</v>
      </c>
      <c r="H351" s="9">
        <v>0.0</v>
      </c>
      <c r="I351" s="9">
        <v>-1.5</v>
      </c>
    </row>
    <row r="352" ht="15.75" customHeight="1">
      <c r="A352" s="9" t="s">
        <v>1120</v>
      </c>
      <c r="B352" s="9" t="s">
        <v>17</v>
      </c>
      <c r="D352" s="9">
        <v>3.0</v>
      </c>
      <c r="F352" s="9">
        <v>0.0</v>
      </c>
      <c r="G352" s="9">
        <v>0.0</v>
      </c>
      <c r="H352" s="9">
        <v>1.0</v>
      </c>
    </row>
    <row r="353" ht="15.75" customHeight="1">
      <c r="A353" s="7" t="s">
        <v>1121</v>
      </c>
      <c r="B353" s="9" t="s">
        <v>17</v>
      </c>
      <c r="C353" s="9" t="s">
        <v>188</v>
      </c>
      <c r="D353" s="9">
        <v>3.0</v>
      </c>
      <c r="F353" s="9">
        <v>0.0</v>
      </c>
      <c r="G353" s="9">
        <v>0.0</v>
      </c>
      <c r="H353" s="9">
        <v>0.67</v>
      </c>
    </row>
    <row r="354" ht="15.75" customHeight="1">
      <c r="A354" s="7" t="s">
        <v>1124</v>
      </c>
      <c r="B354" s="9" t="s">
        <v>124</v>
      </c>
      <c r="C354" s="9" t="s">
        <v>1126</v>
      </c>
      <c r="D354" s="9">
        <v>3.0</v>
      </c>
      <c r="E354" s="9">
        <v>-1.0</v>
      </c>
      <c r="F354" s="9">
        <v>0.0</v>
      </c>
      <c r="G354" s="9">
        <v>0.0</v>
      </c>
      <c r="H354" s="9">
        <v>2.0</v>
      </c>
      <c r="I354" s="9">
        <v>0.0</v>
      </c>
    </row>
    <row r="355" ht="15.75" customHeight="1">
      <c r="A355" s="7" t="s">
        <v>1127</v>
      </c>
      <c r="B355" s="9" t="s">
        <v>17</v>
      </c>
      <c r="D355" s="9">
        <v>3.0</v>
      </c>
      <c r="F355" s="9">
        <v>0.0</v>
      </c>
      <c r="G355" s="9">
        <v>0.0</v>
      </c>
      <c r="H355" s="9">
        <v>0.0</v>
      </c>
    </row>
    <row r="356" ht="15.75" customHeight="1">
      <c r="A356" s="9" t="s">
        <v>1131</v>
      </c>
      <c r="B356" s="9" t="s">
        <v>17</v>
      </c>
      <c r="D356" s="9">
        <v>3.0</v>
      </c>
      <c r="F356" s="9">
        <v>0.0</v>
      </c>
      <c r="G356" s="9">
        <v>0.0</v>
      </c>
      <c r="H356" s="9">
        <v>0.0</v>
      </c>
    </row>
    <row r="357" ht="15.75" customHeight="1">
      <c r="A357" s="7" t="s">
        <v>1132</v>
      </c>
      <c r="B357" s="9" t="s">
        <v>17</v>
      </c>
      <c r="C357" s="9" t="s">
        <v>1134</v>
      </c>
      <c r="D357" s="9">
        <v>3.0</v>
      </c>
      <c r="E357" s="9">
        <v>1.0</v>
      </c>
      <c r="F357" s="9">
        <v>0.0</v>
      </c>
      <c r="G357" s="9">
        <v>0.0</v>
      </c>
      <c r="H357" s="9">
        <v>0.0</v>
      </c>
      <c r="I357" s="9">
        <v>-1.0</v>
      </c>
    </row>
    <row r="358" ht="15.75" customHeight="1">
      <c r="A358" s="7" t="s">
        <v>1137</v>
      </c>
      <c r="B358" s="9" t="s">
        <v>17</v>
      </c>
      <c r="C358" s="9" t="s">
        <v>188</v>
      </c>
      <c r="D358" s="9">
        <v>3.0</v>
      </c>
      <c r="F358" s="9">
        <v>0.0</v>
      </c>
      <c r="G358" s="9">
        <v>0.0</v>
      </c>
      <c r="H358" s="9">
        <v>1.0</v>
      </c>
    </row>
    <row r="359" ht="15.75" customHeight="1">
      <c r="A359" s="7" t="s">
        <v>1140</v>
      </c>
      <c r="B359" s="9" t="s">
        <v>17</v>
      </c>
      <c r="D359" s="9">
        <v>3.0</v>
      </c>
      <c r="F359" s="9">
        <v>0.0</v>
      </c>
      <c r="G359" s="9">
        <v>0.0</v>
      </c>
      <c r="H359" s="9">
        <v>1.0</v>
      </c>
    </row>
    <row r="360" ht="15.75" customHeight="1">
      <c r="A360" s="7" t="s">
        <v>1142</v>
      </c>
      <c r="B360" s="9" t="s">
        <v>17</v>
      </c>
      <c r="C360" s="9" t="s">
        <v>488</v>
      </c>
      <c r="D360" s="9">
        <v>3.0</v>
      </c>
      <c r="F360" s="9">
        <v>0.0</v>
      </c>
      <c r="G360" s="9">
        <v>0.0</v>
      </c>
      <c r="H360" s="9">
        <v>0.67</v>
      </c>
    </row>
    <row r="361" ht="15.75" customHeight="1">
      <c r="A361" s="7" t="s">
        <v>1144</v>
      </c>
      <c r="B361" s="9" t="s">
        <v>17</v>
      </c>
      <c r="D361" s="9">
        <v>3.0</v>
      </c>
      <c r="F361" s="9">
        <v>0.0</v>
      </c>
      <c r="G361" s="9">
        <v>0.0</v>
      </c>
      <c r="H361" s="9">
        <v>0.0</v>
      </c>
    </row>
    <row r="362" ht="15.75" customHeight="1">
      <c r="A362" s="7" t="s">
        <v>1146</v>
      </c>
      <c r="B362" s="9" t="s">
        <v>17</v>
      </c>
      <c r="D362" s="9">
        <v>3.0</v>
      </c>
      <c r="E362" s="9">
        <v>2.0</v>
      </c>
      <c r="F362" s="9">
        <v>0.0</v>
      </c>
      <c r="G362" s="9">
        <v>0.0</v>
      </c>
      <c r="H362" s="9">
        <v>0.67</v>
      </c>
      <c r="I362" s="9">
        <v>0.67</v>
      </c>
    </row>
    <row r="363" ht="15.75" customHeight="1">
      <c r="A363" s="7" t="s">
        <v>1147</v>
      </c>
      <c r="B363" s="9" t="s">
        <v>17</v>
      </c>
      <c r="D363" s="9">
        <v>3.0</v>
      </c>
      <c r="E363" s="9">
        <v>1.0</v>
      </c>
      <c r="F363" s="9">
        <v>0.0</v>
      </c>
      <c r="G363" s="9">
        <v>0.0</v>
      </c>
      <c r="H363" s="9">
        <v>0.67</v>
      </c>
      <c r="I363" s="9">
        <v>-0.33</v>
      </c>
    </row>
    <row r="364" ht="15.75" customHeight="1">
      <c r="A364" s="7" t="s">
        <v>1150</v>
      </c>
      <c r="B364" s="9" t="s">
        <v>17</v>
      </c>
      <c r="C364" s="9" t="s">
        <v>1154</v>
      </c>
      <c r="D364" s="9">
        <v>3.0</v>
      </c>
      <c r="F364" s="9">
        <v>0.0</v>
      </c>
      <c r="G364" s="9">
        <v>0.0</v>
      </c>
      <c r="H364" s="9">
        <v>0.67</v>
      </c>
    </row>
    <row r="365" ht="15.75" customHeight="1">
      <c r="A365" s="7" t="s">
        <v>1155</v>
      </c>
      <c r="B365" s="9" t="s">
        <v>17</v>
      </c>
      <c r="C365" s="9" t="s">
        <v>1156</v>
      </c>
      <c r="D365" s="9">
        <v>3.0</v>
      </c>
      <c r="E365" s="9">
        <v>-5.0</v>
      </c>
      <c r="F365" s="9">
        <v>0.0</v>
      </c>
      <c r="G365" s="9">
        <v>0.0</v>
      </c>
      <c r="H365" s="9">
        <v>1.33</v>
      </c>
      <c r="I365" s="9">
        <v>0.08</v>
      </c>
    </row>
    <row r="366" ht="15.75" customHeight="1">
      <c r="A366" s="7" t="s">
        <v>1159</v>
      </c>
      <c r="B366" s="9" t="s">
        <v>124</v>
      </c>
      <c r="C366" s="9" t="s">
        <v>1161</v>
      </c>
      <c r="D366" s="9">
        <v>3.0</v>
      </c>
      <c r="E366" s="9">
        <v>-3.0</v>
      </c>
      <c r="F366" s="9">
        <v>0.0</v>
      </c>
      <c r="G366" s="9">
        <v>0.0</v>
      </c>
      <c r="H366" s="9">
        <v>0.33</v>
      </c>
      <c r="I366" s="9">
        <v>-1.33</v>
      </c>
    </row>
    <row r="367" ht="15.75" customHeight="1">
      <c r="A367" s="7" t="s">
        <v>1163</v>
      </c>
      <c r="B367" s="9" t="s">
        <v>17</v>
      </c>
      <c r="D367" s="9">
        <v>2.0</v>
      </c>
      <c r="F367" s="9">
        <v>0.0</v>
      </c>
      <c r="G367" s="9">
        <v>0.0</v>
      </c>
      <c r="H367" s="9">
        <v>2.5</v>
      </c>
    </row>
    <row r="368" ht="15.75" customHeight="1">
      <c r="A368" s="7" t="s">
        <v>1166</v>
      </c>
      <c r="B368" s="9" t="s">
        <v>17</v>
      </c>
      <c r="D368" s="9">
        <v>2.0</v>
      </c>
      <c r="F368" s="9">
        <v>0.0</v>
      </c>
      <c r="G368" s="9">
        <v>0.0</v>
      </c>
      <c r="H368" s="9">
        <v>2.5</v>
      </c>
    </row>
    <row r="369" ht="15.75" customHeight="1">
      <c r="A369" s="7" t="s">
        <v>1170</v>
      </c>
      <c r="B369" s="9" t="s">
        <v>17</v>
      </c>
      <c r="C369" s="9" t="s">
        <v>1172</v>
      </c>
      <c r="D369" s="9">
        <v>2.0</v>
      </c>
      <c r="F369" s="9">
        <v>0.0</v>
      </c>
      <c r="G369" s="9">
        <v>0.0</v>
      </c>
      <c r="H369" s="9">
        <v>2.0</v>
      </c>
    </row>
    <row r="370" ht="15.75" customHeight="1">
      <c r="A370" s="7" t="s">
        <v>1174</v>
      </c>
      <c r="B370" s="9" t="s">
        <v>17</v>
      </c>
      <c r="D370" s="9">
        <v>2.0</v>
      </c>
      <c r="E370" s="9">
        <v>-1.0</v>
      </c>
      <c r="F370" s="9">
        <v>0.0</v>
      </c>
      <c r="G370" s="9">
        <v>0.0</v>
      </c>
      <c r="H370" s="9">
        <v>0.0</v>
      </c>
      <c r="I370" s="9">
        <v>0.0</v>
      </c>
    </row>
    <row r="371" ht="15.75" customHeight="1">
      <c r="A371" s="7" t="s">
        <v>1176</v>
      </c>
      <c r="B371" s="9" t="s">
        <v>17</v>
      </c>
      <c r="D371" s="9">
        <v>2.0</v>
      </c>
      <c r="F371" s="9">
        <v>0.0</v>
      </c>
      <c r="G371" s="9">
        <v>0.0</v>
      </c>
      <c r="H371" s="9">
        <v>1.5</v>
      </c>
    </row>
    <row r="372" ht="15.75" customHeight="1">
      <c r="A372" s="7" t="s">
        <v>1182</v>
      </c>
      <c r="B372" s="9" t="s">
        <v>17</v>
      </c>
      <c r="C372" s="9" t="s">
        <v>188</v>
      </c>
      <c r="D372" s="9">
        <v>2.0</v>
      </c>
      <c r="F372" s="9">
        <v>0.0</v>
      </c>
      <c r="G372" s="9">
        <v>0.0</v>
      </c>
      <c r="H372" s="9">
        <v>1.5</v>
      </c>
    </row>
    <row r="373" ht="15.75" customHeight="1">
      <c r="A373" s="9" t="s">
        <v>1184</v>
      </c>
      <c r="B373" s="9" t="s">
        <v>17</v>
      </c>
      <c r="C373" s="9" t="s">
        <v>1185</v>
      </c>
      <c r="D373" s="9">
        <v>2.0</v>
      </c>
      <c r="F373" s="9">
        <v>0.0</v>
      </c>
      <c r="G373" s="9">
        <v>0.0</v>
      </c>
      <c r="H373" s="9">
        <v>1.0</v>
      </c>
    </row>
    <row r="374" ht="15.75" customHeight="1">
      <c r="A374" s="7" t="s">
        <v>1187</v>
      </c>
      <c r="B374" s="9" t="s">
        <v>124</v>
      </c>
      <c r="C374" s="9" t="s">
        <v>1189</v>
      </c>
      <c r="D374" s="9">
        <v>2.0</v>
      </c>
      <c r="F374" s="9">
        <v>0.0</v>
      </c>
      <c r="G374" s="9">
        <v>0.0</v>
      </c>
      <c r="H374" s="9">
        <v>2.0</v>
      </c>
    </row>
    <row r="375" ht="15.75" customHeight="1">
      <c r="A375" s="7" t="s">
        <v>1190</v>
      </c>
      <c r="B375" s="9" t="s">
        <v>17</v>
      </c>
      <c r="D375" s="9">
        <v>2.0</v>
      </c>
      <c r="F375" s="9">
        <v>0.0</v>
      </c>
      <c r="G375" s="9">
        <v>0.0</v>
      </c>
      <c r="H375" s="9">
        <v>0.0</v>
      </c>
    </row>
    <row r="376" ht="15.75" customHeight="1">
      <c r="A376" s="7" t="s">
        <v>1193</v>
      </c>
      <c r="B376" s="9" t="s">
        <v>17</v>
      </c>
      <c r="D376" s="9">
        <v>2.0</v>
      </c>
      <c r="F376" s="9">
        <v>0.0</v>
      </c>
      <c r="G376" s="9">
        <v>0.0</v>
      </c>
      <c r="H376" s="9">
        <v>0.5</v>
      </c>
    </row>
    <row r="377" ht="15.75" customHeight="1">
      <c r="A377" s="9" t="s">
        <v>1194</v>
      </c>
      <c r="B377" s="9" t="s">
        <v>44</v>
      </c>
      <c r="C377" s="9" t="s">
        <v>1195</v>
      </c>
      <c r="D377" s="9">
        <v>2.0</v>
      </c>
      <c r="F377" s="9">
        <v>0.0</v>
      </c>
      <c r="G377" s="9">
        <v>0.0</v>
      </c>
      <c r="H377" s="9">
        <v>0.5</v>
      </c>
    </row>
    <row r="378" ht="15.75" customHeight="1">
      <c r="A378" s="7" t="s">
        <v>1196</v>
      </c>
      <c r="B378" s="9" t="s">
        <v>17</v>
      </c>
      <c r="C378" s="9" t="s">
        <v>1200</v>
      </c>
      <c r="D378" s="9">
        <v>2.0</v>
      </c>
      <c r="F378" s="9">
        <v>0.0</v>
      </c>
      <c r="G378" s="9">
        <v>0.0</v>
      </c>
      <c r="H378" s="9">
        <v>0.0</v>
      </c>
    </row>
    <row r="379" ht="15.75" customHeight="1">
      <c r="A379" s="7" t="s">
        <v>1201</v>
      </c>
      <c r="B379" s="9" t="s">
        <v>17</v>
      </c>
      <c r="D379" s="9">
        <v>2.0</v>
      </c>
      <c r="E379" s="9">
        <v>1.0</v>
      </c>
      <c r="F379" s="9">
        <v>0.0</v>
      </c>
      <c r="G379" s="9">
        <v>0.0</v>
      </c>
      <c r="H379" s="9">
        <v>0.0</v>
      </c>
      <c r="I379" s="9">
        <v>0.0</v>
      </c>
    </row>
    <row r="380" ht="15.75" customHeight="1">
      <c r="A380" s="7" t="s">
        <v>1202</v>
      </c>
      <c r="B380" s="9" t="s">
        <v>17</v>
      </c>
      <c r="D380" s="9">
        <v>2.0</v>
      </c>
      <c r="F380" s="9">
        <v>0.0</v>
      </c>
      <c r="G380" s="9">
        <v>0.0</v>
      </c>
      <c r="H380" s="9">
        <v>0.0</v>
      </c>
    </row>
    <row r="381" ht="15.75" customHeight="1">
      <c r="A381" s="7" t="s">
        <v>1207</v>
      </c>
      <c r="B381" s="9" t="s">
        <v>94</v>
      </c>
      <c r="D381" s="9">
        <v>2.0</v>
      </c>
      <c r="F381" s="9">
        <v>0.0</v>
      </c>
      <c r="G381" s="9">
        <v>0.0</v>
      </c>
      <c r="H381" s="9">
        <v>0.0</v>
      </c>
    </row>
    <row r="382" ht="15.75" customHeight="1">
      <c r="A382" s="7" t="s">
        <v>1209</v>
      </c>
      <c r="B382" s="9" t="s">
        <v>17</v>
      </c>
      <c r="C382" s="9" t="s">
        <v>1213</v>
      </c>
      <c r="D382" s="9">
        <v>2.0</v>
      </c>
      <c r="F382" s="9">
        <v>0.0</v>
      </c>
      <c r="G382" s="9">
        <v>0.0</v>
      </c>
      <c r="H382" s="9">
        <v>0.0</v>
      </c>
    </row>
    <row r="383" ht="15.75" customHeight="1">
      <c r="A383" s="7" t="s">
        <v>1214</v>
      </c>
      <c r="B383" s="9" t="s">
        <v>17</v>
      </c>
      <c r="D383" s="9">
        <v>2.0</v>
      </c>
      <c r="F383" s="9">
        <v>0.0</v>
      </c>
      <c r="G383" s="9">
        <v>0.0</v>
      </c>
      <c r="H383" s="9">
        <v>0.0</v>
      </c>
    </row>
    <row r="384" ht="15.75" customHeight="1">
      <c r="A384" s="7" t="s">
        <v>1218</v>
      </c>
      <c r="B384" s="9" t="s">
        <v>17</v>
      </c>
      <c r="C384" s="9" t="s">
        <v>1221</v>
      </c>
      <c r="D384" s="9">
        <v>2.0</v>
      </c>
      <c r="F384" s="9">
        <v>0.0</v>
      </c>
      <c r="G384" s="9">
        <v>0.0</v>
      </c>
      <c r="H384" s="9">
        <v>2.0</v>
      </c>
    </row>
    <row r="385" ht="15.75" customHeight="1">
      <c r="A385" s="7" t="s">
        <v>1223</v>
      </c>
      <c r="B385" s="9" t="s">
        <v>17</v>
      </c>
      <c r="C385" s="9" t="s">
        <v>1224</v>
      </c>
      <c r="D385" s="9">
        <v>2.0</v>
      </c>
      <c r="E385" s="9">
        <v>0.0</v>
      </c>
      <c r="F385" s="9">
        <v>0.0</v>
      </c>
      <c r="G385" s="9">
        <v>0.0</v>
      </c>
      <c r="H385" s="9">
        <v>2.0</v>
      </c>
      <c r="I385" s="9">
        <v>1.0</v>
      </c>
    </row>
    <row r="386" ht="15.75" customHeight="1">
      <c r="A386" s="7" t="s">
        <v>1226</v>
      </c>
      <c r="B386" s="9" t="s">
        <v>124</v>
      </c>
      <c r="C386" s="9" t="s">
        <v>1228</v>
      </c>
      <c r="D386" s="9">
        <v>2.0</v>
      </c>
      <c r="E386" s="9">
        <v>0.0</v>
      </c>
      <c r="F386" s="9">
        <v>0.0</v>
      </c>
      <c r="G386" s="9">
        <v>0.0</v>
      </c>
      <c r="H386" s="9">
        <v>1.5</v>
      </c>
      <c r="I386" s="9">
        <v>-0.5</v>
      </c>
    </row>
    <row r="387" ht="15.75" customHeight="1">
      <c r="A387" s="7" t="s">
        <v>1229</v>
      </c>
      <c r="B387" s="9" t="s">
        <v>17</v>
      </c>
      <c r="D387" s="9">
        <v>2.0</v>
      </c>
      <c r="F387" s="9">
        <v>0.0</v>
      </c>
      <c r="G387" s="9">
        <v>0.0</v>
      </c>
      <c r="H387" s="9">
        <v>2.0</v>
      </c>
    </row>
    <row r="388" ht="15.75" customHeight="1">
      <c r="A388" s="7" t="s">
        <v>1233</v>
      </c>
      <c r="B388" s="9" t="s">
        <v>17</v>
      </c>
      <c r="C388" s="9" t="s">
        <v>188</v>
      </c>
      <c r="D388" s="9">
        <v>2.0</v>
      </c>
      <c r="F388" s="9">
        <v>0.0</v>
      </c>
      <c r="G388" s="9">
        <v>0.0</v>
      </c>
      <c r="H388" s="9">
        <v>1.5</v>
      </c>
    </row>
    <row r="389" ht="15.75" customHeight="1">
      <c r="A389" s="7" t="s">
        <v>1235</v>
      </c>
      <c r="B389" s="9" t="s">
        <v>17</v>
      </c>
      <c r="C389" s="9" t="s">
        <v>1238</v>
      </c>
      <c r="D389" s="9">
        <v>2.0</v>
      </c>
      <c r="E389" s="9">
        <v>-7.0</v>
      </c>
      <c r="F389" s="9">
        <v>0.0</v>
      </c>
      <c r="G389" s="9">
        <v>0.0</v>
      </c>
      <c r="H389" s="9">
        <v>0.5</v>
      </c>
      <c r="I389" s="9">
        <v>0.39</v>
      </c>
    </row>
    <row r="390" ht="15.75" customHeight="1">
      <c r="A390" s="7" t="s">
        <v>1239</v>
      </c>
      <c r="B390" s="9" t="s">
        <v>124</v>
      </c>
      <c r="C390" s="9" t="s">
        <v>1242</v>
      </c>
      <c r="D390" s="9">
        <v>2.0</v>
      </c>
      <c r="F390" s="9">
        <v>0.0</v>
      </c>
      <c r="G390" s="9">
        <v>0.0</v>
      </c>
      <c r="H390" s="9">
        <v>1.0</v>
      </c>
    </row>
    <row r="391" ht="15.75" customHeight="1">
      <c r="A391" s="7" t="s">
        <v>1243</v>
      </c>
      <c r="B391" s="9" t="s">
        <v>17</v>
      </c>
      <c r="D391" s="9">
        <v>2.0</v>
      </c>
      <c r="F391" s="9">
        <v>0.0</v>
      </c>
      <c r="G391" s="9">
        <v>0.0</v>
      </c>
      <c r="H391" s="9">
        <v>1.0</v>
      </c>
    </row>
    <row r="392" ht="15.75" customHeight="1">
      <c r="A392" s="7" t="s">
        <v>1244</v>
      </c>
      <c r="B392" s="9" t="s">
        <v>17</v>
      </c>
      <c r="D392" s="9">
        <v>2.0</v>
      </c>
      <c r="F392" s="9">
        <v>0.0</v>
      </c>
      <c r="G392" s="9">
        <v>0.0</v>
      </c>
      <c r="H392" s="9">
        <v>0.0</v>
      </c>
    </row>
    <row r="393" ht="15.75" customHeight="1">
      <c r="A393" s="7" t="s">
        <v>1247</v>
      </c>
      <c r="B393" s="9" t="s">
        <v>17</v>
      </c>
      <c r="C393" s="9" t="s">
        <v>1248</v>
      </c>
      <c r="D393" s="9">
        <v>2.0</v>
      </c>
      <c r="E393" s="9">
        <v>1.0</v>
      </c>
      <c r="F393" s="9">
        <v>0.0</v>
      </c>
      <c r="G393" s="9">
        <v>0.0</v>
      </c>
      <c r="H393" s="9">
        <v>2.5</v>
      </c>
      <c r="I393" s="9">
        <v>0.5</v>
      </c>
    </row>
    <row r="394" ht="15.75" customHeight="1">
      <c r="A394" s="7" t="s">
        <v>1250</v>
      </c>
      <c r="B394" s="9" t="s">
        <v>17</v>
      </c>
      <c r="C394" s="9" t="s">
        <v>188</v>
      </c>
      <c r="D394" s="9">
        <v>2.0</v>
      </c>
      <c r="F394" s="9">
        <v>0.0</v>
      </c>
      <c r="G394" s="9">
        <v>0.0</v>
      </c>
      <c r="H394" s="9">
        <v>0.5</v>
      </c>
    </row>
    <row r="395" ht="15.75" customHeight="1">
      <c r="A395" s="7" t="s">
        <v>1253</v>
      </c>
      <c r="B395" s="9" t="s">
        <v>17</v>
      </c>
      <c r="D395" s="9">
        <v>2.0</v>
      </c>
      <c r="F395" s="9">
        <v>0.0</v>
      </c>
      <c r="G395" s="9">
        <v>0.0</v>
      </c>
      <c r="H395" s="9">
        <v>0.0</v>
      </c>
    </row>
    <row r="396" ht="15.75" customHeight="1">
      <c r="A396" s="7" t="s">
        <v>1254</v>
      </c>
      <c r="B396" s="9" t="s">
        <v>17</v>
      </c>
      <c r="C396" s="9" t="s">
        <v>188</v>
      </c>
      <c r="D396" s="9">
        <v>2.0</v>
      </c>
      <c r="F396" s="9">
        <v>0.0</v>
      </c>
      <c r="G396" s="9">
        <v>0.0</v>
      </c>
      <c r="H396" s="9">
        <v>1.5</v>
      </c>
    </row>
    <row r="397" ht="15.75" customHeight="1">
      <c r="A397" s="7" t="s">
        <v>1257</v>
      </c>
      <c r="B397" s="9" t="s">
        <v>17</v>
      </c>
      <c r="D397" s="9">
        <v>2.0</v>
      </c>
      <c r="F397" s="9">
        <v>0.0</v>
      </c>
      <c r="G397" s="9">
        <v>0.0</v>
      </c>
      <c r="H397" s="9">
        <v>1.0</v>
      </c>
    </row>
    <row r="398" ht="15.75" customHeight="1">
      <c r="A398" s="7" t="s">
        <v>1258</v>
      </c>
      <c r="B398" s="9" t="s">
        <v>17</v>
      </c>
      <c r="C398" s="9" t="s">
        <v>188</v>
      </c>
      <c r="D398" s="9">
        <v>2.0</v>
      </c>
      <c r="F398" s="9">
        <v>0.0</v>
      </c>
      <c r="G398" s="9">
        <v>0.0</v>
      </c>
      <c r="H398" s="9">
        <v>0.0</v>
      </c>
    </row>
    <row r="399" ht="15.75" customHeight="1">
      <c r="A399" s="7" t="s">
        <v>1259</v>
      </c>
      <c r="B399" s="9" t="s">
        <v>17</v>
      </c>
      <c r="D399" s="9">
        <v>2.0</v>
      </c>
      <c r="F399" s="9">
        <v>0.0</v>
      </c>
      <c r="G399" s="9">
        <v>0.0</v>
      </c>
      <c r="H399" s="9">
        <v>0.0</v>
      </c>
    </row>
    <row r="400" ht="15.75" customHeight="1">
      <c r="A400" s="9" t="s">
        <v>1261</v>
      </c>
      <c r="B400" s="9" t="s">
        <v>17</v>
      </c>
      <c r="D400" s="9">
        <v>2.0</v>
      </c>
      <c r="F400" s="9">
        <v>0.0</v>
      </c>
      <c r="G400" s="9">
        <v>0.0</v>
      </c>
      <c r="H400" s="9">
        <v>0.0</v>
      </c>
    </row>
    <row r="401" ht="15.75" customHeight="1">
      <c r="A401" s="7" t="s">
        <v>1263</v>
      </c>
      <c r="B401" s="9" t="s">
        <v>17</v>
      </c>
      <c r="C401" s="9" t="s">
        <v>799</v>
      </c>
      <c r="D401" s="9">
        <v>2.0</v>
      </c>
      <c r="F401" s="9">
        <v>0.0</v>
      </c>
      <c r="G401" s="9">
        <v>0.0</v>
      </c>
      <c r="H401" s="9">
        <v>0.0</v>
      </c>
    </row>
    <row r="402" ht="15.75" customHeight="1">
      <c r="A402" s="7" t="s">
        <v>1264</v>
      </c>
      <c r="B402" s="9" t="s">
        <v>17</v>
      </c>
      <c r="C402" s="9" t="s">
        <v>1265</v>
      </c>
      <c r="D402" s="9">
        <v>2.0</v>
      </c>
      <c r="E402" s="9">
        <v>-4.0</v>
      </c>
      <c r="F402" s="9">
        <v>0.0</v>
      </c>
      <c r="G402" s="9">
        <v>0.0</v>
      </c>
      <c r="H402" s="9">
        <v>2.5</v>
      </c>
      <c r="I402" s="9">
        <v>1.0</v>
      </c>
    </row>
    <row r="403" ht="15.75" customHeight="1">
      <c r="A403" s="7" t="s">
        <v>1267</v>
      </c>
      <c r="B403" s="9" t="s">
        <v>17</v>
      </c>
      <c r="D403" s="9">
        <v>2.0</v>
      </c>
      <c r="E403" s="9">
        <v>-3.0</v>
      </c>
      <c r="F403" s="9">
        <v>0.0</v>
      </c>
      <c r="G403" s="9">
        <v>0.0</v>
      </c>
      <c r="H403" s="9">
        <v>1.0</v>
      </c>
      <c r="I403" s="9">
        <v>-1.0</v>
      </c>
    </row>
    <row r="404" ht="15.75" customHeight="1">
      <c r="A404" s="7" t="s">
        <v>1269</v>
      </c>
      <c r="B404" s="9" t="s">
        <v>17</v>
      </c>
      <c r="D404" s="9">
        <v>2.0</v>
      </c>
      <c r="F404" s="9">
        <v>0.0</v>
      </c>
      <c r="G404" s="9">
        <v>0.0</v>
      </c>
      <c r="H404" s="9">
        <v>2.0</v>
      </c>
    </row>
    <row r="405" ht="15.75" customHeight="1">
      <c r="A405" s="7" t="s">
        <v>1270</v>
      </c>
      <c r="B405" s="9" t="s">
        <v>94</v>
      </c>
      <c r="C405" s="9" t="s">
        <v>1272</v>
      </c>
      <c r="D405" s="9">
        <v>2.0</v>
      </c>
      <c r="F405" s="9">
        <v>0.0</v>
      </c>
      <c r="G405" s="9">
        <v>0.0</v>
      </c>
      <c r="H405" s="9">
        <v>1.0</v>
      </c>
    </row>
    <row r="406" ht="15.75" customHeight="1">
      <c r="A406" s="7" t="s">
        <v>1273</v>
      </c>
      <c r="B406" s="9" t="s">
        <v>17</v>
      </c>
      <c r="C406" s="9" t="s">
        <v>1275</v>
      </c>
      <c r="D406" s="9">
        <v>2.0</v>
      </c>
      <c r="F406" s="9">
        <v>0.0</v>
      </c>
      <c r="G406" s="9">
        <v>0.0</v>
      </c>
      <c r="H406" s="9">
        <v>1.5</v>
      </c>
    </row>
    <row r="407" ht="15.75" customHeight="1">
      <c r="A407" s="7" t="s">
        <v>1276</v>
      </c>
      <c r="B407" s="9" t="s">
        <v>44</v>
      </c>
      <c r="C407" s="9" t="s">
        <v>1277</v>
      </c>
      <c r="D407" s="9">
        <v>2.0</v>
      </c>
      <c r="E407" s="9">
        <v>-4.0</v>
      </c>
      <c r="F407" s="9">
        <v>0.0</v>
      </c>
      <c r="G407" s="9">
        <v>0.0</v>
      </c>
      <c r="H407" s="9">
        <v>2.0</v>
      </c>
      <c r="I407" s="9">
        <v>-0.33</v>
      </c>
    </row>
    <row r="408" ht="15.75" customHeight="1">
      <c r="A408" s="9" t="s">
        <v>1279</v>
      </c>
      <c r="B408" s="9" t="s">
        <v>17</v>
      </c>
      <c r="D408" s="9">
        <v>2.0</v>
      </c>
      <c r="F408" s="9">
        <v>0.0</v>
      </c>
      <c r="G408" s="9">
        <v>0.0</v>
      </c>
      <c r="H408" s="9">
        <v>0.0</v>
      </c>
    </row>
    <row r="409" ht="15.75" customHeight="1">
      <c r="A409" s="7" t="s">
        <v>1281</v>
      </c>
      <c r="B409" s="9" t="s">
        <v>44</v>
      </c>
      <c r="C409" s="9" t="s">
        <v>1283</v>
      </c>
      <c r="D409" s="9">
        <v>2.0</v>
      </c>
      <c r="F409" s="9">
        <v>0.0</v>
      </c>
      <c r="G409" s="9">
        <v>0.0</v>
      </c>
      <c r="H409" s="9">
        <v>0.0</v>
      </c>
    </row>
    <row r="410" ht="15.75" customHeight="1">
      <c r="A410" s="7" t="s">
        <v>1284</v>
      </c>
      <c r="B410" s="9" t="s">
        <v>17</v>
      </c>
      <c r="C410" s="9" t="s">
        <v>1285</v>
      </c>
      <c r="D410" s="9">
        <v>2.0</v>
      </c>
      <c r="E410" s="9">
        <v>-1.0</v>
      </c>
      <c r="F410" s="9">
        <v>0.0</v>
      </c>
      <c r="G410" s="9">
        <v>0.0</v>
      </c>
      <c r="H410" s="9">
        <v>0.5</v>
      </c>
      <c r="I410" s="9">
        <v>0.5</v>
      </c>
    </row>
    <row r="411" ht="15.75" customHeight="1">
      <c r="A411" s="7" t="s">
        <v>1286</v>
      </c>
      <c r="B411" s="9" t="s">
        <v>17</v>
      </c>
      <c r="C411" s="9" t="s">
        <v>188</v>
      </c>
      <c r="D411" s="9">
        <v>2.0</v>
      </c>
      <c r="F411" s="9">
        <v>0.0</v>
      </c>
      <c r="G411" s="9">
        <v>0.0</v>
      </c>
      <c r="H411" s="9">
        <v>0.0</v>
      </c>
    </row>
    <row r="412" ht="15.75" customHeight="1">
      <c r="A412" s="7" t="s">
        <v>1289</v>
      </c>
      <c r="B412" s="9" t="s">
        <v>17</v>
      </c>
      <c r="C412" s="9" t="s">
        <v>1292</v>
      </c>
      <c r="D412" s="9">
        <v>2.0</v>
      </c>
      <c r="F412" s="9">
        <v>0.0</v>
      </c>
      <c r="G412" s="9">
        <v>0.0</v>
      </c>
      <c r="H412" s="9">
        <v>0.5</v>
      </c>
    </row>
    <row r="413" ht="15.75" customHeight="1">
      <c r="A413" s="7" t="s">
        <v>1293</v>
      </c>
      <c r="B413" s="9" t="s">
        <v>17</v>
      </c>
      <c r="D413" s="9">
        <v>2.0</v>
      </c>
      <c r="F413" s="9">
        <v>0.0</v>
      </c>
      <c r="G413" s="9">
        <v>0.0</v>
      </c>
      <c r="H413" s="9">
        <v>0.0</v>
      </c>
    </row>
    <row r="414" ht="15.75" customHeight="1">
      <c r="A414" s="7" t="s">
        <v>1294</v>
      </c>
      <c r="B414" s="9" t="s">
        <v>17</v>
      </c>
      <c r="D414" s="9">
        <v>2.0</v>
      </c>
      <c r="F414" s="9">
        <v>0.0</v>
      </c>
      <c r="G414" s="9">
        <v>0.0</v>
      </c>
      <c r="H414" s="9">
        <v>0.0</v>
      </c>
    </row>
    <row r="415" ht="15.75" customHeight="1">
      <c r="A415" s="7" t="s">
        <v>1295</v>
      </c>
      <c r="B415" s="9" t="s">
        <v>17</v>
      </c>
      <c r="D415" s="9">
        <v>2.0</v>
      </c>
      <c r="F415" s="9">
        <v>0.0</v>
      </c>
      <c r="G415" s="9">
        <v>0.0</v>
      </c>
      <c r="H415" s="9">
        <v>1.0</v>
      </c>
    </row>
    <row r="416" ht="15.75" customHeight="1">
      <c r="A416" s="7" t="s">
        <v>1299</v>
      </c>
      <c r="B416" s="9" t="s">
        <v>17</v>
      </c>
      <c r="C416" s="9" t="s">
        <v>1300</v>
      </c>
      <c r="D416" s="9">
        <v>2.0</v>
      </c>
      <c r="E416" s="9">
        <v>1.0</v>
      </c>
      <c r="F416" s="9">
        <v>0.0</v>
      </c>
      <c r="G416" s="9">
        <v>0.0</v>
      </c>
      <c r="H416" s="9">
        <v>0.0</v>
      </c>
      <c r="I416" s="9">
        <v>0.0</v>
      </c>
    </row>
    <row r="417" ht="15.75" customHeight="1">
      <c r="A417" s="7" t="s">
        <v>1301</v>
      </c>
      <c r="B417" s="9" t="s">
        <v>17</v>
      </c>
      <c r="C417" s="9" t="s">
        <v>1303</v>
      </c>
      <c r="D417" s="9">
        <v>2.0</v>
      </c>
      <c r="E417" s="9">
        <v>1.0</v>
      </c>
      <c r="F417" s="9">
        <v>0.0</v>
      </c>
      <c r="G417" s="9">
        <v>0.0</v>
      </c>
      <c r="H417" s="9">
        <v>0.0</v>
      </c>
      <c r="I417" s="9">
        <v>0.0</v>
      </c>
    </row>
    <row r="418" ht="15.75" customHeight="1">
      <c r="A418" s="7" t="s">
        <v>1305</v>
      </c>
      <c r="B418" s="9" t="s">
        <v>17</v>
      </c>
      <c r="C418" s="9" t="s">
        <v>1306</v>
      </c>
      <c r="D418" s="9">
        <v>2.0</v>
      </c>
      <c r="F418" s="9">
        <v>0.0</v>
      </c>
      <c r="G418" s="9">
        <v>0.0</v>
      </c>
      <c r="H418" s="9">
        <v>1.0</v>
      </c>
    </row>
    <row r="419" ht="15.75" customHeight="1">
      <c r="A419" s="7" t="s">
        <v>1307</v>
      </c>
      <c r="B419" s="9" t="s">
        <v>17</v>
      </c>
      <c r="C419" s="9" t="s">
        <v>1309</v>
      </c>
      <c r="D419" s="9">
        <v>2.0</v>
      </c>
      <c r="F419" s="9">
        <v>0.0</v>
      </c>
      <c r="G419" s="9">
        <v>0.0</v>
      </c>
      <c r="H419" s="9">
        <v>1.5</v>
      </c>
    </row>
    <row r="420" ht="15.75" customHeight="1">
      <c r="A420" s="7" t="s">
        <v>1311</v>
      </c>
      <c r="B420" s="9" t="s">
        <v>17</v>
      </c>
      <c r="C420" s="9" t="s">
        <v>188</v>
      </c>
      <c r="D420" s="9">
        <v>2.0</v>
      </c>
      <c r="F420" s="9">
        <v>0.0</v>
      </c>
      <c r="G420" s="9">
        <v>0.0</v>
      </c>
      <c r="H420" s="9">
        <v>1.0</v>
      </c>
    </row>
    <row r="421" ht="15.75" customHeight="1">
      <c r="A421" s="7" t="s">
        <v>1313</v>
      </c>
      <c r="B421" s="9" t="s">
        <v>17</v>
      </c>
      <c r="C421" s="9" t="s">
        <v>188</v>
      </c>
      <c r="D421" s="9">
        <v>2.0</v>
      </c>
      <c r="E421" s="9">
        <v>1.0</v>
      </c>
      <c r="F421" s="9">
        <v>0.0</v>
      </c>
      <c r="G421" s="9">
        <v>0.0</v>
      </c>
      <c r="H421" s="9">
        <v>0.0</v>
      </c>
      <c r="I421" s="9">
        <v>-3.0</v>
      </c>
    </row>
    <row r="422" ht="15.75" customHeight="1">
      <c r="A422" s="7" t="s">
        <v>1315</v>
      </c>
      <c r="B422" s="9" t="s">
        <v>17</v>
      </c>
      <c r="D422" s="9">
        <v>2.0</v>
      </c>
      <c r="F422" s="9">
        <v>0.0</v>
      </c>
      <c r="G422" s="9">
        <v>0.0</v>
      </c>
      <c r="H422" s="9">
        <v>1.0</v>
      </c>
    </row>
    <row r="423" ht="15.75" customHeight="1">
      <c r="A423" s="7" t="s">
        <v>1317</v>
      </c>
      <c r="B423" s="9" t="s">
        <v>39</v>
      </c>
      <c r="D423" s="9">
        <v>2.0</v>
      </c>
      <c r="F423" s="9">
        <v>0.0</v>
      </c>
      <c r="G423" s="9">
        <v>0.0</v>
      </c>
      <c r="H423" s="9">
        <v>0.0</v>
      </c>
    </row>
    <row r="424" ht="15.75" customHeight="1">
      <c r="A424" s="9" t="s">
        <v>1324</v>
      </c>
      <c r="B424" s="9" t="s">
        <v>17</v>
      </c>
      <c r="C424" s="9" t="s">
        <v>1325</v>
      </c>
      <c r="D424" s="9">
        <v>2.0</v>
      </c>
      <c r="F424" s="9">
        <v>0.0</v>
      </c>
      <c r="G424" s="9">
        <v>0.0</v>
      </c>
      <c r="H424" s="9">
        <v>1.0</v>
      </c>
    </row>
    <row r="425" ht="15.75" customHeight="1">
      <c r="A425" s="9" t="s">
        <v>1327</v>
      </c>
      <c r="B425" s="9" t="s">
        <v>17</v>
      </c>
      <c r="C425" s="9" t="s">
        <v>1328</v>
      </c>
      <c r="D425" s="9">
        <v>2.0</v>
      </c>
      <c r="F425" s="9">
        <v>0.0</v>
      </c>
      <c r="G425" s="9">
        <v>0.0</v>
      </c>
      <c r="H425" s="9">
        <v>0.0</v>
      </c>
    </row>
    <row r="426" ht="15.75" customHeight="1">
      <c r="A426" s="7" t="s">
        <v>1329</v>
      </c>
      <c r="B426" s="9" t="s">
        <v>17</v>
      </c>
      <c r="C426" s="9" t="s">
        <v>1330</v>
      </c>
      <c r="D426" s="9">
        <v>2.0</v>
      </c>
      <c r="E426" s="9">
        <v>-11.0</v>
      </c>
      <c r="F426" s="9">
        <v>0.0</v>
      </c>
      <c r="G426" s="9">
        <v>0.0</v>
      </c>
      <c r="H426" s="9">
        <v>0.0</v>
      </c>
      <c r="I426" s="9">
        <v>-0.92</v>
      </c>
    </row>
    <row r="427" ht="15.75" customHeight="1">
      <c r="A427" s="7" t="s">
        <v>1331</v>
      </c>
      <c r="B427" s="9" t="s">
        <v>17</v>
      </c>
      <c r="D427" s="9">
        <v>2.0</v>
      </c>
      <c r="E427" s="9">
        <v>-1.0</v>
      </c>
      <c r="F427" s="9">
        <v>0.0</v>
      </c>
      <c r="G427" s="9">
        <v>0.0</v>
      </c>
      <c r="H427" s="9">
        <v>1.5</v>
      </c>
      <c r="I427" s="9">
        <v>1.17</v>
      </c>
    </row>
    <row r="428" ht="15.75" customHeight="1">
      <c r="A428" s="7" t="s">
        <v>1335</v>
      </c>
      <c r="B428" s="9" t="s">
        <v>17</v>
      </c>
      <c r="D428" s="9">
        <v>2.0</v>
      </c>
      <c r="F428" s="9">
        <v>0.0</v>
      </c>
      <c r="G428" s="9">
        <v>0.0</v>
      </c>
      <c r="H428" s="9">
        <v>3.0</v>
      </c>
    </row>
    <row r="429" ht="15.75" customHeight="1">
      <c r="A429" s="7" t="s">
        <v>1336</v>
      </c>
      <c r="B429" s="9" t="s">
        <v>17</v>
      </c>
      <c r="D429" s="9">
        <v>2.0</v>
      </c>
      <c r="F429" s="9">
        <v>0.0</v>
      </c>
      <c r="G429" s="9">
        <v>0.0</v>
      </c>
      <c r="H429" s="9">
        <v>0.0</v>
      </c>
    </row>
    <row r="430" ht="15.75" customHeight="1">
      <c r="A430" s="7" t="s">
        <v>1337</v>
      </c>
      <c r="B430" s="9" t="s">
        <v>17</v>
      </c>
      <c r="C430" s="9" t="s">
        <v>1339</v>
      </c>
      <c r="D430" s="9">
        <v>2.0</v>
      </c>
      <c r="E430" s="9">
        <v>-8.0</v>
      </c>
      <c r="F430" s="9">
        <v>0.0</v>
      </c>
      <c r="G430" s="9">
        <v>0.0</v>
      </c>
      <c r="H430" s="9">
        <v>0.0</v>
      </c>
      <c r="I430" s="9">
        <v>-0.4</v>
      </c>
    </row>
    <row r="431" ht="15.75" customHeight="1">
      <c r="A431" s="7" t="s">
        <v>1341</v>
      </c>
      <c r="B431" s="9" t="s">
        <v>17</v>
      </c>
      <c r="C431" s="9" t="s">
        <v>720</v>
      </c>
      <c r="D431" s="9">
        <v>2.0</v>
      </c>
      <c r="F431" s="9">
        <v>0.0</v>
      </c>
      <c r="G431" s="9">
        <v>0.0</v>
      </c>
      <c r="H431" s="9">
        <v>0.0</v>
      </c>
    </row>
    <row r="432" ht="15.75" customHeight="1">
      <c r="A432" s="7" t="s">
        <v>1343</v>
      </c>
      <c r="B432" s="9" t="s">
        <v>17</v>
      </c>
      <c r="D432" s="9">
        <v>2.0</v>
      </c>
      <c r="F432" s="9">
        <v>0.0</v>
      </c>
      <c r="G432" s="9">
        <v>0.0</v>
      </c>
      <c r="H432" s="9">
        <v>2.0</v>
      </c>
    </row>
    <row r="433" ht="15.75" customHeight="1">
      <c r="A433" s="7" t="s">
        <v>1346</v>
      </c>
      <c r="B433" s="9" t="s">
        <v>44</v>
      </c>
      <c r="C433" s="9" t="s">
        <v>1348</v>
      </c>
      <c r="D433" s="9">
        <v>2.0</v>
      </c>
      <c r="E433" s="9">
        <v>1.0</v>
      </c>
      <c r="F433" s="9">
        <v>0.0</v>
      </c>
      <c r="G433" s="9">
        <v>0.0</v>
      </c>
      <c r="H433" s="9">
        <v>0.5</v>
      </c>
      <c r="I433" s="9">
        <v>-0.5</v>
      </c>
    </row>
    <row r="434" ht="15.75" customHeight="1">
      <c r="A434" s="7" t="s">
        <v>1349</v>
      </c>
      <c r="B434" s="9" t="s">
        <v>17</v>
      </c>
      <c r="C434" s="9" t="s">
        <v>1352</v>
      </c>
      <c r="D434" s="9">
        <v>2.0</v>
      </c>
      <c r="E434" s="9">
        <v>-8.0</v>
      </c>
      <c r="F434" s="9">
        <v>0.0</v>
      </c>
      <c r="G434" s="9">
        <v>0.0</v>
      </c>
      <c r="H434" s="9">
        <v>1.0</v>
      </c>
      <c r="I434" s="9">
        <v>0.0</v>
      </c>
    </row>
    <row r="435" ht="15.75" customHeight="1">
      <c r="A435" s="7" t="s">
        <v>1353</v>
      </c>
      <c r="B435" s="9" t="s">
        <v>17</v>
      </c>
      <c r="D435" s="9">
        <v>2.0</v>
      </c>
      <c r="F435" s="9">
        <v>0.0</v>
      </c>
      <c r="G435" s="9">
        <v>0.0</v>
      </c>
      <c r="H435" s="9">
        <v>0.0</v>
      </c>
    </row>
    <row r="436" ht="15.75" customHeight="1">
      <c r="A436" s="7" t="s">
        <v>1356</v>
      </c>
      <c r="B436" s="9" t="s">
        <v>17</v>
      </c>
      <c r="C436" s="9" t="s">
        <v>1357</v>
      </c>
      <c r="D436" s="9">
        <v>2.0</v>
      </c>
      <c r="E436" s="9">
        <v>-8.0</v>
      </c>
      <c r="F436" s="9">
        <v>0.0</v>
      </c>
      <c r="G436" s="9">
        <v>0.0</v>
      </c>
      <c r="H436" s="9">
        <v>1.5</v>
      </c>
      <c r="I436" s="9">
        <v>-0.4</v>
      </c>
    </row>
    <row r="437" ht="15.75" customHeight="1">
      <c r="A437" s="7" t="s">
        <v>1358</v>
      </c>
      <c r="B437" s="9" t="s">
        <v>17</v>
      </c>
      <c r="C437" s="9" t="s">
        <v>1360</v>
      </c>
      <c r="D437" s="9">
        <v>2.0</v>
      </c>
      <c r="E437" s="9">
        <v>-16.0</v>
      </c>
      <c r="F437" s="9">
        <v>0.0</v>
      </c>
      <c r="G437" s="9">
        <v>0.0</v>
      </c>
      <c r="H437" s="9">
        <v>0.5</v>
      </c>
      <c r="I437" s="9">
        <v>-1.39</v>
      </c>
    </row>
    <row r="438" ht="15.75" customHeight="1">
      <c r="A438" s="7" t="s">
        <v>1362</v>
      </c>
      <c r="B438" s="9" t="s">
        <v>44</v>
      </c>
      <c r="C438" s="9" t="s">
        <v>1364</v>
      </c>
      <c r="D438" s="9">
        <v>2.0</v>
      </c>
      <c r="F438" s="9">
        <v>0.0</v>
      </c>
      <c r="G438" s="9">
        <v>0.0</v>
      </c>
      <c r="H438" s="9">
        <v>0.5</v>
      </c>
    </row>
    <row r="439" ht="15.75" customHeight="1">
      <c r="A439" s="7" t="s">
        <v>1365</v>
      </c>
      <c r="B439" s="9" t="s">
        <v>17</v>
      </c>
      <c r="D439" s="9">
        <v>2.0</v>
      </c>
      <c r="E439" s="9">
        <v>-13.0</v>
      </c>
      <c r="F439" s="9">
        <v>0.0</v>
      </c>
      <c r="G439" s="9">
        <v>0.0</v>
      </c>
      <c r="H439" s="9">
        <v>0.5</v>
      </c>
      <c r="I439" s="9">
        <v>0.23</v>
      </c>
    </row>
    <row r="440" ht="15.75" customHeight="1">
      <c r="A440" s="7" t="s">
        <v>1368</v>
      </c>
      <c r="B440" s="9" t="s">
        <v>17</v>
      </c>
      <c r="D440" s="9">
        <v>2.0</v>
      </c>
      <c r="F440" s="9">
        <v>0.0</v>
      </c>
      <c r="G440" s="9">
        <v>0.0</v>
      </c>
      <c r="H440" s="9">
        <v>0.0</v>
      </c>
    </row>
    <row r="441" ht="15.75" customHeight="1">
      <c r="A441" s="9" t="s">
        <v>1369</v>
      </c>
      <c r="B441" s="9" t="s">
        <v>17</v>
      </c>
      <c r="D441" s="9">
        <v>2.0</v>
      </c>
      <c r="F441" s="9">
        <v>0.0</v>
      </c>
      <c r="G441" s="9">
        <v>0.0</v>
      </c>
      <c r="H441" s="9">
        <v>0.0</v>
      </c>
    </row>
    <row r="442" ht="15.75" customHeight="1">
      <c r="A442" s="7" t="s">
        <v>1370</v>
      </c>
      <c r="B442" s="9" t="s">
        <v>94</v>
      </c>
      <c r="C442" s="9" t="s">
        <v>1372</v>
      </c>
      <c r="D442" s="9">
        <v>2.0</v>
      </c>
      <c r="F442" s="9">
        <v>0.0</v>
      </c>
      <c r="G442" s="9">
        <v>0.0</v>
      </c>
      <c r="H442" s="9">
        <v>0.0</v>
      </c>
    </row>
    <row r="443" ht="15.75" customHeight="1">
      <c r="A443" s="7" t="s">
        <v>1373</v>
      </c>
      <c r="B443" s="9" t="s">
        <v>124</v>
      </c>
      <c r="C443" s="9" t="s">
        <v>1375</v>
      </c>
      <c r="D443" s="9">
        <v>2.0</v>
      </c>
      <c r="E443" s="9">
        <v>1.0</v>
      </c>
      <c r="F443" s="9">
        <v>0.0</v>
      </c>
      <c r="G443" s="9">
        <v>0.0</v>
      </c>
      <c r="H443" s="9">
        <v>2.0</v>
      </c>
      <c r="I443" s="9">
        <v>0.0</v>
      </c>
    </row>
    <row r="444" ht="15.75" customHeight="1">
      <c r="A444" s="7" t="s">
        <v>1378</v>
      </c>
      <c r="B444" s="9" t="s">
        <v>17</v>
      </c>
      <c r="D444" s="9">
        <v>2.0</v>
      </c>
      <c r="F444" s="9">
        <v>0.0</v>
      </c>
      <c r="G444" s="9">
        <v>0.0</v>
      </c>
      <c r="H444" s="9">
        <v>2.5</v>
      </c>
    </row>
    <row r="445" ht="15.75" customHeight="1">
      <c r="A445" s="9" t="s">
        <v>1381</v>
      </c>
      <c r="B445" s="9" t="s">
        <v>17</v>
      </c>
      <c r="C445" s="9" t="s">
        <v>340</v>
      </c>
      <c r="D445" s="9">
        <v>2.0</v>
      </c>
      <c r="E445" s="9">
        <v>1.0</v>
      </c>
      <c r="F445" s="9">
        <v>0.0</v>
      </c>
      <c r="G445" s="9">
        <v>0.0</v>
      </c>
      <c r="H445" s="9">
        <v>1.0</v>
      </c>
      <c r="I445" s="9">
        <v>0.0</v>
      </c>
    </row>
    <row r="446" ht="15.75" customHeight="1">
      <c r="A446" s="7" t="s">
        <v>1382</v>
      </c>
      <c r="B446" s="9" t="s">
        <v>360</v>
      </c>
      <c r="D446" s="9">
        <v>2.0</v>
      </c>
      <c r="F446" s="9">
        <v>0.0</v>
      </c>
      <c r="G446" s="9">
        <v>0.0</v>
      </c>
      <c r="H446" s="9">
        <v>0.5</v>
      </c>
    </row>
    <row r="447" ht="15.75" customHeight="1">
      <c r="A447" s="7" t="s">
        <v>1383</v>
      </c>
      <c r="B447" s="9" t="s">
        <v>94</v>
      </c>
      <c r="C447" s="9" t="s">
        <v>720</v>
      </c>
      <c r="D447" s="9">
        <v>2.0</v>
      </c>
      <c r="F447" s="9">
        <v>0.0</v>
      </c>
      <c r="G447" s="9">
        <v>0.0</v>
      </c>
      <c r="H447" s="9">
        <v>0.0</v>
      </c>
    </row>
    <row r="448" ht="15.75" customHeight="1">
      <c r="A448" s="7" t="s">
        <v>1385</v>
      </c>
      <c r="B448" s="9" t="s">
        <v>17</v>
      </c>
      <c r="D448" s="9">
        <v>2.0</v>
      </c>
      <c r="E448" s="9">
        <v>1.0</v>
      </c>
      <c r="F448" s="9">
        <v>0.0</v>
      </c>
      <c r="G448" s="9">
        <v>0.0</v>
      </c>
      <c r="H448" s="9">
        <v>0.5</v>
      </c>
      <c r="I448" s="9">
        <v>-0.5</v>
      </c>
    </row>
    <row r="449" ht="15.75" customHeight="1">
      <c r="A449" s="7" t="s">
        <v>1388</v>
      </c>
      <c r="B449" s="9" t="s">
        <v>94</v>
      </c>
      <c r="C449" s="9" t="s">
        <v>1389</v>
      </c>
      <c r="D449" s="9">
        <v>2.0</v>
      </c>
      <c r="F449" s="9">
        <v>0.0</v>
      </c>
      <c r="G449" s="9">
        <v>0.0</v>
      </c>
      <c r="H449" s="9">
        <v>1.0</v>
      </c>
    </row>
    <row r="450" ht="15.75" customHeight="1">
      <c r="A450" s="7" t="s">
        <v>1390</v>
      </c>
      <c r="B450" s="9" t="s">
        <v>17</v>
      </c>
      <c r="D450" s="9">
        <v>2.0</v>
      </c>
      <c r="E450" s="9">
        <v>-3.0</v>
      </c>
      <c r="F450" s="9">
        <v>0.0</v>
      </c>
      <c r="G450" s="9">
        <v>0.0</v>
      </c>
      <c r="H450" s="9">
        <v>2.0</v>
      </c>
      <c r="I450" s="9">
        <v>0.6</v>
      </c>
    </row>
    <row r="451" ht="15.75" customHeight="1">
      <c r="A451" s="7" t="s">
        <v>1393</v>
      </c>
      <c r="B451" s="9" t="s">
        <v>17</v>
      </c>
      <c r="C451" s="9" t="s">
        <v>1394</v>
      </c>
      <c r="D451" s="9">
        <v>2.0</v>
      </c>
      <c r="E451" s="9">
        <v>-5.0</v>
      </c>
      <c r="F451" s="9">
        <v>0.0</v>
      </c>
      <c r="G451" s="9">
        <v>0.0</v>
      </c>
      <c r="H451" s="9">
        <v>2.0</v>
      </c>
      <c r="I451" s="9">
        <v>-0.71</v>
      </c>
    </row>
    <row r="452" ht="15.75" customHeight="1">
      <c r="A452" s="7" t="s">
        <v>1395</v>
      </c>
      <c r="B452" s="9" t="s">
        <v>17</v>
      </c>
      <c r="C452" s="9" t="s">
        <v>1396</v>
      </c>
      <c r="D452" s="9">
        <v>2.0</v>
      </c>
      <c r="F452" s="9">
        <v>0.0</v>
      </c>
      <c r="G452" s="9">
        <v>0.0</v>
      </c>
      <c r="H452" s="9">
        <v>0.5</v>
      </c>
    </row>
    <row r="453" ht="15.75" customHeight="1">
      <c r="A453" s="7" t="s">
        <v>1397</v>
      </c>
      <c r="B453" s="9" t="s">
        <v>17</v>
      </c>
      <c r="C453" s="9" t="s">
        <v>1400</v>
      </c>
      <c r="D453" s="9">
        <v>2.0</v>
      </c>
      <c r="F453" s="9">
        <v>0.0</v>
      </c>
      <c r="G453" s="9">
        <v>0.0</v>
      </c>
      <c r="H453" s="9">
        <v>0.0</v>
      </c>
    </row>
    <row r="454" ht="15.75" customHeight="1">
      <c r="A454" s="7" t="s">
        <v>1401</v>
      </c>
      <c r="B454" s="9" t="s">
        <v>17</v>
      </c>
      <c r="C454" s="9" t="s">
        <v>340</v>
      </c>
      <c r="D454" s="9">
        <v>2.0</v>
      </c>
      <c r="E454" s="9">
        <v>-3.0</v>
      </c>
      <c r="F454" s="9">
        <v>0.0</v>
      </c>
      <c r="G454" s="9">
        <v>0.0</v>
      </c>
      <c r="H454" s="9">
        <v>1.0</v>
      </c>
      <c r="I454" s="9">
        <v>-1.0</v>
      </c>
    </row>
    <row r="455" ht="15.75" customHeight="1">
      <c r="A455" s="7" t="s">
        <v>1402</v>
      </c>
      <c r="B455" s="9" t="s">
        <v>17</v>
      </c>
      <c r="C455" s="9" t="s">
        <v>1404</v>
      </c>
      <c r="D455" s="9">
        <v>2.0</v>
      </c>
      <c r="F455" s="9">
        <v>0.0</v>
      </c>
      <c r="G455" s="9">
        <v>0.0</v>
      </c>
      <c r="H455" s="9">
        <v>3.0</v>
      </c>
    </row>
    <row r="456" ht="15.75" customHeight="1">
      <c r="A456" s="7" t="s">
        <v>1405</v>
      </c>
      <c r="B456" s="9" t="s">
        <v>17</v>
      </c>
      <c r="C456" s="9" t="s">
        <v>720</v>
      </c>
      <c r="D456" s="9">
        <v>2.0</v>
      </c>
      <c r="E456" s="9">
        <v>-2.0</v>
      </c>
      <c r="F456" s="9">
        <v>0.0</v>
      </c>
      <c r="G456" s="9">
        <v>0.0</v>
      </c>
      <c r="H456" s="9">
        <v>0.5</v>
      </c>
      <c r="I456" s="9">
        <v>0.0</v>
      </c>
    </row>
    <row r="457" ht="15.75" customHeight="1">
      <c r="A457" s="7" t="s">
        <v>1406</v>
      </c>
      <c r="B457" s="9" t="s">
        <v>124</v>
      </c>
      <c r="C457" s="9" t="s">
        <v>1409</v>
      </c>
      <c r="D457" s="9">
        <v>2.0</v>
      </c>
      <c r="E457" s="9">
        <v>1.0</v>
      </c>
      <c r="F457" s="9">
        <v>0.0</v>
      </c>
      <c r="G457" s="9">
        <v>0.0</v>
      </c>
      <c r="H457" s="9">
        <v>2.0</v>
      </c>
      <c r="I457" s="9">
        <v>0.0</v>
      </c>
    </row>
    <row r="458" ht="15.75" customHeight="1">
      <c r="A458" s="7" t="s">
        <v>1410</v>
      </c>
      <c r="B458" s="9" t="s">
        <v>17</v>
      </c>
      <c r="C458" s="9" t="s">
        <v>1411</v>
      </c>
      <c r="D458" s="9">
        <v>2.0</v>
      </c>
      <c r="F458" s="9">
        <v>0.0</v>
      </c>
      <c r="G458" s="9">
        <v>0.0</v>
      </c>
      <c r="H458" s="9">
        <v>0.0</v>
      </c>
    </row>
    <row r="459" ht="15.75" customHeight="1">
      <c r="A459" s="7" t="s">
        <v>1412</v>
      </c>
      <c r="B459" s="9" t="s">
        <v>44</v>
      </c>
      <c r="C459" s="9" t="s">
        <v>788</v>
      </c>
      <c r="D459" s="9">
        <v>2.0</v>
      </c>
      <c r="F459" s="9">
        <v>0.0</v>
      </c>
      <c r="G459" s="9">
        <v>0.0</v>
      </c>
      <c r="H459" s="9">
        <v>1.0</v>
      </c>
    </row>
    <row r="460" ht="15.75" customHeight="1">
      <c r="A460" s="7" t="s">
        <v>1415</v>
      </c>
      <c r="B460" s="9" t="s">
        <v>17</v>
      </c>
      <c r="C460" s="9" t="s">
        <v>287</v>
      </c>
      <c r="D460" s="9">
        <v>2.0</v>
      </c>
      <c r="F460" s="9">
        <v>0.0</v>
      </c>
      <c r="G460" s="9">
        <v>0.0</v>
      </c>
      <c r="H460" s="9">
        <v>1.0</v>
      </c>
    </row>
    <row r="461" ht="15.75" customHeight="1">
      <c r="A461" s="7" t="s">
        <v>1419</v>
      </c>
      <c r="B461" s="9" t="s">
        <v>17</v>
      </c>
      <c r="C461" s="9" t="s">
        <v>460</v>
      </c>
      <c r="D461" s="9">
        <v>2.0</v>
      </c>
      <c r="F461" s="9">
        <v>0.0</v>
      </c>
      <c r="G461" s="9">
        <v>0.0</v>
      </c>
      <c r="H461" s="9">
        <v>0.5</v>
      </c>
    </row>
    <row r="462" ht="15.75" customHeight="1">
      <c r="A462" s="7" t="s">
        <v>1423</v>
      </c>
      <c r="B462" s="9" t="s">
        <v>39</v>
      </c>
      <c r="C462" s="9" t="s">
        <v>1424</v>
      </c>
      <c r="D462" s="9">
        <v>1.0</v>
      </c>
      <c r="E462" s="9">
        <v>-4.0</v>
      </c>
      <c r="F462" s="9">
        <v>0.0</v>
      </c>
      <c r="G462" s="9">
        <v>0.0</v>
      </c>
      <c r="H462" s="9">
        <v>3.0</v>
      </c>
      <c r="I462" s="9">
        <v>3.0</v>
      </c>
    </row>
    <row r="463" ht="15.75" customHeight="1">
      <c r="A463" s="7" t="s">
        <v>1425</v>
      </c>
      <c r="B463" s="9" t="s">
        <v>17</v>
      </c>
      <c r="C463" s="9" t="s">
        <v>188</v>
      </c>
      <c r="D463" s="9">
        <v>1.0</v>
      </c>
      <c r="F463" s="9">
        <v>0.0</v>
      </c>
      <c r="G463" s="9">
        <v>0.0</v>
      </c>
      <c r="H463" s="9">
        <v>3.0</v>
      </c>
    </row>
    <row r="464" ht="15.75" customHeight="1">
      <c r="A464" s="7" t="s">
        <v>1429</v>
      </c>
      <c r="B464" s="9" t="s">
        <v>17</v>
      </c>
      <c r="C464" s="9" t="s">
        <v>1430</v>
      </c>
      <c r="D464" s="9">
        <v>1.0</v>
      </c>
      <c r="E464" s="9">
        <v>-6.0</v>
      </c>
      <c r="F464" s="9">
        <v>0.0</v>
      </c>
      <c r="G464" s="9">
        <v>0.0</v>
      </c>
      <c r="H464" s="9">
        <v>2.0</v>
      </c>
      <c r="I464" s="9">
        <v>1.14</v>
      </c>
    </row>
    <row r="465" ht="15.75" customHeight="1">
      <c r="A465" s="7" t="s">
        <v>1431</v>
      </c>
      <c r="B465" s="9" t="s">
        <v>17</v>
      </c>
      <c r="D465" s="9">
        <v>1.0</v>
      </c>
      <c r="E465" s="9">
        <v>0.0</v>
      </c>
      <c r="F465" s="9">
        <v>0.0</v>
      </c>
      <c r="G465" s="9">
        <v>0.0</v>
      </c>
      <c r="H465" s="9">
        <v>0.0</v>
      </c>
      <c r="I465" s="9">
        <v>0.0</v>
      </c>
    </row>
    <row r="466" ht="15.75" customHeight="1">
      <c r="A466" s="7" t="s">
        <v>1435</v>
      </c>
      <c r="B466" s="9" t="s">
        <v>94</v>
      </c>
      <c r="D466" s="9">
        <v>1.0</v>
      </c>
      <c r="F466" s="9">
        <v>0.0</v>
      </c>
      <c r="G466" s="9">
        <v>0.0</v>
      </c>
      <c r="H466" s="9">
        <v>2.0</v>
      </c>
    </row>
    <row r="467" ht="15.75" customHeight="1">
      <c r="A467" s="7" t="s">
        <v>1438</v>
      </c>
      <c r="B467" s="9" t="s">
        <v>17</v>
      </c>
      <c r="C467" s="9" t="s">
        <v>1300</v>
      </c>
      <c r="D467" s="9">
        <v>1.0</v>
      </c>
      <c r="E467" s="9">
        <v>-4.0</v>
      </c>
      <c r="F467" s="9">
        <v>0.0</v>
      </c>
      <c r="G467" s="9">
        <v>0.0</v>
      </c>
      <c r="H467" s="9">
        <v>2.0</v>
      </c>
      <c r="I467" s="9">
        <v>1.6</v>
      </c>
    </row>
    <row r="468" ht="15.75" customHeight="1">
      <c r="A468" s="7" t="s">
        <v>1440</v>
      </c>
      <c r="B468" s="9" t="s">
        <v>17</v>
      </c>
      <c r="C468" s="9" t="s">
        <v>482</v>
      </c>
      <c r="D468" s="9">
        <v>1.0</v>
      </c>
      <c r="E468" s="9">
        <v>-4.0</v>
      </c>
      <c r="F468" s="9">
        <v>0.0</v>
      </c>
      <c r="G468" s="9">
        <v>0.0</v>
      </c>
      <c r="H468" s="9">
        <v>3.0</v>
      </c>
      <c r="I468" s="9">
        <v>1.2</v>
      </c>
    </row>
    <row r="469" ht="15.75" customHeight="1">
      <c r="A469" s="7" t="s">
        <v>1442</v>
      </c>
      <c r="B469" s="9" t="s">
        <v>17</v>
      </c>
      <c r="C469" s="9" t="s">
        <v>1443</v>
      </c>
      <c r="D469" s="9">
        <v>1.0</v>
      </c>
      <c r="F469" s="9">
        <v>0.0</v>
      </c>
      <c r="G469" s="9">
        <v>0.0</v>
      </c>
      <c r="H469" s="9">
        <v>2.0</v>
      </c>
    </row>
    <row r="470" ht="15.75" customHeight="1">
      <c r="A470" s="7" t="s">
        <v>1444</v>
      </c>
      <c r="B470" s="9" t="s">
        <v>17</v>
      </c>
      <c r="C470" s="9" t="s">
        <v>1447</v>
      </c>
      <c r="D470" s="9">
        <v>1.0</v>
      </c>
      <c r="E470" s="9">
        <v>0.0</v>
      </c>
      <c r="F470" s="9">
        <v>0.0</v>
      </c>
      <c r="G470" s="9">
        <v>0.0</v>
      </c>
      <c r="H470" s="9">
        <v>3.0</v>
      </c>
      <c r="I470" s="9">
        <v>3.0</v>
      </c>
    </row>
    <row r="471" ht="15.75" customHeight="1">
      <c r="A471" s="7" t="s">
        <v>1448</v>
      </c>
      <c r="B471" s="9" t="s">
        <v>124</v>
      </c>
      <c r="D471" s="9">
        <v>1.0</v>
      </c>
      <c r="F471" s="9">
        <v>0.0</v>
      </c>
      <c r="G471" s="9">
        <v>0.0</v>
      </c>
      <c r="H471" s="9">
        <v>2.0</v>
      </c>
    </row>
    <row r="472" ht="15.75" customHeight="1">
      <c r="A472" s="7" t="s">
        <v>1449</v>
      </c>
      <c r="B472" s="9" t="s">
        <v>17</v>
      </c>
      <c r="D472" s="9">
        <v>1.0</v>
      </c>
      <c r="F472" s="9">
        <v>0.0</v>
      </c>
      <c r="G472" s="9">
        <v>0.0</v>
      </c>
      <c r="H472" s="9">
        <v>2.0</v>
      </c>
    </row>
    <row r="473" ht="15.75" customHeight="1">
      <c r="A473" s="7" t="s">
        <v>1452</v>
      </c>
      <c r="B473" s="9" t="s">
        <v>44</v>
      </c>
      <c r="C473" s="9" t="s">
        <v>1453</v>
      </c>
      <c r="D473" s="9">
        <v>1.0</v>
      </c>
      <c r="F473" s="9">
        <v>0.0</v>
      </c>
      <c r="G473" s="9">
        <v>0.0</v>
      </c>
      <c r="H473" s="9">
        <v>2.0</v>
      </c>
    </row>
    <row r="474" ht="15.75" customHeight="1">
      <c r="A474" s="7" t="s">
        <v>1454</v>
      </c>
      <c r="B474" s="9" t="s">
        <v>17</v>
      </c>
      <c r="D474" s="9">
        <v>1.0</v>
      </c>
      <c r="F474" s="9">
        <v>0.0</v>
      </c>
      <c r="G474" s="9">
        <v>0.0</v>
      </c>
      <c r="H474" s="9">
        <v>1.0</v>
      </c>
    </row>
    <row r="475" ht="15.75" customHeight="1">
      <c r="A475" s="7" t="s">
        <v>1458</v>
      </c>
      <c r="B475" s="9" t="s">
        <v>17</v>
      </c>
      <c r="D475" s="9">
        <v>1.0</v>
      </c>
      <c r="F475" s="9">
        <v>0.0</v>
      </c>
      <c r="G475" s="9">
        <v>0.0</v>
      </c>
      <c r="H475" s="9">
        <v>2.0</v>
      </c>
    </row>
    <row r="476" ht="15.75" customHeight="1">
      <c r="A476" s="7" t="s">
        <v>1459</v>
      </c>
      <c r="B476" s="9" t="s">
        <v>17</v>
      </c>
      <c r="D476" s="9">
        <v>1.0</v>
      </c>
      <c r="E476" s="9">
        <v>-3.0</v>
      </c>
      <c r="F476" s="9">
        <v>0.0</v>
      </c>
      <c r="G476" s="9">
        <v>0.0</v>
      </c>
      <c r="H476" s="9">
        <v>0.0</v>
      </c>
      <c r="I476" s="9">
        <v>0.0</v>
      </c>
    </row>
    <row r="477" ht="15.75" customHeight="1">
      <c r="A477" s="7" t="s">
        <v>1461</v>
      </c>
      <c r="B477" s="9" t="s">
        <v>17</v>
      </c>
      <c r="D477" s="9">
        <v>1.0</v>
      </c>
      <c r="F477" s="9">
        <v>0.0</v>
      </c>
      <c r="G477" s="9">
        <v>0.0</v>
      </c>
      <c r="H477" s="9">
        <v>0.0</v>
      </c>
    </row>
    <row r="478" ht="15.75" customHeight="1">
      <c r="A478" s="7" t="s">
        <v>1463</v>
      </c>
      <c r="B478" s="9" t="s">
        <v>17</v>
      </c>
      <c r="C478" s="9" t="s">
        <v>188</v>
      </c>
      <c r="D478" s="9">
        <v>1.0</v>
      </c>
      <c r="E478" s="9">
        <v>-2.0</v>
      </c>
      <c r="F478" s="9">
        <v>0.0</v>
      </c>
      <c r="G478" s="9">
        <v>0.0</v>
      </c>
      <c r="H478" s="9">
        <v>1.0</v>
      </c>
      <c r="I478" s="9">
        <v>0.33</v>
      </c>
    </row>
    <row r="479" ht="15.75" customHeight="1">
      <c r="A479" s="7" t="s">
        <v>1466</v>
      </c>
      <c r="B479" s="9" t="s">
        <v>44</v>
      </c>
      <c r="C479" s="9" t="s">
        <v>1467</v>
      </c>
      <c r="D479" s="9">
        <v>1.0</v>
      </c>
      <c r="E479" s="9">
        <v>0.0</v>
      </c>
      <c r="F479" s="9">
        <v>0.0</v>
      </c>
      <c r="G479" s="9">
        <v>0.0</v>
      </c>
      <c r="H479" s="9">
        <v>0.0</v>
      </c>
      <c r="I479" s="9">
        <v>-1.0</v>
      </c>
    </row>
    <row r="480" ht="15.75" customHeight="1">
      <c r="A480" s="7" t="s">
        <v>1468</v>
      </c>
      <c r="B480" s="9" t="s">
        <v>94</v>
      </c>
      <c r="C480" s="9" t="s">
        <v>482</v>
      </c>
      <c r="D480" s="9">
        <v>1.0</v>
      </c>
      <c r="E480" s="9">
        <v>-1.0</v>
      </c>
      <c r="F480" s="9">
        <v>0.0</v>
      </c>
      <c r="G480" s="9">
        <v>0.0</v>
      </c>
      <c r="H480" s="9">
        <v>0.0</v>
      </c>
      <c r="I480" s="9">
        <v>0.0</v>
      </c>
    </row>
    <row r="481" ht="15.75" customHeight="1">
      <c r="A481" s="7" t="s">
        <v>1471</v>
      </c>
      <c r="B481" s="9" t="s">
        <v>17</v>
      </c>
      <c r="C481" s="9" t="s">
        <v>188</v>
      </c>
      <c r="D481" s="9">
        <v>1.0</v>
      </c>
      <c r="E481" s="9">
        <v>-3.0</v>
      </c>
      <c r="F481" s="9">
        <v>0.0</v>
      </c>
      <c r="G481" s="9">
        <v>0.0</v>
      </c>
      <c r="H481" s="9">
        <v>0.0</v>
      </c>
      <c r="I481" s="9">
        <v>0.0</v>
      </c>
    </row>
    <row r="482" ht="15.75" customHeight="1">
      <c r="A482" s="7" t="s">
        <v>1473</v>
      </c>
      <c r="B482" s="9" t="s">
        <v>17</v>
      </c>
      <c r="D482" s="9">
        <v>1.0</v>
      </c>
      <c r="F482" s="9">
        <v>0.0</v>
      </c>
      <c r="G482" s="9">
        <v>0.0</v>
      </c>
      <c r="H482" s="9">
        <v>1.0</v>
      </c>
    </row>
    <row r="483" ht="15.75" customHeight="1">
      <c r="A483" s="7" t="s">
        <v>1475</v>
      </c>
      <c r="B483" s="9" t="s">
        <v>17</v>
      </c>
      <c r="C483" s="9" t="s">
        <v>1477</v>
      </c>
      <c r="D483" s="9">
        <v>1.0</v>
      </c>
      <c r="F483" s="9">
        <v>0.0</v>
      </c>
      <c r="G483" s="9">
        <v>0.0</v>
      </c>
      <c r="H483" s="9">
        <v>1.0</v>
      </c>
    </row>
    <row r="484" ht="15.75" customHeight="1">
      <c r="A484" s="7" t="s">
        <v>1479</v>
      </c>
      <c r="B484" s="9" t="s">
        <v>360</v>
      </c>
      <c r="D484" s="9">
        <v>1.0</v>
      </c>
      <c r="F484" s="9">
        <v>0.0</v>
      </c>
      <c r="G484" s="9">
        <v>0.0</v>
      </c>
      <c r="H484" s="9">
        <v>1.0</v>
      </c>
    </row>
    <row r="485" ht="15.75" customHeight="1">
      <c r="A485" s="7" t="s">
        <v>1480</v>
      </c>
      <c r="B485" s="9" t="s">
        <v>17</v>
      </c>
      <c r="D485" s="9">
        <v>1.0</v>
      </c>
      <c r="F485" s="9">
        <v>0.0</v>
      </c>
      <c r="G485" s="9">
        <v>0.0</v>
      </c>
      <c r="H485" s="9">
        <v>0.0</v>
      </c>
    </row>
    <row r="486" ht="15.75" customHeight="1">
      <c r="A486" s="7" t="s">
        <v>1483</v>
      </c>
      <c r="B486" s="9" t="s">
        <v>124</v>
      </c>
      <c r="C486" s="9" t="s">
        <v>482</v>
      </c>
      <c r="D486" s="9">
        <v>1.0</v>
      </c>
      <c r="F486" s="9">
        <v>0.0</v>
      </c>
      <c r="G486" s="9">
        <v>0.0</v>
      </c>
      <c r="H486" s="9">
        <v>1.0</v>
      </c>
    </row>
    <row r="487" ht="15.75" customHeight="1">
      <c r="A487" s="7" t="s">
        <v>1484</v>
      </c>
      <c r="B487" s="9" t="s">
        <v>17</v>
      </c>
      <c r="D487" s="9">
        <v>1.0</v>
      </c>
      <c r="F487" s="9">
        <v>0.0</v>
      </c>
      <c r="G487" s="9">
        <v>0.0</v>
      </c>
      <c r="H487" s="9">
        <v>1.0</v>
      </c>
    </row>
    <row r="488" ht="15.75" customHeight="1">
      <c r="A488" s="9" t="s">
        <v>1486</v>
      </c>
      <c r="B488" s="9" t="s">
        <v>17</v>
      </c>
      <c r="C488" s="9" t="s">
        <v>340</v>
      </c>
      <c r="D488" s="9">
        <v>1.0</v>
      </c>
      <c r="E488" s="9">
        <v>-4.0</v>
      </c>
      <c r="F488" s="9">
        <v>0.0</v>
      </c>
      <c r="G488" s="9">
        <v>0.0</v>
      </c>
      <c r="H488" s="9">
        <v>0.0</v>
      </c>
      <c r="I488" s="9">
        <v>-0.8</v>
      </c>
    </row>
    <row r="489" ht="15.75" customHeight="1">
      <c r="A489" s="7" t="s">
        <v>1488</v>
      </c>
      <c r="B489" s="9" t="s">
        <v>17</v>
      </c>
      <c r="D489" s="9">
        <v>1.0</v>
      </c>
      <c r="E489" s="9">
        <v>-3.0</v>
      </c>
      <c r="F489" s="9">
        <v>0.0</v>
      </c>
      <c r="G489" s="9">
        <v>0.0</v>
      </c>
      <c r="H489" s="9">
        <v>0.0</v>
      </c>
      <c r="I489" s="9">
        <v>0.0</v>
      </c>
    </row>
    <row r="490" ht="15.75" customHeight="1">
      <c r="A490" s="7" t="s">
        <v>1489</v>
      </c>
      <c r="B490" s="9" t="s">
        <v>17</v>
      </c>
      <c r="C490" s="9" t="s">
        <v>482</v>
      </c>
      <c r="D490" s="9">
        <v>1.0</v>
      </c>
      <c r="E490" s="9">
        <v>0.0</v>
      </c>
      <c r="F490" s="9">
        <v>0.0</v>
      </c>
      <c r="G490" s="9">
        <v>0.0</v>
      </c>
      <c r="H490" s="9">
        <v>0.0</v>
      </c>
      <c r="I490" s="9">
        <v>0.0</v>
      </c>
    </row>
    <row r="491" ht="15.75" customHeight="1">
      <c r="A491" s="7" t="s">
        <v>1492</v>
      </c>
      <c r="B491" s="9" t="s">
        <v>17</v>
      </c>
      <c r="C491" s="9" t="s">
        <v>188</v>
      </c>
      <c r="D491" s="9">
        <v>1.0</v>
      </c>
      <c r="F491" s="9">
        <v>0.0</v>
      </c>
      <c r="G491" s="9">
        <v>0.0</v>
      </c>
      <c r="H491" s="9">
        <v>2.0</v>
      </c>
    </row>
    <row r="492" ht="15.75" customHeight="1">
      <c r="A492" s="7" t="s">
        <v>1493</v>
      </c>
      <c r="B492" s="9" t="s">
        <v>17</v>
      </c>
      <c r="D492" s="9">
        <v>1.0</v>
      </c>
      <c r="F492" s="9">
        <v>0.0</v>
      </c>
      <c r="G492" s="9">
        <v>0.0</v>
      </c>
      <c r="H492" s="9">
        <v>2.0</v>
      </c>
    </row>
    <row r="493" ht="15.75" customHeight="1">
      <c r="A493" s="7" t="s">
        <v>1497</v>
      </c>
      <c r="B493" s="9" t="s">
        <v>17</v>
      </c>
      <c r="D493" s="9">
        <v>1.0</v>
      </c>
      <c r="E493" s="9">
        <v>0.0</v>
      </c>
      <c r="F493" s="9">
        <v>0.0</v>
      </c>
      <c r="G493" s="9">
        <v>0.0</v>
      </c>
      <c r="H493" s="9">
        <v>1.0</v>
      </c>
      <c r="I493" s="9">
        <v>1.0</v>
      </c>
    </row>
    <row r="494" ht="15.75" customHeight="1">
      <c r="A494" s="7" t="s">
        <v>1501</v>
      </c>
      <c r="B494" s="9" t="s">
        <v>17</v>
      </c>
      <c r="C494" s="9" t="s">
        <v>188</v>
      </c>
      <c r="D494" s="9">
        <v>1.0</v>
      </c>
      <c r="F494" s="9">
        <v>0.0</v>
      </c>
      <c r="G494" s="9">
        <v>0.0</v>
      </c>
      <c r="H494" s="9">
        <v>1.0</v>
      </c>
    </row>
    <row r="495" ht="15.75" customHeight="1">
      <c r="A495" s="7" t="s">
        <v>1502</v>
      </c>
      <c r="B495" s="9" t="s">
        <v>17</v>
      </c>
      <c r="C495" s="9" t="s">
        <v>853</v>
      </c>
      <c r="D495" s="9">
        <v>1.0</v>
      </c>
      <c r="E495" s="9">
        <v>-1.0</v>
      </c>
      <c r="F495" s="9">
        <v>0.0</v>
      </c>
      <c r="G495" s="9">
        <v>0.0</v>
      </c>
      <c r="H495" s="9">
        <v>3.0</v>
      </c>
      <c r="I495" s="9">
        <v>0.5</v>
      </c>
    </row>
    <row r="496" ht="15.75" customHeight="1">
      <c r="A496" s="9" t="s">
        <v>1504</v>
      </c>
      <c r="B496" s="9" t="s">
        <v>17</v>
      </c>
      <c r="D496" s="9">
        <v>1.0</v>
      </c>
      <c r="F496" s="9">
        <v>0.0</v>
      </c>
      <c r="G496" s="9">
        <v>0.0</v>
      </c>
      <c r="H496" s="9">
        <v>0.0</v>
      </c>
    </row>
    <row r="497" ht="15.75" customHeight="1">
      <c r="A497" s="7" t="s">
        <v>1506</v>
      </c>
      <c r="B497" s="9" t="s">
        <v>17</v>
      </c>
      <c r="C497" s="9" t="s">
        <v>188</v>
      </c>
      <c r="D497" s="9">
        <v>1.0</v>
      </c>
      <c r="F497" s="9">
        <v>0.0</v>
      </c>
      <c r="G497" s="9">
        <v>0.0</v>
      </c>
      <c r="H497" s="9">
        <v>0.0</v>
      </c>
    </row>
    <row r="498" ht="15.75" customHeight="1">
      <c r="A498" s="7" t="s">
        <v>1509</v>
      </c>
      <c r="B498" s="9" t="s">
        <v>94</v>
      </c>
      <c r="D498" s="9">
        <v>1.0</v>
      </c>
      <c r="F498" s="9">
        <v>0.0</v>
      </c>
      <c r="G498" s="9">
        <v>0.0</v>
      </c>
      <c r="H498" s="9">
        <v>0.0</v>
      </c>
    </row>
    <row r="499" ht="15.75" customHeight="1">
      <c r="A499" s="7" t="s">
        <v>1511</v>
      </c>
      <c r="B499" s="9" t="s">
        <v>17</v>
      </c>
      <c r="C499" s="9" t="s">
        <v>1513</v>
      </c>
      <c r="D499" s="9">
        <v>1.0</v>
      </c>
      <c r="F499" s="9">
        <v>0.0</v>
      </c>
      <c r="G499" s="9">
        <v>0.0</v>
      </c>
      <c r="H499" s="9">
        <v>1.0</v>
      </c>
    </row>
    <row r="500" ht="15.75" customHeight="1">
      <c r="A500" s="7" t="s">
        <v>1515</v>
      </c>
      <c r="B500" s="9" t="s">
        <v>17</v>
      </c>
      <c r="C500" s="9" t="s">
        <v>552</v>
      </c>
      <c r="D500" s="9">
        <v>1.0</v>
      </c>
      <c r="E500" s="9">
        <v>0.0</v>
      </c>
      <c r="F500" s="9">
        <v>0.0</v>
      </c>
      <c r="G500" s="9">
        <v>0.0</v>
      </c>
      <c r="H500" s="9">
        <v>0.0</v>
      </c>
      <c r="I500" s="9">
        <v>-2.0</v>
      </c>
    </row>
    <row r="501" ht="15.75" customHeight="1">
      <c r="A501" s="7" t="s">
        <v>1518</v>
      </c>
      <c r="B501" s="9" t="s">
        <v>17</v>
      </c>
      <c r="D501" s="9">
        <v>1.0</v>
      </c>
      <c r="F501" s="9">
        <v>0.0</v>
      </c>
      <c r="G501" s="9">
        <v>0.0</v>
      </c>
      <c r="H501" s="9">
        <v>0.0</v>
      </c>
    </row>
    <row r="502" ht="15.75" customHeight="1">
      <c r="A502" s="7" t="s">
        <v>1520</v>
      </c>
      <c r="B502" s="9" t="s">
        <v>25</v>
      </c>
      <c r="C502" s="9" t="s">
        <v>1521</v>
      </c>
      <c r="D502" s="9">
        <v>1.0</v>
      </c>
      <c r="F502" s="9">
        <v>0.0</v>
      </c>
      <c r="G502" s="9">
        <v>0.0</v>
      </c>
      <c r="H502" s="9">
        <v>1.0</v>
      </c>
    </row>
    <row r="503" ht="15.75" customHeight="1">
      <c r="A503" s="7" t="s">
        <v>1523</v>
      </c>
      <c r="B503" s="9" t="s">
        <v>17</v>
      </c>
      <c r="C503" s="9" t="s">
        <v>1525</v>
      </c>
      <c r="D503" s="9">
        <v>1.0</v>
      </c>
      <c r="F503" s="9">
        <v>0.0</v>
      </c>
      <c r="G503" s="9">
        <v>0.0</v>
      </c>
      <c r="H503" s="9">
        <v>0.0</v>
      </c>
    </row>
    <row r="504" ht="15.75" customHeight="1">
      <c r="A504" s="7" t="s">
        <v>1526</v>
      </c>
      <c r="B504" s="9" t="s">
        <v>17</v>
      </c>
      <c r="C504" s="9" t="s">
        <v>1248</v>
      </c>
      <c r="D504" s="9">
        <v>1.0</v>
      </c>
      <c r="E504" s="9">
        <v>0.0</v>
      </c>
      <c r="F504" s="9">
        <v>0.0</v>
      </c>
      <c r="G504" s="9">
        <v>0.0</v>
      </c>
      <c r="H504" s="9">
        <v>0.0</v>
      </c>
      <c r="I504" s="9">
        <v>0.0</v>
      </c>
    </row>
    <row r="505" ht="15.75" customHeight="1">
      <c r="A505" s="7" t="s">
        <v>1529</v>
      </c>
      <c r="B505" s="9" t="s">
        <v>17</v>
      </c>
      <c r="D505" s="9">
        <v>1.0</v>
      </c>
      <c r="E505" s="9">
        <v>-3.0</v>
      </c>
      <c r="F505" s="9">
        <v>0.0</v>
      </c>
      <c r="G505" s="9">
        <v>0.0</v>
      </c>
      <c r="H505" s="9">
        <v>2.0</v>
      </c>
      <c r="I505" s="9">
        <v>1.5</v>
      </c>
    </row>
    <row r="506" ht="15.75" customHeight="1">
      <c r="A506" s="7" t="s">
        <v>1531</v>
      </c>
      <c r="B506" s="9" t="s">
        <v>17</v>
      </c>
      <c r="C506" s="9" t="s">
        <v>482</v>
      </c>
      <c r="D506" s="9">
        <v>1.0</v>
      </c>
      <c r="F506" s="9">
        <v>0.0</v>
      </c>
      <c r="G506" s="9">
        <v>0.0</v>
      </c>
      <c r="H506" s="9">
        <v>1.0</v>
      </c>
    </row>
    <row r="507" ht="15.75" customHeight="1">
      <c r="A507" s="7" t="s">
        <v>1534</v>
      </c>
      <c r="B507" s="9" t="s">
        <v>17</v>
      </c>
      <c r="D507" s="9">
        <v>1.0</v>
      </c>
      <c r="F507" s="9">
        <v>0.0</v>
      </c>
      <c r="G507" s="9">
        <v>0.0</v>
      </c>
      <c r="H507" s="9">
        <v>2.0</v>
      </c>
    </row>
    <row r="508" ht="15.75" customHeight="1">
      <c r="A508" s="7" t="s">
        <v>1535</v>
      </c>
      <c r="B508" s="9" t="s">
        <v>17</v>
      </c>
      <c r="C508" s="9" t="s">
        <v>720</v>
      </c>
      <c r="D508" s="9">
        <v>1.0</v>
      </c>
      <c r="F508" s="9">
        <v>0.0</v>
      </c>
      <c r="G508" s="9">
        <v>0.0</v>
      </c>
      <c r="H508" s="9">
        <v>2.0</v>
      </c>
    </row>
    <row r="509" ht="15.75" customHeight="1">
      <c r="A509" s="7" t="s">
        <v>1538</v>
      </c>
      <c r="B509" s="9" t="s">
        <v>17</v>
      </c>
      <c r="C509" s="9" t="s">
        <v>1542</v>
      </c>
      <c r="D509" s="9">
        <v>1.0</v>
      </c>
      <c r="E509" s="9">
        <v>-3.0</v>
      </c>
      <c r="F509" s="9">
        <v>0.0</v>
      </c>
      <c r="G509" s="9">
        <v>0.0</v>
      </c>
      <c r="H509" s="9">
        <v>0.0</v>
      </c>
      <c r="I509" s="9">
        <v>0.0</v>
      </c>
    </row>
    <row r="510" ht="15.75" customHeight="1">
      <c r="A510" s="9" t="s">
        <v>1543</v>
      </c>
      <c r="B510" s="9" t="s">
        <v>44</v>
      </c>
      <c r="C510" s="9" t="s">
        <v>1544</v>
      </c>
      <c r="D510" s="9">
        <v>1.0</v>
      </c>
      <c r="F510" s="9">
        <v>0.0</v>
      </c>
      <c r="G510" s="9">
        <v>0.0</v>
      </c>
      <c r="H510" s="9">
        <v>0.0</v>
      </c>
    </row>
    <row r="511" ht="15.75" customHeight="1">
      <c r="A511" s="7" t="s">
        <v>1545</v>
      </c>
      <c r="B511" s="9" t="s">
        <v>17</v>
      </c>
      <c r="D511" s="9">
        <v>1.0</v>
      </c>
      <c r="F511" s="9">
        <v>0.0</v>
      </c>
      <c r="G511" s="9">
        <v>0.0</v>
      </c>
      <c r="H511" s="9">
        <v>0.0</v>
      </c>
    </row>
    <row r="512" ht="15.75" customHeight="1">
      <c r="A512" s="7" t="s">
        <v>1549</v>
      </c>
      <c r="B512" s="9" t="s">
        <v>94</v>
      </c>
      <c r="D512" s="9">
        <v>1.0</v>
      </c>
      <c r="F512" s="9">
        <v>0.0</v>
      </c>
      <c r="G512" s="9">
        <v>0.0</v>
      </c>
      <c r="H512" s="9">
        <v>2.0</v>
      </c>
    </row>
    <row r="513" ht="15.75" customHeight="1">
      <c r="A513" s="7" t="s">
        <v>1553</v>
      </c>
      <c r="B513" s="9" t="s">
        <v>17</v>
      </c>
      <c r="D513" s="9">
        <v>1.0</v>
      </c>
      <c r="F513" s="9">
        <v>0.0</v>
      </c>
      <c r="G513" s="9">
        <v>0.0</v>
      </c>
      <c r="H513" s="9">
        <v>0.0</v>
      </c>
    </row>
    <row r="514" ht="15.75" customHeight="1">
      <c r="A514" s="7" t="s">
        <v>1557</v>
      </c>
      <c r="B514" s="9" t="s">
        <v>17</v>
      </c>
      <c r="D514" s="9">
        <v>1.0</v>
      </c>
      <c r="F514" s="9">
        <v>0.0</v>
      </c>
      <c r="G514" s="9">
        <v>0.0</v>
      </c>
      <c r="H514" s="9">
        <v>0.0</v>
      </c>
    </row>
    <row r="515" ht="15.75" customHeight="1">
      <c r="A515" s="7" t="s">
        <v>1559</v>
      </c>
      <c r="B515" s="9" t="s">
        <v>17</v>
      </c>
      <c r="C515" s="9" t="s">
        <v>1561</v>
      </c>
      <c r="D515" s="9">
        <v>1.0</v>
      </c>
      <c r="F515" s="9">
        <v>0.0</v>
      </c>
      <c r="G515" s="9">
        <v>0.0</v>
      </c>
      <c r="H515" s="9">
        <v>1.0</v>
      </c>
    </row>
    <row r="516" ht="15.75" customHeight="1">
      <c r="A516" s="7" t="s">
        <v>1564</v>
      </c>
      <c r="B516" s="9" t="s">
        <v>17</v>
      </c>
      <c r="C516" s="9" t="s">
        <v>1568</v>
      </c>
      <c r="D516" s="9">
        <v>1.0</v>
      </c>
      <c r="F516" s="9">
        <v>0.0</v>
      </c>
      <c r="G516" s="9">
        <v>0.0</v>
      </c>
      <c r="H516" s="9">
        <v>0.0</v>
      </c>
    </row>
    <row r="517" ht="15.75" customHeight="1">
      <c r="A517" s="7" t="s">
        <v>1570</v>
      </c>
      <c r="B517" s="9" t="s">
        <v>17</v>
      </c>
      <c r="C517" s="9" t="s">
        <v>1571</v>
      </c>
      <c r="D517" s="9">
        <v>1.0</v>
      </c>
      <c r="F517" s="9">
        <v>0.0</v>
      </c>
      <c r="G517" s="9">
        <v>0.0</v>
      </c>
      <c r="H517" s="9">
        <v>1.0</v>
      </c>
    </row>
    <row r="518" ht="15.75" customHeight="1">
      <c r="A518" s="7" t="s">
        <v>1574</v>
      </c>
      <c r="B518" s="9" t="s">
        <v>44</v>
      </c>
      <c r="C518" s="9" t="s">
        <v>1568</v>
      </c>
      <c r="D518" s="9">
        <v>1.0</v>
      </c>
      <c r="F518" s="9">
        <v>0.0</v>
      </c>
      <c r="G518" s="9">
        <v>0.0</v>
      </c>
      <c r="H518" s="9">
        <v>1.0</v>
      </c>
    </row>
    <row r="519" ht="15.75" customHeight="1">
      <c r="A519" s="7" t="s">
        <v>1576</v>
      </c>
      <c r="B519" s="9" t="s">
        <v>17</v>
      </c>
      <c r="C519" s="9" t="s">
        <v>188</v>
      </c>
      <c r="D519" s="9">
        <v>1.0</v>
      </c>
      <c r="F519" s="9">
        <v>0.0</v>
      </c>
      <c r="G519" s="9">
        <v>0.0</v>
      </c>
      <c r="H519" s="9">
        <v>0.0</v>
      </c>
    </row>
    <row r="520" ht="15.75" customHeight="1">
      <c r="A520" s="7" t="s">
        <v>1579</v>
      </c>
      <c r="B520" s="9" t="s">
        <v>17</v>
      </c>
      <c r="C520" s="9" t="s">
        <v>188</v>
      </c>
      <c r="D520" s="9">
        <v>1.0</v>
      </c>
      <c r="E520" s="9">
        <v>-1.0</v>
      </c>
      <c r="F520" s="9">
        <v>0.0</v>
      </c>
      <c r="G520" s="9">
        <v>0.0</v>
      </c>
      <c r="H520" s="9">
        <v>0.0</v>
      </c>
      <c r="I520" s="9">
        <v>-1.0</v>
      </c>
    </row>
    <row r="521" ht="15.75" customHeight="1">
      <c r="A521" s="7" t="s">
        <v>1582</v>
      </c>
      <c r="B521" s="9" t="s">
        <v>17</v>
      </c>
      <c r="D521" s="9">
        <v>1.0</v>
      </c>
      <c r="E521" s="9">
        <v>-5.0</v>
      </c>
      <c r="F521" s="9">
        <v>0.0</v>
      </c>
      <c r="G521" s="9">
        <v>0.0</v>
      </c>
      <c r="H521" s="9">
        <v>0.0</v>
      </c>
      <c r="I521" s="9">
        <v>-1.33</v>
      </c>
    </row>
    <row r="522" ht="15.75" customHeight="1">
      <c r="A522" s="7" t="s">
        <v>1585</v>
      </c>
      <c r="B522" s="9" t="s">
        <v>17</v>
      </c>
      <c r="D522" s="9">
        <v>1.0</v>
      </c>
      <c r="F522" s="9">
        <v>0.0</v>
      </c>
      <c r="G522" s="9">
        <v>0.0</v>
      </c>
      <c r="H522" s="9">
        <v>2.0</v>
      </c>
    </row>
    <row r="523" ht="15.75" customHeight="1">
      <c r="A523" s="7" t="s">
        <v>1589</v>
      </c>
      <c r="B523" s="9" t="s">
        <v>17</v>
      </c>
      <c r="D523" s="9">
        <v>1.0</v>
      </c>
      <c r="E523" s="9">
        <v>-1.0</v>
      </c>
      <c r="F523" s="9">
        <v>0.0</v>
      </c>
      <c r="G523" s="9">
        <v>0.0</v>
      </c>
      <c r="H523" s="9">
        <v>0.0</v>
      </c>
      <c r="I523" s="9">
        <v>0.0</v>
      </c>
    </row>
    <row r="524" ht="15.75" customHeight="1">
      <c r="A524" s="7" t="s">
        <v>1591</v>
      </c>
      <c r="B524" s="9" t="s">
        <v>17</v>
      </c>
      <c r="C524" s="9" t="s">
        <v>1594</v>
      </c>
      <c r="D524" s="9">
        <v>1.0</v>
      </c>
      <c r="E524" s="9">
        <v>-2.0</v>
      </c>
      <c r="F524" s="9">
        <v>0.0</v>
      </c>
      <c r="G524" s="9">
        <v>0.0</v>
      </c>
      <c r="H524" s="9">
        <v>1.0</v>
      </c>
      <c r="I524" s="9">
        <v>-0.33</v>
      </c>
    </row>
    <row r="525" ht="15.75" customHeight="1">
      <c r="A525" s="7" t="s">
        <v>1595</v>
      </c>
      <c r="B525" s="9" t="s">
        <v>17</v>
      </c>
      <c r="D525" s="9">
        <v>1.0</v>
      </c>
      <c r="F525" s="9">
        <v>0.0</v>
      </c>
      <c r="G525" s="9">
        <v>0.0</v>
      </c>
      <c r="H525" s="9">
        <v>0.0</v>
      </c>
    </row>
    <row r="526" ht="15.75" customHeight="1">
      <c r="A526" s="7" t="s">
        <v>1597</v>
      </c>
      <c r="B526" s="9" t="s">
        <v>17</v>
      </c>
      <c r="C526" s="9" t="s">
        <v>666</v>
      </c>
      <c r="D526" s="9">
        <v>1.0</v>
      </c>
      <c r="F526" s="9">
        <v>0.0</v>
      </c>
      <c r="G526" s="9">
        <v>0.0</v>
      </c>
      <c r="H526" s="9">
        <v>2.0</v>
      </c>
    </row>
    <row r="527" ht="15.75" customHeight="1">
      <c r="A527" s="7" t="s">
        <v>1599</v>
      </c>
      <c r="B527" s="9" t="s">
        <v>17</v>
      </c>
      <c r="C527" s="9" t="s">
        <v>1339</v>
      </c>
      <c r="D527" s="9">
        <v>1.0</v>
      </c>
      <c r="F527" s="9">
        <v>0.0</v>
      </c>
      <c r="G527" s="9">
        <v>0.0</v>
      </c>
      <c r="H527" s="9">
        <v>1.0</v>
      </c>
    </row>
    <row r="528" ht="15.75" customHeight="1">
      <c r="A528" s="7" t="s">
        <v>1602</v>
      </c>
      <c r="B528" s="9" t="s">
        <v>94</v>
      </c>
      <c r="D528" s="9">
        <v>1.0</v>
      </c>
      <c r="F528" s="9">
        <v>0.0</v>
      </c>
      <c r="G528" s="9">
        <v>0.0</v>
      </c>
      <c r="H528" s="9">
        <v>1.0</v>
      </c>
    </row>
    <row r="529" ht="15.75" customHeight="1">
      <c r="A529" s="7" t="s">
        <v>1603</v>
      </c>
      <c r="B529" s="9" t="s">
        <v>17</v>
      </c>
      <c r="C529" s="9" t="s">
        <v>1328</v>
      </c>
      <c r="D529" s="9">
        <v>1.0</v>
      </c>
      <c r="F529" s="9">
        <v>0.0</v>
      </c>
      <c r="G529" s="9">
        <v>0.0</v>
      </c>
      <c r="H529" s="9">
        <v>0.0</v>
      </c>
    </row>
    <row r="530" ht="15.75" customHeight="1">
      <c r="A530" s="7" t="s">
        <v>1605</v>
      </c>
      <c r="B530" s="9" t="s">
        <v>17</v>
      </c>
      <c r="C530" s="9" t="s">
        <v>1568</v>
      </c>
      <c r="D530" s="9">
        <v>1.0</v>
      </c>
      <c r="F530" s="9">
        <v>0.0</v>
      </c>
      <c r="G530" s="9">
        <v>0.0</v>
      </c>
      <c r="H530" s="9">
        <v>0.0</v>
      </c>
    </row>
    <row r="531" ht="15.75" customHeight="1">
      <c r="A531" s="7" t="s">
        <v>1607</v>
      </c>
      <c r="B531" s="9" t="s">
        <v>17</v>
      </c>
      <c r="D531" s="9">
        <v>1.0</v>
      </c>
      <c r="F531" s="9">
        <v>0.0</v>
      </c>
      <c r="G531" s="9">
        <v>0.0</v>
      </c>
      <c r="H531" s="9">
        <v>0.0</v>
      </c>
    </row>
    <row r="532" ht="15.75" customHeight="1">
      <c r="A532" s="7" t="s">
        <v>1609</v>
      </c>
      <c r="B532" s="9" t="s">
        <v>17</v>
      </c>
      <c r="C532" s="9" t="s">
        <v>188</v>
      </c>
      <c r="D532" s="9">
        <v>1.0</v>
      </c>
      <c r="F532" s="9">
        <v>0.0</v>
      </c>
      <c r="G532" s="9">
        <v>0.0</v>
      </c>
      <c r="H532" s="9">
        <v>2.0</v>
      </c>
    </row>
    <row r="533" ht="15.75" customHeight="1">
      <c r="A533" s="7" t="s">
        <v>1613</v>
      </c>
      <c r="B533" s="9" t="s">
        <v>44</v>
      </c>
      <c r="C533" s="9" t="s">
        <v>1616</v>
      </c>
      <c r="D533" s="9">
        <v>1.0</v>
      </c>
      <c r="F533" s="9">
        <v>0.0</v>
      </c>
      <c r="G533" s="9">
        <v>0.0</v>
      </c>
      <c r="H533" s="9">
        <v>1.0</v>
      </c>
    </row>
    <row r="534" ht="15.75" customHeight="1">
      <c r="A534" s="9" t="s">
        <v>1618</v>
      </c>
      <c r="B534" s="9" t="s">
        <v>17</v>
      </c>
      <c r="D534" s="9">
        <v>1.0</v>
      </c>
      <c r="F534" s="9">
        <v>0.0</v>
      </c>
      <c r="G534" s="9">
        <v>0.0</v>
      </c>
      <c r="H534" s="9">
        <v>0.0</v>
      </c>
    </row>
    <row r="535" ht="15.75" customHeight="1">
      <c r="A535" s="7" t="s">
        <v>1619</v>
      </c>
      <c r="B535" s="9" t="s">
        <v>17</v>
      </c>
      <c r="C535" s="9" t="s">
        <v>1620</v>
      </c>
      <c r="D535" s="9">
        <v>1.0</v>
      </c>
      <c r="E535" s="9">
        <v>0.0</v>
      </c>
      <c r="F535" s="9">
        <v>0.0</v>
      </c>
      <c r="G535" s="9">
        <v>0.0</v>
      </c>
      <c r="H535" s="9">
        <v>2.0</v>
      </c>
      <c r="I535" s="9">
        <v>0.0</v>
      </c>
    </row>
    <row r="536" ht="15.75" customHeight="1">
      <c r="A536" s="7" t="s">
        <v>1621</v>
      </c>
      <c r="B536" s="9" t="s">
        <v>17</v>
      </c>
      <c r="D536" s="9">
        <v>1.0</v>
      </c>
      <c r="F536" s="9">
        <v>0.0</v>
      </c>
      <c r="G536" s="9">
        <v>0.0</v>
      </c>
      <c r="H536" s="9">
        <v>1.0</v>
      </c>
    </row>
    <row r="537" ht="15.75" customHeight="1">
      <c r="A537" s="7" t="s">
        <v>1624</v>
      </c>
      <c r="B537" s="9" t="s">
        <v>17</v>
      </c>
      <c r="D537" s="9">
        <v>1.0</v>
      </c>
      <c r="F537" s="9">
        <v>0.0</v>
      </c>
      <c r="G537" s="9">
        <v>0.0</v>
      </c>
      <c r="H537" s="9">
        <v>0.0</v>
      </c>
    </row>
    <row r="538" ht="15.75" customHeight="1">
      <c r="A538" s="7" t="s">
        <v>1630</v>
      </c>
      <c r="B538" s="9" t="s">
        <v>17</v>
      </c>
      <c r="C538" s="9" t="s">
        <v>716</v>
      </c>
      <c r="D538" s="9">
        <v>1.0</v>
      </c>
      <c r="E538" s="9">
        <v>-2.0</v>
      </c>
      <c r="F538" s="9">
        <v>0.0</v>
      </c>
      <c r="G538" s="9">
        <v>0.0</v>
      </c>
      <c r="H538" s="9">
        <v>0.0</v>
      </c>
      <c r="I538" s="9">
        <v>0.0</v>
      </c>
    </row>
    <row r="539" ht="15.75" customHeight="1">
      <c r="A539" s="7" t="s">
        <v>1631</v>
      </c>
      <c r="B539" s="9" t="s">
        <v>17</v>
      </c>
      <c r="C539" s="9" t="s">
        <v>1328</v>
      </c>
      <c r="D539" s="9">
        <v>1.0</v>
      </c>
      <c r="E539" s="9">
        <v>-1.0</v>
      </c>
      <c r="F539" s="9">
        <v>0.0</v>
      </c>
      <c r="G539" s="9">
        <v>0.0</v>
      </c>
      <c r="H539" s="9">
        <v>0.0</v>
      </c>
      <c r="I539" s="9">
        <v>0.0</v>
      </c>
    </row>
    <row r="540" ht="15.75" customHeight="1">
      <c r="A540" s="7" t="s">
        <v>1634</v>
      </c>
      <c r="B540" s="9" t="s">
        <v>94</v>
      </c>
      <c r="D540" s="9">
        <v>1.0</v>
      </c>
      <c r="F540" s="9">
        <v>0.0</v>
      </c>
      <c r="G540" s="9">
        <v>0.0</v>
      </c>
      <c r="H540" s="9">
        <v>1.0</v>
      </c>
    </row>
    <row r="541" ht="15.75" customHeight="1">
      <c r="A541" s="9" t="s">
        <v>1637</v>
      </c>
      <c r="B541" s="9" t="s">
        <v>17</v>
      </c>
      <c r="D541" s="9">
        <v>1.0</v>
      </c>
      <c r="F541" s="9">
        <v>0.0</v>
      </c>
      <c r="G541" s="9">
        <v>0.0</v>
      </c>
      <c r="H541" s="9">
        <v>0.0</v>
      </c>
    </row>
    <row r="542" ht="15.75" customHeight="1">
      <c r="A542" s="7" t="s">
        <v>1639</v>
      </c>
      <c r="B542" s="9" t="s">
        <v>17</v>
      </c>
      <c r="C542" s="9" t="s">
        <v>340</v>
      </c>
      <c r="D542" s="9">
        <v>1.0</v>
      </c>
      <c r="F542" s="9">
        <v>0.0</v>
      </c>
      <c r="G542" s="9">
        <v>0.0</v>
      </c>
      <c r="H542" s="9">
        <v>0.0</v>
      </c>
    </row>
    <row r="543" ht="15.75" customHeight="1">
      <c r="A543" s="9" t="s">
        <v>1642</v>
      </c>
      <c r="B543" s="9" t="s">
        <v>17</v>
      </c>
      <c r="D543" s="9">
        <v>1.0</v>
      </c>
      <c r="F543" s="9">
        <v>0.0</v>
      </c>
      <c r="G543" s="9">
        <v>0.0</v>
      </c>
      <c r="H543" s="9">
        <v>0.0</v>
      </c>
    </row>
    <row r="544" ht="15.75" customHeight="1">
      <c r="A544" s="7" t="s">
        <v>1644</v>
      </c>
      <c r="B544" s="9" t="s">
        <v>17</v>
      </c>
      <c r="D544" s="9">
        <v>1.0</v>
      </c>
      <c r="F544" s="9">
        <v>0.0</v>
      </c>
      <c r="G544" s="9">
        <v>0.0</v>
      </c>
      <c r="H544" s="9">
        <v>1.0</v>
      </c>
    </row>
    <row r="545" ht="15.75" customHeight="1">
      <c r="A545" s="7" t="s">
        <v>1647</v>
      </c>
      <c r="B545" s="9" t="s">
        <v>17</v>
      </c>
      <c r="C545" s="9" t="s">
        <v>1430</v>
      </c>
      <c r="D545" s="9">
        <v>1.0</v>
      </c>
      <c r="F545" s="9">
        <v>0.0</v>
      </c>
      <c r="G545" s="9">
        <v>0.0</v>
      </c>
      <c r="H545" s="9">
        <v>1.0</v>
      </c>
    </row>
    <row r="546" ht="15.75" customHeight="1">
      <c r="A546" s="7" t="s">
        <v>1649</v>
      </c>
      <c r="B546" s="9" t="s">
        <v>17</v>
      </c>
      <c r="C546" s="9" t="s">
        <v>1248</v>
      </c>
      <c r="D546" s="9">
        <v>1.0</v>
      </c>
      <c r="F546" s="9">
        <v>0.0</v>
      </c>
      <c r="G546" s="9">
        <v>0.0</v>
      </c>
      <c r="H546" s="9">
        <v>0.0</v>
      </c>
    </row>
    <row r="547" ht="15.75" customHeight="1">
      <c r="A547" s="7" t="s">
        <v>1652</v>
      </c>
      <c r="B547" s="9" t="s">
        <v>17</v>
      </c>
      <c r="D547" s="9">
        <v>1.0</v>
      </c>
      <c r="F547" s="9">
        <v>0.0</v>
      </c>
      <c r="G547" s="9">
        <v>0.0</v>
      </c>
      <c r="H547" s="9">
        <v>0.0</v>
      </c>
    </row>
    <row r="548" ht="15.75" customHeight="1">
      <c r="A548" s="7" t="s">
        <v>1654</v>
      </c>
      <c r="B548" s="9" t="s">
        <v>17</v>
      </c>
      <c r="D548" s="9">
        <v>1.0</v>
      </c>
      <c r="F548" s="9">
        <v>0.0</v>
      </c>
      <c r="G548" s="9">
        <v>0.0</v>
      </c>
      <c r="H548" s="9">
        <v>1.0</v>
      </c>
    </row>
    <row r="549" ht="15.75" customHeight="1">
      <c r="A549" s="7" t="s">
        <v>1658</v>
      </c>
      <c r="B549" s="9" t="s">
        <v>17</v>
      </c>
      <c r="C549" s="9" t="s">
        <v>1661</v>
      </c>
      <c r="D549" s="9">
        <v>1.0</v>
      </c>
      <c r="F549" s="9">
        <v>0.0</v>
      </c>
      <c r="G549" s="9">
        <v>0.0</v>
      </c>
      <c r="H549" s="9">
        <v>0.0</v>
      </c>
    </row>
    <row r="550" ht="15.75" customHeight="1">
      <c r="A550" s="7" t="s">
        <v>1662</v>
      </c>
      <c r="B550" s="9" t="s">
        <v>44</v>
      </c>
      <c r="C550" s="9" t="s">
        <v>1664</v>
      </c>
      <c r="D550" s="9">
        <v>1.0</v>
      </c>
      <c r="F550" s="9">
        <v>0.0</v>
      </c>
      <c r="G550" s="9">
        <v>0.0</v>
      </c>
      <c r="H550" s="9">
        <v>1.0</v>
      </c>
    </row>
    <row r="551" ht="15.75" customHeight="1">
      <c r="A551" s="7" t="s">
        <v>1665</v>
      </c>
      <c r="B551" s="9" t="s">
        <v>17</v>
      </c>
      <c r="C551" s="9" t="s">
        <v>1668</v>
      </c>
      <c r="D551" s="9">
        <v>1.0</v>
      </c>
      <c r="F551" s="9">
        <v>0.0</v>
      </c>
      <c r="G551" s="9">
        <v>0.0</v>
      </c>
      <c r="H551" s="9">
        <v>0.0</v>
      </c>
    </row>
    <row r="552" ht="15.75" customHeight="1">
      <c r="A552" s="7" t="s">
        <v>1669</v>
      </c>
      <c r="B552" s="9" t="s">
        <v>17</v>
      </c>
      <c r="D552" s="9">
        <v>1.0</v>
      </c>
      <c r="E552" s="9">
        <v>-1.0</v>
      </c>
      <c r="F552" s="9">
        <v>0.0</v>
      </c>
      <c r="G552" s="9">
        <v>0.0</v>
      </c>
      <c r="H552" s="9">
        <v>0.0</v>
      </c>
      <c r="I552" s="9">
        <v>0.0</v>
      </c>
    </row>
    <row r="553" ht="15.75" customHeight="1">
      <c r="A553" s="7" t="s">
        <v>1672</v>
      </c>
      <c r="B553" s="9" t="s">
        <v>17</v>
      </c>
      <c r="C553" s="9" t="s">
        <v>1328</v>
      </c>
      <c r="D553" s="9">
        <v>1.0</v>
      </c>
      <c r="F553" s="9">
        <v>0.0</v>
      </c>
      <c r="G553" s="9">
        <v>0.0</v>
      </c>
      <c r="H553" s="9">
        <v>0.0</v>
      </c>
    </row>
    <row r="554" ht="15.75" customHeight="1">
      <c r="A554" s="7" t="s">
        <v>1675</v>
      </c>
      <c r="B554" s="9" t="s">
        <v>17</v>
      </c>
      <c r="D554" s="9">
        <v>1.0</v>
      </c>
      <c r="F554" s="9">
        <v>0.0</v>
      </c>
      <c r="G554" s="9">
        <v>0.0</v>
      </c>
      <c r="H554" s="9">
        <v>1.0</v>
      </c>
    </row>
    <row r="555" ht="15.75" customHeight="1">
      <c r="A555" s="7" t="s">
        <v>1676</v>
      </c>
      <c r="B555" s="9" t="s">
        <v>17</v>
      </c>
      <c r="D555" s="9">
        <v>1.0</v>
      </c>
      <c r="F555" s="9">
        <v>0.0</v>
      </c>
      <c r="G555" s="9">
        <v>0.0</v>
      </c>
      <c r="H555" s="9">
        <v>0.0</v>
      </c>
    </row>
    <row r="556" ht="15.75" customHeight="1">
      <c r="A556" s="7" t="s">
        <v>1680</v>
      </c>
      <c r="B556" s="9" t="s">
        <v>17</v>
      </c>
      <c r="D556" s="9">
        <v>1.0</v>
      </c>
      <c r="F556" s="9">
        <v>0.0</v>
      </c>
      <c r="G556" s="9">
        <v>0.0</v>
      </c>
      <c r="H556" s="9">
        <v>2.0</v>
      </c>
    </row>
    <row r="557" ht="15.75" customHeight="1">
      <c r="A557" s="7" t="s">
        <v>1681</v>
      </c>
      <c r="B557" s="9" t="s">
        <v>17</v>
      </c>
      <c r="D557" s="9">
        <v>1.0</v>
      </c>
      <c r="E557" s="9">
        <v>-1.0</v>
      </c>
      <c r="F557" s="9">
        <v>0.0</v>
      </c>
      <c r="G557" s="9">
        <v>0.0</v>
      </c>
      <c r="H557" s="9">
        <v>0.0</v>
      </c>
      <c r="I557" s="9">
        <v>-2.0</v>
      </c>
    </row>
    <row r="558" ht="15.75" customHeight="1">
      <c r="A558" s="7" t="s">
        <v>1684</v>
      </c>
      <c r="B558" s="9" t="s">
        <v>17</v>
      </c>
      <c r="D558" s="9">
        <v>1.0</v>
      </c>
      <c r="F558" s="9">
        <v>0.0</v>
      </c>
      <c r="G558" s="9">
        <v>0.0</v>
      </c>
      <c r="H558" s="9">
        <v>1.0</v>
      </c>
    </row>
    <row r="559" ht="15.75" customHeight="1">
      <c r="A559" s="7" t="s">
        <v>1685</v>
      </c>
      <c r="B559" s="9" t="s">
        <v>17</v>
      </c>
      <c r="C559" s="9" t="s">
        <v>1686</v>
      </c>
      <c r="D559" s="9">
        <v>1.0</v>
      </c>
      <c r="E559" s="9">
        <v>0.0</v>
      </c>
      <c r="F559" s="9">
        <v>0.0</v>
      </c>
      <c r="G559" s="9">
        <v>0.0</v>
      </c>
      <c r="H559" s="9">
        <v>0.0</v>
      </c>
      <c r="I559" s="9">
        <v>0.0</v>
      </c>
    </row>
    <row r="560" ht="15.75" customHeight="1">
      <c r="A560" s="7" t="s">
        <v>1688</v>
      </c>
      <c r="B560" s="9" t="s">
        <v>17</v>
      </c>
      <c r="C560" s="9" t="s">
        <v>720</v>
      </c>
      <c r="D560" s="9">
        <v>1.0</v>
      </c>
      <c r="F560" s="9">
        <v>0.0</v>
      </c>
      <c r="G560" s="9">
        <v>0.0</v>
      </c>
      <c r="H560" s="9">
        <v>0.0</v>
      </c>
    </row>
    <row r="561" ht="15.75" customHeight="1">
      <c r="A561" s="7" t="s">
        <v>1689</v>
      </c>
      <c r="B561" s="9" t="s">
        <v>17</v>
      </c>
      <c r="D561" s="9">
        <v>1.0</v>
      </c>
      <c r="F561" s="9">
        <v>0.0</v>
      </c>
      <c r="G561" s="9">
        <v>0.0</v>
      </c>
      <c r="H561" s="9">
        <v>0.0</v>
      </c>
    </row>
    <row r="562" ht="15.75" customHeight="1">
      <c r="A562" s="7" t="s">
        <v>1690</v>
      </c>
      <c r="B562" s="9" t="s">
        <v>17</v>
      </c>
      <c r="D562" s="9">
        <v>1.0</v>
      </c>
      <c r="F562" s="9">
        <v>0.0</v>
      </c>
      <c r="G562" s="9">
        <v>0.0</v>
      </c>
      <c r="H562" s="9">
        <v>1.0</v>
      </c>
    </row>
    <row r="563" ht="15.75" customHeight="1">
      <c r="A563" s="7" t="s">
        <v>1694</v>
      </c>
      <c r="B563" s="9" t="s">
        <v>17</v>
      </c>
      <c r="C563" s="9" t="s">
        <v>188</v>
      </c>
      <c r="D563" s="9">
        <v>1.0</v>
      </c>
      <c r="F563" s="9">
        <v>0.0</v>
      </c>
      <c r="G563" s="9">
        <v>0.0</v>
      </c>
      <c r="H563" s="9">
        <v>0.0</v>
      </c>
    </row>
    <row r="564" ht="15.75" customHeight="1">
      <c r="A564" s="7" t="s">
        <v>1695</v>
      </c>
      <c r="B564" s="9" t="s">
        <v>17</v>
      </c>
      <c r="C564" s="9" t="s">
        <v>720</v>
      </c>
      <c r="D564" s="9">
        <v>1.0</v>
      </c>
      <c r="F564" s="9">
        <v>0.0</v>
      </c>
      <c r="G564" s="9">
        <v>0.0</v>
      </c>
      <c r="H564" s="9">
        <v>0.0</v>
      </c>
    </row>
    <row r="565" ht="15.75" customHeight="1">
      <c r="A565" s="7" t="s">
        <v>1698</v>
      </c>
      <c r="B565" s="9" t="s">
        <v>17</v>
      </c>
      <c r="D565" s="9">
        <v>1.0</v>
      </c>
      <c r="F565" s="9">
        <v>0.0</v>
      </c>
      <c r="G565" s="9">
        <v>0.0</v>
      </c>
      <c r="H565" s="9">
        <v>0.0</v>
      </c>
    </row>
    <row r="566" ht="15.75" customHeight="1">
      <c r="A566" s="7" t="s">
        <v>1699</v>
      </c>
      <c r="B566" s="9" t="s">
        <v>17</v>
      </c>
      <c r="D566" s="9">
        <v>1.0</v>
      </c>
      <c r="F566" s="9">
        <v>0.0</v>
      </c>
      <c r="G566" s="9">
        <v>0.0</v>
      </c>
      <c r="H566" s="9">
        <v>0.0</v>
      </c>
    </row>
    <row r="567" ht="15.75" customHeight="1">
      <c r="A567" s="7" t="s">
        <v>1701</v>
      </c>
      <c r="B567" s="9" t="s">
        <v>17</v>
      </c>
      <c r="C567" s="9" t="s">
        <v>188</v>
      </c>
      <c r="D567" s="9">
        <v>1.0</v>
      </c>
      <c r="F567" s="9">
        <v>0.0</v>
      </c>
      <c r="G567" s="9">
        <v>0.0</v>
      </c>
      <c r="H567" s="9">
        <v>0.0</v>
      </c>
    </row>
    <row r="568" ht="15.75" customHeight="1">
      <c r="A568" s="7" t="s">
        <v>1703</v>
      </c>
      <c r="B568" s="9" t="s">
        <v>17</v>
      </c>
      <c r="D568" s="9">
        <v>1.0</v>
      </c>
      <c r="F568" s="9">
        <v>0.0</v>
      </c>
      <c r="G568" s="9">
        <v>0.0</v>
      </c>
      <c r="H568" s="9">
        <v>0.0</v>
      </c>
    </row>
    <row r="569" ht="15.75" customHeight="1">
      <c r="A569" s="7" t="s">
        <v>1707</v>
      </c>
      <c r="B569" s="9" t="s">
        <v>17</v>
      </c>
      <c r="C569" s="9" t="s">
        <v>1708</v>
      </c>
      <c r="D569" s="9">
        <v>1.0</v>
      </c>
      <c r="F569" s="9">
        <v>0.0</v>
      </c>
      <c r="G569" s="9">
        <v>0.0</v>
      </c>
      <c r="H569" s="9">
        <v>2.0</v>
      </c>
    </row>
    <row r="570" ht="15.75" customHeight="1">
      <c r="A570" s="7" t="s">
        <v>1709</v>
      </c>
      <c r="B570" s="9" t="s">
        <v>17</v>
      </c>
      <c r="D570" s="9">
        <v>1.0</v>
      </c>
      <c r="F570" s="9">
        <v>0.0</v>
      </c>
      <c r="G570" s="9">
        <v>0.0</v>
      </c>
      <c r="H570" s="9">
        <v>1.0</v>
      </c>
    </row>
    <row r="571" ht="15.75" customHeight="1">
      <c r="A571" s="7" t="s">
        <v>1713</v>
      </c>
      <c r="B571" s="9" t="s">
        <v>44</v>
      </c>
      <c r="C571" s="9" t="s">
        <v>1715</v>
      </c>
      <c r="D571" s="9">
        <v>1.0</v>
      </c>
      <c r="E571" s="9">
        <v>-5.0</v>
      </c>
      <c r="F571" s="9">
        <v>0.0</v>
      </c>
      <c r="G571" s="9">
        <v>0.0</v>
      </c>
      <c r="H571" s="9">
        <v>0.0</v>
      </c>
      <c r="I571" s="9">
        <v>-0.83</v>
      </c>
    </row>
    <row r="572" ht="15.75" customHeight="1">
      <c r="A572" s="9" t="s">
        <v>1717</v>
      </c>
      <c r="B572" s="9" t="s">
        <v>17</v>
      </c>
      <c r="C572" s="9" t="s">
        <v>188</v>
      </c>
      <c r="D572" s="9">
        <v>1.0</v>
      </c>
      <c r="F572" s="9">
        <v>0.0</v>
      </c>
      <c r="G572" s="9">
        <v>0.0</v>
      </c>
      <c r="H572" s="9">
        <v>0.0</v>
      </c>
    </row>
    <row r="573" ht="15.75" customHeight="1">
      <c r="A573" s="7" t="s">
        <v>1718</v>
      </c>
      <c r="B573" s="9" t="s">
        <v>17</v>
      </c>
      <c r="D573" s="9">
        <v>1.0</v>
      </c>
      <c r="F573" s="9">
        <v>0.0</v>
      </c>
      <c r="G573" s="9">
        <v>0.0</v>
      </c>
      <c r="H573" s="9">
        <v>1.0</v>
      </c>
    </row>
    <row r="574" ht="15.75" customHeight="1">
      <c r="A574" s="7" t="s">
        <v>1719</v>
      </c>
      <c r="B574" s="9" t="s">
        <v>17</v>
      </c>
      <c r="C574" s="9" t="s">
        <v>720</v>
      </c>
      <c r="D574" s="9">
        <v>1.0</v>
      </c>
      <c r="F574" s="9">
        <v>0.0</v>
      </c>
      <c r="G574" s="9">
        <v>0.0</v>
      </c>
      <c r="H574" s="9">
        <v>1.0</v>
      </c>
    </row>
    <row r="575" ht="15.75" customHeight="1">
      <c r="A575" s="7" t="s">
        <v>1723</v>
      </c>
      <c r="B575" s="9" t="s">
        <v>17</v>
      </c>
      <c r="C575" s="9" t="s">
        <v>1724</v>
      </c>
      <c r="D575" s="9">
        <v>1.0</v>
      </c>
      <c r="F575" s="9">
        <v>0.0</v>
      </c>
      <c r="G575" s="9">
        <v>0.0</v>
      </c>
      <c r="H575" s="9">
        <v>1.0</v>
      </c>
    </row>
    <row r="576" ht="15.75" customHeight="1">
      <c r="A576" s="7" t="s">
        <v>1725</v>
      </c>
      <c r="B576" s="9" t="s">
        <v>17</v>
      </c>
      <c r="D576" s="9">
        <v>1.0</v>
      </c>
      <c r="F576" s="9">
        <v>0.0</v>
      </c>
      <c r="G576" s="9">
        <v>0.0</v>
      </c>
      <c r="H576" s="9">
        <v>1.0</v>
      </c>
    </row>
    <row r="577" ht="15.75" customHeight="1">
      <c r="A577" s="7" t="s">
        <v>1727</v>
      </c>
      <c r="B577" s="9" t="s">
        <v>124</v>
      </c>
      <c r="C577" s="9" t="s">
        <v>720</v>
      </c>
      <c r="D577" s="9">
        <v>1.0</v>
      </c>
      <c r="F577" s="9">
        <v>0.0</v>
      </c>
      <c r="G577" s="9">
        <v>0.0</v>
      </c>
      <c r="H577" s="9">
        <v>1.0</v>
      </c>
    </row>
    <row r="578" ht="15.75" customHeight="1">
      <c r="A578" s="7" t="s">
        <v>1729</v>
      </c>
      <c r="B578" s="9" t="s">
        <v>94</v>
      </c>
      <c r="D578" s="9">
        <v>1.0</v>
      </c>
      <c r="F578" s="9">
        <v>0.0</v>
      </c>
      <c r="G578" s="9">
        <v>0.0</v>
      </c>
      <c r="H578" s="9">
        <v>0.0</v>
      </c>
    </row>
    <row r="579" ht="15.75" customHeight="1">
      <c r="A579" s="7" t="s">
        <v>1731</v>
      </c>
      <c r="B579" s="9" t="s">
        <v>17</v>
      </c>
      <c r="D579" s="9">
        <v>1.0</v>
      </c>
      <c r="E579" s="9">
        <v>-1.0</v>
      </c>
      <c r="F579" s="9">
        <v>0.0</v>
      </c>
      <c r="G579" s="9">
        <v>0.0</v>
      </c>
      <c r="H579" s="9">
        <v>0.0</v>
      </c>
      <c r="I579" s="9">
        <v>0.0</v>
      </c>
    </row>
    <row r="580" ht="15.75" customHeight="1">
      <c r="A580" s="9" t="s">
        <v>1733</v>
      </c>
      <c r="B580" s="9" t="s">
        <v>17</v>
      </c>
      <c r="D580" s="9">
        <v>1.0</v>
      </c>
      <c r="F580" s="9">
        <v>0.0</v>
      </c>
      <c r="G580" s="9">
        <v>0.0</v>
      </c>
      <c r="H580" s="9">
        <v>1.0</v>
      </c>
    </row>
    <row r="581" ht="15.75" customHeight="1">
      <c r="A581" s="7" t="s">
        <v>1734</v>
      </c>
      <c r="B581" s="9" t="s">
        <v>17</v>
      </c>
      <c r="D581" s="9">
        <v>1.0</v>
      </c>
      <c r="E581" s="9">
        <v>-3.0</v>
      </c>
      <c r="F581" s="9">
        <v>0.0</v>
      </c>
      <c r="G581" s="9">
        <v>0.0</v>
      </c>
      <c r="H581" s="9">
        <v>3.0</v>
      </c>
      <c r="I581" s="9">
        <v>1.0</v>
      </c>
    </row>
    <row r="582" ht="15.75" customHeight="1">
      <c r="A582" s="7" t="s">
        <v>1737</v>
      </c>
      <c r="B582" s="9" t="s">
        <v>124</v>
      </c>
      <c r="C582" s="9" t="s">
        <v>1738</v>
      </c>
      <c r="D582" s="9">
        <v>1.0</v>
      </c>
      <c r="F582" s="9">
        <v>0.0</v>
      </c>
      <c r="G582" s="9">
        <v>0.0</v>
      </c>
      <c r="H582" s="9">
        <v>1.0</v>
      </c>
    </row>
    <row r="583" ht="15.75" customHeight="1">
      <c r="A583" s="7" t="s">
        <v>1739</v>
      </c>
      <c r="B583" s="9" t="s">
        <v>17</v>
      </c>
      <c r="D583" s="9">
        <v>1.0</v>
      </c>
      <c r="F583" s="9">
        <v>0.0</v>
      </c>
      <c r="G583" s="9">
        <v>0.0</v>
      </c>
      <c r="H583" s="9">
        <v>1.0</v>
      </c>
    </row>
    <row r="584" ht="15.75" customHeight="1">
      <c r="A584" s="7" t="s">
        <v>1740</v>
      </c>
      <c r="B584" s="9" t="s">
        <v>17</v>
      </c>
      <c r="D584" s="9">
        <v>1.0</v>
      </c>
      <c r="E584" s="9">
        <v>0.0</v>
      </c>
      <c r="F584" s="9">
        <v>0.0</v>
      </c>
      <c r="G584" s="9">
        <v>0.0</v>
      </c>
      <c r="H584" s="9">
        <v>0.0</v>
      </c>
      <c r="I584" s="9">
        <v>0.0</v>
      </c>
    </row>
    <row r="585" ht="15.75" customHeight="1">
      <c r="A585" s="7" t="s">
        <v>1742</v>
      </c>
      <c r="B585" s="9" t="s">
        <v>44</v>
      </c>
      <c r="C585" s="9" t="s">
        <v>467</v>
      </c>
      <c r="D585" s="9">
        <v>1.0</v>
      </c>
      <c r="F585" s="9">
        <v>0.0</v>
      </c>
      <c r="G585" s="9">
        <v>0.0</v>
      </c>
      <c r="H585" s="9">
        <v>1.0</v>
      </c>
    </row>
    <row r="586" ht="15.75" customHeight="1">
      <c r="A586" s="7" t="s">
        <v>1746</v>
      </c>
      <c r="B586" s="9" t="s">
        <v>17</v>
      </c>
      <c r="D586" s="9">
        <v>1.0</v>
      </c>
      <c r="F586" s="9">
        <v>0.0</v>
      </c>
      <c r="G586" s="9">
        <v>0.0</v>
      </c>
      <c r="H586" s="9">
        <v>0.0</v>
      </c>
    </row>
    <row r="587" ht="15.75" customHeight="1">
      <c r="A587" s="7" t="s">
        <v>1747</v>
      </c>
      <c r="B587" s="9" t="s">
        <v>17</v>
      </c>
      <c r="C587" s="9" t="s">
        <v>1749</v>
      </c>
      <c r="D587" s="9">
        <v>1.0</v>
      </c>
      <c r="F587" s="9">
        <v>0.0</v>
      </c>
      <c r="G587" s="9">
        <v>0.0</v>
      </c>
      <c r="H587" s="9">
        <v>0.0</v>
      </c>
    </row>
    <row r="588" ht="15.75" customHeight="1">
      <c r="A588" s="7" t="s">
        <v>1751</v>
      </c>
      <c r="B588" s="9" t="s">
        <v>17</v>
      </c>
      <c r="C588" s="9" t="s">
        <v>1752</v>
      </c>
      <c r="D588" s="9">
        <v>1.0</v>
      </c>
      <c r="E588" s="9">
        <v>-5.0</v>
      </c>
      <c r="F588" s="9">
        <v>0.0</v>
      </c>
      <c r="G588" s="9">
        <v>0.0</v>
      </c>
      <c r="H588" s="9">
        <v>1.0</v>
      </c>
      <c r="I588" s="9">
        <v>-0.5</v>
      </c>
    </row>
    <row r="589" ht="15.75" customHeight="1">
      <c r="A589" s="7" t="s">
        <v>1754</v>
      </c>
      <c r="B589" s="9" t="s">
        <v>17</v>
      </c>
      <c r="D589" s="9">
        <v>1.0</v>
      </c>
      <c r="F589" s="9">
        <v>0.0</v>
      </c>
      <c r="G589" s="9">
        <v>0.0</v>
      </c>
      <c r="H589" s="9">
        <v>2.0</v>
      </c>
    </row>
    <row r="590" ht="15.75" customHeight="1">
      <c r="A590" s="7" t="s">
        <v>1759</v>
      </c>
      <c r="B590" s="9" t="s">
        <v>124</v>
      </c>
      <c r="C590" s="9" t="s">
        <v>1760</v>
      </c>
      <c r="D590" s="9">
        <v>1.0</v>
      </c>
      <c r="E590" s="9">
        <v>-5.0</v>
      </c>
      <c r="F590" s="9">
        <v>0.0</v>
      </c>
      <c r="G590" s="9">
        <v>0.0</v>
      </c>
      <c r="H590" s="9">
        <v>0.0</v>
      </c>
      <c r="I590" s="9">
        <v>0.0</v>
      </c>
    </row>
    <row r="591" ht="15.75" customHeight="1">
      <c r="A591" s="7" t="s">
        <v>1761</v>
      </c>
      <c r="B591" s="9" t="s">
        <v>17</v>
      </c>
      <c r="D591" s="9">
        <v>1.0</v>
      </c>
      <c r="E591" s="9">
        <v>0.0</v>
      </c>
      <c r="F591" s="9">
        <v>0.0</v>
      </c>
      <c r="G591" s="9">
        <v>0.0</v>
      </c>
      <c r="H591" s="9">
        <v>0.0</v>
      </c>
      <c r="I591" s="9">
        <v>0.0</v>
      </c>
    </row>
    <row r="592" ht="15.75" customHeight="1">
      <c r="A592" s="7" t="s">
        <v>1765</v>
      </c>
      <c r="B592" s="9" t="s">
        <v>94</v>
      </c>
      <c r="D592" s="9">
        <v>1.0</v>
      </c>
      <c r="F592" s="9">
        <v>0.0</v>
      </c>
      <c r="G592" s="9">
        <v>0.0</v>
      </c>
      <c r="H592" s="9">
        <v>1.0</v>
      </c>
    </row>
    <row r="593" ht="15.75" customHeight="1">
      <c r="A593" s="7" t="s">
        <v>1768</v>
      </c>
      <c r="B593" s="9" t="s">
        <v>17</v>
      </c>
      <c r="D593" s="9">
        <v>1.0</v>
      </c>
      <c r="F593" s="9">
        <v>0.0</v>
      </c>
      <c r="G593" s="9">
        <v>0.0</v>
      </c>
      <c r="H593" s="9">
        <v>1.0</v>
      </c>
    </row>
    <row r="594" ht="15.75" customHeight="1">
      <c r="A594" s="7" t="s">
        <v>1769</v>
      </c>
      <c r="B594" s="9" t="s">
        <v>17</v>
      </c>
      <c r="C594" s="9" t="s">
        <v>188</v>
      </c>
      <c r="D594" s="9">
        <v>1.0</v>
      </c>
      <c r="F594" s="9">
        <v>0.0</v>
      </c>
      <c r="G594" s="9">
        <v>0.0</v>
      </c>
      <c r="H594" s="9">
        <v>0.0</v>
      </c>
    </row>
    <row r="595" ht="15.75" customHeight="1">
      <c r="A595" s="7" t="s">
        <v>1773</v>
      </c>
      <c r="B595" s="9" t="s">
        <v>17</v>
      </c>
      <c r="D595" s="9">
        <v>1.0</v>
      </c>
      <c r="F595" s="9">
        <v>0.0</v>
      </c>
      <c r="G595" s="9">
        <v>0.0</v>
      </c>
      <c r="H595" s="9">
        <v>1.0</v>
      </c>
    </row>
    <row r="596" ht="15.75" customHeight="1">
      <c r="A596" s="7" t="s">
        <v>1776</v>
      </c>
      <c r="B596" s="9" t="s">
        <v>17</v>
      </c>
      <c r="C596" s="9" t="s">
        <v>188</v>
      </c>
      <c r="D596" s="9">
        <v>1.0</v>
      </c>
      <c r="E596" s="9">
        <v>-6.0</v>
      </c>
      <c r="F596" s="9">
        <v>0.0</v>
      </c>
      <c r="G596" s="9">
        <v>0.0</v>
      </c>
      <c r="H596" s="9">
        <v>1.0</v>
      </c>
      <c r="I596" s="9">
        <v>-0.14</v>
      </c>
    </row>
    <row r="597" ht="15.75" customHeight="1">
      <c r="A597" s="7" t="s">
        <v>1779</v>
      </c>
      <c r="B597" s="9" t="s">
        <v>17</v>
      </c>
      <c r="C597" s="9" t="s">
        <v>482</v>
      </c>
      <c r="D597" s="9">
        <v>1.0</v>
      </c>
      <c r="E597" s="9">
        <v>-1.0</v>
      </c>
      <c r="F597" s="9">
        <v>0.0</v>
      </c>
      <c r="G597" s="9">
        <v>0.0</v>
      </c>
      <c r="H597" s="9">
        <v>0.0</v>
      </c>
      <c r="I597" s="9">
        <v>0.0</v>
      </c>
    </row>
    <row r="598" ht="15.75" customHeight="1">
      <c r="A598" s="7" t="s">
        <v>1782</v>
      </c>
      <c r="B598" s="9" t="s">
        <v>39</v>
      </c>
      <c r="D598" s="9">
        <v>1.0</v>
      </c>
      <c r="F598" s="9">
        <v>0.0</v>
      </c>
      <c r="G598" s="9">
        <v>0.0</v>
      </c>
      <c r="H598" s="9">
        <v>1.0</v>
      </c>
    </row>
    <row r="599" ht="15.75" customHeight="1">
      <c r="A599" s="7" t="s">
        <v>1786</v>
      </c>
      <c r="B599" s="9" t="s">
        <v>17</v>
      </c>
      <c r="C599" s="9" t="s">
        <v>188</v>
      </c>
      <c r="D599" s="9">
        <v>1.0</v>
      </c>
      <c r="F599" s="9">
        <v>0.0</v>
      </c>
      <c r="G599" s="9">
        <v>0.0</v>
      </c>
      <c r="H599" s="9">
        <v>0.0</v>
      </c>
    </row>
    <row r="600" ht="15.75" customHeight="1">
      <c r="A600" s="7" t="s">
        <v>1790</v>
      </c>
      <c r="B600" s="9" t="s">
        <v>25</v>
      </c>
      <c r="C600" s="9" t="s">
        <v>482</v>
      </c>
      <c r="D600" s="9">
        <v>1.0</v>
      </c>
      <c r="E600" s="9">
        <v>-1.0</v>
      </c>
      <c r="F600" s="9">
        <v>0.0</v>
      </c>
      <c r="G600" s="9">
        <v>0.0</v>
      </c>
      <c r="H600" s="9">
        <v>0.0</v>
      </c>
      <c r="I600" s="9">
        <v>-3.0</v>
      </c>
    </row>
    <row r="601" ht="15.75" customHeight="1">
      <c r="A601" s="7" t="s">
        <v>1793</v>
      </c>
      <c r="B601" s="9" t="s">
        <v>17</v>
      </c>
      <c r="D601" s="9">
        <v>1.0</v>
      </c>
      <c r="E601" s="9">
        <v>-2.0</v>
      </c>
      <c r="F601" s="9">
        <v>0.0</v>
      </c>
      <c r="G601" s="9">
        <v>0.0</v>
      </c>
      <c r="H601" s="9">
        <v>0.0</v>
      </c>
      <c r="I601" s="9">
        <v>0.0</v>
      </c>
    </row>
    <row r="602" ht="15.75" customHeight="1">
      <c r="A602" s="7" t="s">
        <v>1795</v>
      </c>
      <c r="B602" s="9" t="s">
        <v>17</v>
      </c>
      <c r="C602" s="9" t="s">
        <v>1797</v>
      </c>
      <c r="D602" s="9">
        <v>1.0</v>
      </c>
      <c r="E602" s="9">
        <v>-2.0</v>
      </c>
      <c r="F602" s="9">
        <v>0.0</v>
      </c>
      <c r="G602" s="9">
        <v>0.0</v>
      </c>
      <c r="H602" s="9">
        <v>0.0</v>
      </c>
      <c r="I602" s="9">
        <v>0.0</v>
      </c>
    </row>
    <row r="603" ht="15.75" customHeight="1">
      <c r="A603" s="7" t="s">
        <v>1798</v>
      </c>
      <c r="B603" s="9" t="s">
        <v>94</v>
      </c>
      <c r="C603" s="9" t="s">
        <v>201</v>
      </c>
      <c r="D603" s="9">
        <v>1.0</v>
      </c>
      <c r="F603" s="9">
        <v>0.0</v>
      </c>
      <c r="G603" s="9">
        <v>0.0</v>
      </c>
      <c r="H603" s="9">
        <v>1.0</v>
      </c>
    </row>
    <row r="604" ht="15.75" customHeight="1">
      <c r="A604" s="7" t="s">
        <v>1801</v>
      </c>
      <c r="B604" s="9" t="s">
        <v>17</v>
      </c>
      <c r="D604" s="9">
        <v>1.0</v>
      </c>
      <c r="E604" s="9">
        <v>-5.0</v>
      </c>
      <c r="F604" s="9">
        <v>0.0</v>
      </c>
      <c r="G604" s="9">
        <v>0.0</v>
      </c>
      <c r="H604" s="9">
        <v>0.0</v>
      </c>
      <c r="I604" s="9">
        <v>-2.5</v>
      </c>
    </row>
    <row r="605" ht="15.75" customHeight="1">
      <c r="A605" s="7" t="s">
        <v>1802</v>
      </c>
      <c r="B605" s="9" t="s">
        <v>17</v>
      </c>
      <c r="D605" s="9">
        <v>1.0</v>
      </c>
      <c r="E605" s="9">
        <v>-5.0</v>
      </c>
      <c r="F605" s="9">
        <v>0.0</v>
      </c>
      <c r="G605" s="9">
        <v>0.0</v>
      </c>
      <c r="H605" s="9">
        <v>0.0</v>
      </c>
      <c r="I605" s="9">
        <v>-0.5</v>
      </c>
    </row>
    <row r="606" ht="15.75" customHeight="1">
      <c r="A606" s="7" t="s">
        <v>1805</v>
      </c>
      <c r="B606" s="9" t="s">
        <v>17</v>
      </c>
      <c r="C606" s="9" t="s">
        <v>188</v>
      </c>
      <c r="D606" s="9">
        <v>1.0</v>
      </c>
      <c r="F606" s="9">
        <v>0.0</v>
      </c>
      <c r="G606" s="9">
        <v>0.0</v>
      </c>
      <c r="H606" s="9">
        <v>1.0</v>
      </c>
    </row>
    <row r="607" ht="15.75" customHeight="1">
      <c r="A607" s="7" t="s">
        <v>1806</v>
      </c>
      <c r="B607" s="9" t="s">
        <v>17</v>
      </c>
      <c r="C607" s="9" t="s">
        <v>552</v>
      </c>
      <c r="D607" s="9">
        <v>1.0</v>
      </c>
      <c r="E607" s="9">
        <v>-1.0</v>
      </c>
      <c r="F607" s="9">
        <v>0.0</v>
      </c>
      <c r="G607" s="9">
        <v>0.0</v>
      </c>
      <c r="H607" s="9">
        <v>0.0</v>
      </c>
      <c r="I607" s="9">
        <v>0.0</v>
      </c>
    </row>
    <row r="608" ht="15.75" customHeight="1">
      <c r="A608" s="7" t="s">
        <v>1809</v>
      </c>
      <c r="B608" s="9" t="s">
        <v>39</v>
      </c>
      <c r="D608" s="9">
        <v>1.0</v>
      </c>
      <c r="F608" s="9">
        <v>0.0</v>
      </c>
      <c r="G608" s="9">
        <v>0.0</v>
      </c>
      <c r="H608" s="9">
        <v>0.0</v>
      </c>
    </row>
    <row r="609" ht="15.75" customHeight="1">
      <c r="A609" s="7" t="s">
        <v>1810</v>
      </c>
      <c r="B609" s="9" t="s">
        <v>17</v>
      </c>
      <c r="D609" s="9">
        <v>1.0</v>
      </c>
      <c r="F609" s="9">
        <v>0.0</v>
      </c>
      <c r="G609" s="9">
        <v>0.0</v>
      </c>
      <c r="H609" s="9">
        <v>1.0</v>
      </c>
    </row>
    <row r="610" ht="15.75" customHeight="1">
      <c r="A610" s="7" t="s">
        <v>1811</v>
      </c>
      <c r="B610" s="9" t="s">
        <v>17</v>
      </c>
      <c r="C610" s="9" t="s">
        <v>720</v>
      </c>
      <c r="D610" s="9">
        <v>1.0</v>
      </c>
      <c r="F610" s="9">
        <v>0.0</v>
      </c>
      <c r="G610" s="9">
        <v>0.0</v>
      </c>
      <c r="H610" s="9">
        <v>1.0</v>
      </c>
    </row>
    <row r="611" ht="15.75" customHeight="1">
      <c r="A611" s="7" t="s">
        <v>1813</v>
      </c>
      <c r="B611" s="9" t="s">
        <v>94</v>
      </c>
      <c r="C611" s="9" t="s">
        <v>1815</v>
      </c>
      <c r="D611" s="9">
        <v>1.0</v>
      </c>
      <c r="F611" s="9">
        <v>0.0</v>
      </c>
      <c r="G611" s="9">
        <v>0.0</v>
      </c>
      <c r="H611" s="9">
        <v>1.0</v>
      </c>
    </row>
    <row r="612" ht="15.75" customHeight="1">
      <c r="A612" s="7" t="s">
        <v>1817</v>
      </c>
      <c r="B612" s="9" t="s">
        <v>17</v>
      </c>
      <c r="D612" s="9">
        <v>1.0</v>
      </c>
      <c r="E612" s="9">
        <v>-3.0</v>
      </c>
      <c r="F612" s="9">
        <v>0.0</v>
      </c>
      <c r="G612" s="9">
        <v>0.0</v>
      </c>
      <c r="H612" s="9">
        <v>0.0</v>
      </c>
      <c r="I612" s="9">
        <v>-1.5</v>
      </c>
    </row>
    <row r="613" ht="15.75" customHeight="1">
      <c r="A613" s="7" t="s">
        <v>1820</v>
      </c>
      <c r="B613" s="9" t="s">
        <v>17</v>
      </c>
      <c r="C613" s="9" t="s">
        <v>1328</v>
      </c>
      <c r="D613" s="9">
        <v>1.0</v>
      </c>
      <c r="E613" s="9">
        <v>-3.0</v>
      </c>
      <c r="F613" s="9">
        <v>0.0</v>
      </c>
      <c r="G613" s="9">
        <v>0.0</v>
      </c>
      <c r="H613" s="9">
        <v>1.0</v>
      </c>
      <c r="I613" s="9">
        <v>0.75</v>
      </c>
    </row>
    <row r="614" ht="15.75" customHeight="1">
      <c r="A614" s="7" t="s">
        <v>1823</v>
      </c>
      <c r="B614" s="9" t="s">
        <v>17</v>
      </c>
      <c r="C614" s="9" t="s">
        <v>720</v>
      </c>
      <c r="D614" s="9">
        <v>1.0</v>
      </c>
      <c r="F614" s="9">
        <v>0.0</v>
      </c>
      <c r="G614" s="9">
        <v>0.0</v>
      </c>
      <c r="H614" s="9">
        <v>0.0</v>
      </c>
    </row>
    <row r="615" ht="15.75" customHeight="1">
      <c r="A615" s="7" t="s">
        <v>1825</v>
      </c>
      <c r="B615" s="9" t="s">
        <v>17</v>
      </c>
      <c r="C615" s="9" t="s">
        <v>188</v>
      </c>
      <c r="D615" s="9">
        <v>1.0</v>
      </c>
      <c r="F615" s="9">
        <v>0.0</v>
      </c>
      <c r="G615" s="9">
        <v>0.0</v>
      </c>
      <c r="H615" s="9">
        <v>1.0</v>
      </c>
    </row>
    <row r="616" ht="15.75" customHeight="1">
      <c r="A616" s="7" t="s">
        <v>1827</v>
      </c>
      <c r="B616" s="9" t="s">
        <v>17</v>
      </c>
      <c r="D616" s="9">
        <v>1.0</v>
      </c>
      <c r="E616" s="9">
        <v>-4.0</v>
      </c>
      <c r="F616" s="9">
        <v>0.0</v>
      </c>
      <c r="G616" s="9">
        <v>0.0</v>
      </c>
      <c r="H616" s="9">
        <v>0.0</v>
      </c>
      <c r="I616" s="9">
        <v>-0.2</v>
      </c>
    </row>
    <row r="617" ht="15.75" customHeight="1">
      <c r="A617" s="7" t="s">
        <v>1829</v>
      </c>
      <c r="B617" s="9" t="s">
        <v>17</v>
      </c>
      <c r="C617" s="9" t="s">
        <v>1571</v>
      </c>
      <c r="D617" s="9">
        <v>1.0</v>
      </c>
      <c r="F617" s="9">
        <v>0.0</v>
      </c>
      <c r="G617" s="9">
        <v>0.0</v>
      </c>
      <c r="H617" s="9">
        <v>1.0</v>
      </c>
    </row>
    <row r="618" ht="15.75" customHeight="1">
      <c r="A618" s="7" t="s">
        <v>1833</v>
      </c>
      <c r="B618" s="9" t="s">
        <v>17</v>
      </c>
      <c r="C618" s="9" t="s">
        <v>1328</v>
      </c>
      <c r="D618" s="9">
        <v>1.0</v>
      </c>
      <c r="F618" s="9">
        <v>0.0</v>
      </c>
      <c r="G618" s="9">
        <v>0.0</v>
      </c>
      <c r="H618" s="9">
        <v>1.0</v>
      </c>
    </row>
    <row r="619" ht="15.75" customHeight="1">
      <c r="A619" s="7" t="s">
        <v>1834</v>
      </c>
      <c r="B619" s="9" t="s">
        <v>17</v>
      </c>
      <c r="D619" s="9">
        <v>1.0</v>
      </c>
      <c r="F619" s="9">
        <v>0.0</v>
      </c>
      <c r="G619" s="9">
        <v>0.0</v>
      </c>
      <c r="H619" s="9">
        <v>1.0</v>
      </c>
    </row>
    <row r="620" ht="15.75" customHeight="1">
      <c r="A620" s="7" t="s">
        <v>1835</v>
      </c>
      <c r="B620" s="9" t="s">
        <v>17</v>
      </c>
      <c r="C620" s="9" t="s">
        <v>188</v>
      </c>
      <c r="D620" s="9">
        <v>1.0</v>
      </c>
      <c r="F620" s="9">
        <v>0.0</v>
      </c>
      <c r="G620" s="9">
        <v>0.0</v>
      </c>
      <c r="H620" s="9">
        <v>1.0</v>
      </c>
    </row>
    <row r="621" ht="15.75" customHeight="1">
      <c r="A621" s="7" t="s">
        <v>1839</v>
      </c>
      <c r="B621" s="9" t="s">
        <v>17</v>
      </c>
      <c r="C621" s="9" t="s">
        <v>1840</v>
      </c>
      <c r="D621" s="9">
        <v>1.0</v>
      </c>
      <c r="F621" s="9">
        <v>0.0</v>
      </c>
      <c r="G621" s="9">
        <v>0.0</v>
      </c>
      <c r="H621" s="9">
        <v>0.0</v>
      </c>
    </row>
    <row r="622" ht="15.75" customHeight="1">
      <c r="A622" s="7" t="s">
        <v>1841</v>
      </c>
      <c r="B622" s="9" t="s">
        <v>17</v>
      </c>
      <c r="D622" s="9">
        <v>1.0</v>
      </c>
      <c r="E622" s="9">
        <v>-1.0</v>
      </c>
      <c r="F622" s="9">
        <v>0.0</v>
      </c>
      <c r="G622" s="9">
        <v>0.0</v>
      </c>
      <c r="H622" s="9">
        <v>0.0</v>
      </c>
      <c r="I622" s="9">
        <v>0.0</v>
      </c>
    </row>
    <row r="623" ht="15.75" customHeight="1">
      <c r="A623" s="7" t="s">
        <v>1844</v>
      </c>
      <c r="B623" s="9" t="s">
        <v>17</v>
      </c>
      <c r="C623" s="9" t="s">
        <v>1845</v>
      </c>
      <c r="D623" s="9">
        <v>1.0</v>
      </c>
      <c r="E623" s="9">
        <v>-11.0</v>
      </c>
      <c r="F623" s="9">
        <v>0.0</v>
      </c>
      <c r="G623" s="9">
        <v>0.0</v>
      </c>
      <c r="H623" s="9">
        <v>1.0</v>
      </c>
      <c r="I623" s="9">
        <v>0.25</v>
      </c>
    </row>
    <row r="624" ht="15.75" customHeight="1">
      <c r="A624" s="7" t="s">
        <v>1847</v>
      </c>
      <c r="B624" s="9" t="s">
        <v>17</v>
      </c>
      <c r="C624" s="9" t="s">
        <v>1849</v>
      </c>
      <c r="D624" s="9">
        <v>1.0</v>
      </c>
      <c r="E624" s="9">
        <v>-1.0</v>
      </c>
      <c r="F624" s="9">
        <v>0.0</v>
      </c>
      <c r="G624" s="9">
        <v>0.0</v>
      </c>
      <c r="H624" s="9">
        <v>2.0</v>
      </c>
      <c r="I624" s="9">
        <v>1.0</v>
      </c>
    </row>
    <row r="625" ht="15.75" customHeight="1">
      <c r="A625" s="7" t="s">
        <v>1850</v>
      </c>
      <c r="B625" s="9" t="s">
        <v>17</v>
      </c>
      <c r="C625" s="9" t="s">
        <v>482</v>
      </c>
      <c r="D625" s="9">
        <v>1.0</v>
      </c>
      <c r="E625" s="9">
        <v>-1.0</v>
      </c>
      <c r="F625" s="9">
        <v>0.0</v>
      </c>
      <c r="G625" s="9">
        <v>0.0</v>
      </c>
      <c r="H625" s="9">
        <v>1.0</v>
      </c>
      <c r="I625" s="9">
        <v>0.0</v>
      </c>
    </row>
    <row r="626" ht="15.75" customHeight="1">
      <c r="A626" s="7" t="s">
        <v>1851</v>
      </c>
      <c r="B626" s="9" t="s">
        <v>17</v>
      </c>
      <c r="C626" s="9" t="s">
        <v>188</v>
      </c>
      <c r="D626" s="9">
        <v>1.0</v>
      </c>
      <c r="F626" s="9">
        <v>0.0</v>
      </c>
      <c r="G626" s="9">
        <v>0.0</v>
      </c>
      <c r="H626" s="9">
        <v>0.0</v>
      </c>
    </row>
    <row r="627" ht="15.75" customHeight="1">
      <c r="A627" s="7" t="s">
        <v>1854</v>
      </c>
      <c r="B627" s="9" t="s">
        <v>17</v>
      </c>
      <c r="C627" s="9" t="s">
        <v>1855</v>
      </c>
      <c r="D627" s="9">
        <v>1.0</v>
      </c>
      <c r="E627" s="9">
        <v>0.0</v>
      </c>
      <c r="F627" s="9">
        <v>0.0</v>
      </c>
      <c r="G627" s="9">
        <v>0.0</v>
      </c>
      <c r="H627" s="9">
        <v>3.0</v>
      </c>
      <c r="I627" s="9">
        <v>3.0</v>
      </c>
    </row>
    <row r="628" ht="15.75" customHeight="1">
      <c r="A628" s="7" t="s">
        <v>1856</v>
      </c>
      <c r="B628" s="9" t="s">
        <v>17</v>
      </c>
      <c r="C628" s="9" t="s">
        <v>1859</v>
      </c>
      <c r="D628" s="9">
        <v>1.0</v>
      </c>
      <c r="F628" s="9">
        <v>0.0</v>
      </c>
      <c r="G628" s="9">
        <v>0.0</v>
      </c>
      <c r="H628" s="9">
        <v>2.0</v>
      </c>
    </row>
    <row r="629" ht="15.75" customHeight="1">
      <c r="A629" s="7" t="s">
        <v>1861</v>
      </c>
      <c r="B629" s="9" t="s">
        <v>17</v>
      </c>
      <c r="D629" s="9">
        <v>1.0</v>
      </c>
      <c r="E629" s="9">
        <v>-1.0</v>
      </c>
      <c r="F629" s="9">
        <v>0.0</v>
      </c>
      <c r="G629" s="9">
        <v>0.0</v>
      </c>
      <c r="H629" s="9">
        <v>2.0</v>
      </c>
      <c r="I629" s="9">
        <v>2.0</v>
      </c>
    </row>
    <row r="630" ht="15.75" customHeight="1">
      <c r="A630" s="7" t="s">
        <v>1863</v>
      </c>
      <c r="B630" s="9" t="s">
        <v>17</v>
      </c>
      <c r="C630" s="9" t="s">
        <v>1867</v>
      </c>
      <c r="D630" s="9">
        <v>1.0</v>
      </c>
      <c r="F630" s="9">
        <v>0.0</v>
      </c>
      <c r="G630" s="9">
        <v>0.0</v>
      </c>
      <c r="H630" s="9">
        <v>1.0</v>
      </c>
    </row>
    <row r="631" ht="15.75" customHeight="1">
      <c r="A631" s="7" t="s">
        <v>1868</v>
      </c>
      <c r="B631" s="9" t="s">
        <v>94</v>
      </c>
      <c r="D631" s="9">
        <v>1.0</v>
      </c>
      <c r="E631" s="9">
        <v>-3.0</v>
      </c>
      <c r="F631" s="9">
        <v>0.0</v>
      </c>
      <c r="G631" s="9">
        <v>0.0</v>
      </c>
      <c r="H631" s="9">
        <v>0.0</v>
      </c>
      <c r="I631" s="9">
        <v>-1.5</v>
      </c>
    </row>
    <row r="632" ht="15.75" customHeight="1">
      <c r="A632" s="7" t="s">
        <v>1869</v>
      </c>
      <c r="B632" s="9" t="s">
        <v>360</v>
      </c>
      <c r="D632" s="9">
        <v>1.0</v>
      </c>
      <c r="F632" s="9">
        <v>0.0</v>
      </c>
      <c r="G632" s="9">
        <v>0.0</v>
      </c>
      <c r="H632" s="9">
        <v>0.0</v>
      </c>
    </row>
    <row r="633" ht="15.75" customHeight="1">
      <c r="A633" s="7" t="s">
        <v>1872</v>
      </c>
      <c r="B633" s="9" t="s">
        <v>17</v>
      </c>
      <c r="C633" s="9" t="s">
        <v>1873</v>
      </c>
      <c r="D633" s="9">
        <v>1.0</v>
      </c>
      <c r="E633" s="9">
        <v>0.0</v>
      </c>
      <c r="F633" s="9">
        <v>0.0</v>
      </c>
      <c r="G633" s="9">
        <v>0.0</v>
      </c>
      <c r="H633" s="9">
        <v>0.0</v>
      </c>
      <c r="I633" s="9">
        <v>-2.0</v>
      </c>
    </row>
    <row r="634" ht="15.75" customHeight="1">
      <c r="A634" s="7" t="s">
        <v>1874</v>
      </c>
      <c r="B634" s="9" t="s">
        <v>17</v>
      </c>
      <c r="C634" s="9" t="s">
        <v>188</v>
      </c>
      <c r="D634" s="9">
        <v>1.0</v>
      </c>
      <c r="F634" s="9">
        <v>0.0</v>
      </c>
      <c r="G634" s="9">
        <v>0.0</v>
      </c>
      <c r="H634" s="9">
        <v>0.0</v>
      </c>
    </row>
    <row r="635" ht="15.75" customHeight="1">
      <c r="A635" s="7" t="s">
        <v>1876</v>
      </c>
      <c r="B635" s="9" t="s">
        <v>17</v>
      </c>
      <c r="C635" s="9" t="s">
        <v>188</v>
      </c>
      <c r="D635" s="9">
        <v>1.0</v>
      </c>
      <c r="E635" s="9">
        <v>-1.0</v>
      </c>
      <c r="F635" s="9">
        <v>0.0</v>
      </c>
      <c r="G635" s="9">
        <v>0.0</v>
      </c>
      <c r="H635" s="9">
        <v>0.0</v>
      </c>
      <c r="I635" s="9">
        <v>0.0</v>
      </c>
    </row>
    <row r="636" ht="15.75" customHeight="1">
      <c r="A636" s="7" t="s">
        <v>1880</v>
      </c>
      <c r="B636" s="9" t="s">
        <v>17</v>
      </c>
      <c r="C636" s="9" t="s">
        <v>1883</v>
      </c>
      <c r="D636" s="9">
        <v>1.0</v>
      </c>
      <c r="F636" s="9">
        <v>0.0</v>
      </c>
      <c r="G636" s="9">
        <v>0.0</v>
      </c>
      <c r="H636" s="9">
        <v>1.0</v>
      </c>
    </row>
    <row r="637" ht="15.75" customHeight="1">
      <c r="A637" s="7" t="s">
        <v>1884</v>
      </c>
      <c r="B637" s="9" t="s">
        <v>17</v>
      </c>
      <c r="C637" s="9" t="s">
        <v>1887</v>
      </c>
      <c r="D637" s="9">
        <v>1.0</v>
      </c>
      <c r="E637" s="9">
        <v>-8.0</v>
      </c>
      <c r="F637" s="9">
        <v>0.0</v>
      </c>
      <c r="G637" s="9">
        <v>0.0</v>
      </c>
      <c r="H637" s="9">
        <v>0.0</v>
      </c>
      <c r="I637" s="9">
        <v>-0.22</v>
      </c>
    </row>
    <row r="638" ht="15.75" customHeight="1">
      <c r="A638" s="7" t="s">
        <v>1889</v>
      </c>
      <c r="B638" s="9" t="s">
        <v>17</v>
      </c>
      <c r="D638" s="9">
        <v>1.0</v>
      </c>
      <c r="E638" s="9">
        <v>-1.0</v>
      </c>
      <c r="F638" s="9">
        <v>0.0</v>
      </c>
      <c r="G638" s="9">
        <v>0.0</v>
      </c>
      <c r="H638" s="9">
        <v>0.0</v>
      </c>
      <c r="I638" s="9">
        <v>0.0</v>
      </c>
    </row>
    <row r="639" ht="15.75" customHeight="1">
      <c r="A639" s="7" t="s">
        <v>1890</v>
      </c>
      <c r="B639" s="9" t="s">
        <v>17</v>
      </c>
      <c r="D639" s="9">
        <v>1.0</v>
      </c>
      <c r="F639" s="9">
        <v>0.0</v>
      </c>
      <c r="G639" s="9">
        <v>0.0</v>
      </c>
      <c r="H639" s="9">
        <v>0.0</v>
      </c>
    </row>
    <row r="640" ht="15.75" customHeight="1">
      <c r="A640" s="7" t="s">
        <v>1894</v>
      </c>
      <c r="B640" s="9" t="s">
        <v>17</v>
      </c>
      <c r="C640" s="9" t="s">
        <v>415</v>
      </c>
      <c r="D640" s="9">
        <v>1.0</v>
      </c>
      <c r="E640" s="9">
        <v>-5.0</v>
      </c>
      <c r="F640" s="9">
        <v>0.0</v>
      </c>
      <c r="G640" s="9">
        <v>0.0</v>
      </c>
      <c r="H640" s="9">
        <v>0.0</v>
      </c>
      <c r="I640" s="9">
        <v>0.0</v>
      </c>
    </row>
    <row r="641" ht="15.75" customHeight="1">
      <c r="A641" s="7" t="s">
        <v>1897</v>
      </c>
      <c r="B641" s="9" t="s">
        <v>17</v>
      </c>
      <c r="D641" s="9">
        <v>1.0</v>
      </c>
      <c r="F641" s="9">
        <v>0.0</v>
      </c>
      <c r="G641" s="9">
        <v>0.0</v>
      </c>
      <c r="H641" s="9">
        <v>1.0</v>
      </c>
    </row>
    <row r="642" ht="15.75" customHeight="1">
      <c r="A642" s="7" t="s">
        <v>1899</v>
      </c>
      <c r="B642" s="9" t="s">
        <v>17</v>
      </c>
      <c r="C642" s="9" t="s">
        <v>1902</v>
      </c>
      <c r="D642" s="9">
        <v>1.0</v>
      </c>
      <c r="F642" s="9">
        <v>0.0</v>
      </c>
      <c r="G642" s="9">
        <v>0.0</v>
      </c>
      <c r="H642" s="9">
        <v>0.0</v>
      </c>
    </row>
    <row r="643" ht="15.75" customHeight="1">
      <c r="A643" s="9" t="s">
        <v>1903</v>
      </c>
      <c r="B643" s="9" t="s">
        <v>17</v>
      </c>
      <c r="C643" s="9" t="s">
        <v>188</v>
      </c>
      <c r="D643" s="9">
        <v>1.0</v>
      </c>
      <c r="E643" s="9">
        <v>-1.0</v>
      </c>
      <c r="F643" s="9">
        <v>0.0</v>
      </c>
      <c r="G643" s="9">
        <v>0.0</v>
      </c>
      <c r="H643" s="9">
        <v>0.0</v>
      </c>
      <c r="I643" s="9">
        <v>0.0</v>
      </c>
    </row>
    <row r="644" ht="15.75" customHeight="1">
      <c r="A644" s="7" t="s">
        <v>1904</v>
      </c>
      <c r="B644" s="9" t="s">
        <v>17</v>
      </c>
      <c r="D644" s="9">
        <v>1.0</v>
      </c>
      <c r="F644" s="9">
        <v>0.0</v>
      </c>
      <c r="G644" s="9">
        <v>0.0</v>
      </c>
      <c r="H644" s="9">
        <v>1.0</v>
      </c>
    </row>
    <row r="645" ht="15.75" customHeight="1">
      <c r="A645" s="7" t="s">
        <v>1907</v>
      </c>
      <c r="B645" s="9" t="s">
        <v>39</v>
      </c>
      <c r="D645" s="9">
        <v>1.0</v>
      </c>
      <c r="E645" s="9">
        <v>-2.0</v>
      </c>
      <c r="F645" s="9">
        <v>0.0</v>
      </c>
      <c r="G645" s="9">
        <v>0.0</v>
      </c>
      <c r="H645" s="9">
        <v>0.0</v>
      </c>
      <c r="I645" s="9">
        <v>0.0</v>
      </c>
    </row>
    <row r="646" ht="15.75" customHeight="1">
      <c r="A646" s="7" t="s">
        <v>1911</v>
      </c>
      <c r="B646" s="9" t="s">
        <v>17</v>
      </c>
      <c r="C646" s="9" t="s">
        <v>1912</v>
      </c>
      <c r="D646" s="9">
        <v>1.0</v>
      </c>
      <c r="F646" s="9">
        <v>0.0</v>
      </c>
      <c r="G646" s="9">
        <v>0.0</v>
      </c>
      <c r="H646" s="9">
        <v>0.0</v>
      </c>
    </row>
    <row r="647" ht="15.75" customHeight="1">
      <c r="A647" s="7" t="s">
        <v>1915</v>
      </c>
      <c r="B647" s="9" t="s">
        <v>360</v>
      </c>
      <c r="D647" s="9">
        <v>1.0</v>
      </c>
      <c r="F647" s="9">
        <v>0.0</v>
      </c>
      <c r="G647" s="9">
        <v>0.0</v>
      </c>
      <c r="H647" s="9">
        <v>1.0</v>
      </c>
    </row>
    <row r="648" ht="15.75" customHeight="1">
      <c r="A648" s="7" t="s">
        <v>1917</v>
      </c>
      <c r="B648" s="9" t="s">
        <v>17</v>
      </c>
      <c r="C648" s="9" t="s">
        <v>935</v>
      </c>
      <c r="D648" s="9">
        <v>1.0</v>
      </c>
      <c r="F648" s="9">
        <v>0.0</v>
      </c>
      <c r="G648" s="9">
        <v>0.0</v>
      </c>
      <c r="H648" s="9">
        <v>0.0</v>
      </c>
    </row>
    <row r="649" ht="15.75" customHeight="1">
      <c r="A649" s="7" t="s">
        <v>1919</v>
      </c>
      <c r="B649" s="9" t="s">
        <v>360</v>
      </c>
      <c r="C649" s="9" t="s">
        <v>1921</v>
      </c>
      <c r="D649" s="9">
        <v>1.0</v>
      </c>
      <c r="E649" s="9">
        <v>-11.0</v>
      </c>
      <c r="F649" s="9">
        <v>0.0</v>
      </c>
      <c r="G649" s="9">
        <v>0.0</v>
      </c>
      <c r="H649" s="9">
        <v>1.0</v>
      </c>
      <c r="I649" s="9">
        <v>0.0</v>
      </c>
    </row>
    <row r="650" ht="15.75" customHeight="1">
      <c r="A650" s="7" t="s">
        <v>1922</v>
      </c>
      <c r="B650" s="9" t="s">
        <v>17</v>
      </c>
      <c r="D650" s="9">
        <v>1.0</v>
      </c>
      <c r="F650" s="9">
        <v>0.0</v>
      </c>
      <c r="G650" s="9">
        <v>0.0</v>
      </c>
      <c r="H650" s="9">
        <v>1.0</v>
      </c>
    </row>
    <row r="651" ht="15.75" customHeight="1">
      <c r="A651" s="7" t="s">
        <v>1923</v>
      </c>
      <c r="B651" s="9" t="s">
        <v>94</v>
      </c>
      <c r="D651" s="9">
        <v>1.0</v>
      </c>
      <c r="F651" s="9">
        <v>0.0</v>
      </c>
      <c r="G651" s="9">
        <v>0.0</v>
      </c>
      <c r="H651" s="9">
        <v>2.0</v>
      </c>
    </row>
    <row r="652" ht="15.75" customHeight="1">
      <c r="A652" s="7" t="s">
        <v>1924</v>
      </c>
      <c r="B652" s="9" t="s">
        <v>17</v>
      </c>
      <c r="C652" s="9" t="s">
        <v>1928</v>
      </c>
      <c r="D652" s="9">
        <v>1.0</v>
      </c>
      <c r="F652" s="9">
        <v>0.0</v>
      </c>
      <c r="G652" s="9">
        <v>0.0</v>
      </c>
      <c r="H652" s="9">
        <v>1.0</v>
      </c>
    </row>
    <row r="653" ht="15.75" customHeight="1">
      <c r="A653" s="7" t="s">
        <v>1929</v>
      </c>
      <c r="B653" s="9" t="s">
        <v>17</v>
      </c>
      <c r="C653" s="9" t="s">
        <v>1424</v>
      </c>
      <c r="D653" s="9">
        <v>1.0</v>
      </c>
      <c r="F653" s="9">
        <v>0.0</v>
      </c>
      <c r="G653" s="9">
        <v>0.0</v>
      </c>
      <c r="H653" s="9">
        <v>1.0</v>
      </c>
    </row>
    <row r="654" ht="15.75" customHeight="1">
      <c r="A654" s="7" t="s">
        <v>1933</v>
      </c>
      <c r="B654" s="9" t="s">
        <v>17</v>
      </c>
      <c r="C654" s="9" t="s">
        <v>482</v>
      </c>
      <c r="D654" s="9">
        <v>1.0</v>
      </c>
      <c r="E654" s="9">
        <v>-2.0</v>
      </c>
      <c r="F654" s="9">
        <v>0.0</v>
      </c>
      <c r="G654" s="9">
        <v>0.0</v>
      </c>
      <c r="H654" s="9">
        <v>1.0</v>
      </c>
      <c r="I654" s="9">
        <v>0.33</v>
      </c>
    </row>
    <row r="655" ht="15.75" customHeight="1">
      <c r="A655" s="7" t="s">
        <v>1937</v>
      </c>
      <c r="B655" s="9" t="s">
        <v>25</v>
      </c>
      <c r="C655" s="9" t="s">
        <v>188</v>
      </c>
      <c r="D655" s="9">
        <v>1.0</v>
      </c>
      <c r="E655" s="9">
        <v>-3.0</v>
      </c>
      <c r="F655" s="9">
        <v>0.0</v>
      </c>
      <c r="G655" s="9">
        <v>0.0</v>
      </c>
      <c r="H655" s="9">
        <v>2.0</v>
      </c>
      <c r="I655" s="9">
        <v>1.75</v>
      </c>
    </row>
    <row r="656" ht="15.75" customHeight="1">
      <c r="A656" s="7" t="s">
        <v>1939</v>
      </c>
      <c r="B656" s="9" t="s">
        <v>360</v>
      </c>
      <c r="C656" s="9" t="s">
        <v>188</v>
      </c>
      <c r="D656" s="9">
        <v>1.0</v>
      </c>
      <c r="F656" s="9">
        <v>0.0</v>
      </c>
      <c r="G656" s="9">
        <v>0.0</v>
      </c>
      <c r="H656" s="9">
        <v>1.0</v>
      </c>
    </row>
    <row r="657" ht="15.75" customHeight="1">
      <c r="A657" s="7" t="s">
        <v>1942</v>
      </c>
      <c r="B657" s="9" t="s">
        <v>17</v>
      </c>
      <c r="C657" s="9" t="s">
        <v>337</v>
      </c>
      <c r="D657" s="9">
        <v>1.0</v>
      </c>
      <c r="F657" s="9">
        <v>0.0</v>
      </c>
      <c r="G657" s="9">
        <v>0.0</v>
      </c>
      <c r="H657" s="9">
        <v>2.0</v>
      </c>
    </row>
    <row r="658" ht="15.75" customHeight="1">
      <c r="A658" s="7" t="s">
        <v>1943</v>
      </c>
      <c r="B658" s="9" t="s">
        <v>17</v>
      </c>
      <c r="D658" s="9">
        <v>1.0</v>
      </c>
      <c r="F658" s="9">
        <v>0.0</v>
      </c>
      <c r="G658" s="9">
        <v>0.0</v>
      </c>
      <c r="H658" s="9">
        <v>0.0</v>
      </c>
    </row>
    <row r="659" ht="15.75" customHeight="1">
      <c r="A659" s="7" t="s">
        <v>1944</v>
      </c>
      <c r="B659" s="9" t="s">
        <v>94</v>
      </c>
      <c r="D659" s="9">
        <v>1.0</v>
      </c>
      <c r="F659" s="9">
        <v>0.0</v>
      </c>
      <c r="G659" s="9">
        <v>0.0</v>
      </c>
      <c r="H659" s="9">
        <v>1.0</v>
      </c>
    </row>
    <row r="660" ht="15.75" customHeight="1">
      <c r="A660" s="7" t="s">
        <v>1947</v>
      </c>
      <c r="B660" s="9" t="s">
        <v>44</v>
      </c>
      <c r="C660" s="9" t="s">
        <v>1948</v>
      </c>
      <c r="D660" s="9">
        <v>1.0</v>
      </c>
      <c r="F660" s="9">
        <v>0.0</v>
      </c>
      <c r="G660" s="9">
        <v>0.0</v>
      </c>
      <c r="H660" s="9">
        <v>1.0</v>
      </c>
    </row>
    <row r="661" ht="15.75" customHeight="1">
      <c r="A661" s="7" t="s">
        <v>1949</v>
      </c>
      <c r="B661" s="9" t="s">
        <v>17</v>
      </c>
      <c r="D661" s="9">
        <v>1.0</v>
      </c>
      <c r="E661" s="9">
        <v>-5.0</v>
      </c>
      <c r="F661" s="9">
        <v>0.0</v>
      </c>
      <c r="G661" s="9">
        <v>0.0</v>
      </c>
      <c r="H661" s="9">
        <v>2.0</v>
      </c>
      <c r="I661" s="9">
        <v>-0.17</v>
      </c>
    </row>
    <row r="662" ht="15.75" customHeight="1">
      <c r="A662" s="7" t="s">
        <v>1953</v>
      </c>
      <c r="B662" s="9" t="s">
        <v>17</v>
      </c>
      <c r="C662" s="9" t="s">
        <v>188</v>
      </c>
      <c r="D662" s="9">
        <v>1.0</v>
      </c>
      <c r="F662" s="9">
        <v>0.0</v>
      </c>
      <c r="G662" s="9">
        <v>0.0</v>
      </c>
      <c r="H662" s="9">
        <v>1.0</v>
      </c>
    </row>
    <row r="663" ht="15.75" customHeight="1">
      <c r="A663" s="7" t="s">
        <v>1956</v>
      </c>
      <c r="B663" s="9" t="s">
        <v>17</v>
      </c>
      <c r="C663" s="9" t="s">
        <v>1960</v>
      </c>
      <c r="D663" s="9">
        <v>1.0</v>
      </c>
      <c r="F663" s="9">
        <v>0.0</v>
      </c>
      <c r="G663" s="9">
        <v>0.0</v>
      </c>
      <c r="H663" s="9">
        <v>1.0</v>
      </c>
    </row>
    <row r="664" ht="15.75" customHeight="1">
      <c r="A664" s="7" t="s">
        <v>1961</v>
      </c>
      <c r="B664" s="9" t="s">
        <v>17</v>
      </c>
      <c r="D664" s="9">
        <v>1.0</v>
      </c>
      <c r="F664" s="9">
        <v>0.0</v>
      </c>
      <c r="G664" s="9">
        <v>0.0</v>
      </c>
      <c r="H664" s="9">
        <v>1.0</v>
      </c>
    </row>
    <row r="665" ht="15.75" customHeight="1">
      <c r="A665" s="7" t="s">
        <v>1963</v>
      </c>
      <c r="B665" s="9" t="s">
        <v>17</v>
      </c>
      <c r="D665" s="9">
        <v>1.0</v>
      </c>
      <c r="E665" s="9">
        <v>-2.0</v>
      </c>
      <c r="F665" s="9">
        <v>0.0</v>
      </c>
      <c r="G665" s="9">
        <v>0.0</v>
      </c>
      <c r="H665" s="9">
        <v>2.0</v>
      </c>
      <c r="I665" s="9">
        <v>2.0</v>
      </c>
    </row>
    <row r="666" ht="15.75" customHeight="1">
      <c r="A666" s="7" t="s">
        <v>1965</v>
      </c>
      <c r="B666" s="9" t="s">
        <v>17</v>
      </c>
      <c r="C666" s="9" t="s">
        <v>1966</v>
      </c>
      <c r="D666" s="9">
        <v>1.0</v>
      </c>
      <c r="F666" s="9">
        <v>0.0</v>
      </c>
      <c r="G666" s="9">
        <v>0.0</v>
      </c>
      <c r="H666" s="9">
        <v>0.0</v>
      </c>
    </row>
    <row r="667" ht="15.75" customHeight="1">
      <c r="A667" s="7" t="s">
        <v>1967</v>
      </c>
      <c r="B667" s="9" t="s">
        <v>17</v>
      </c>
      <c r="C667" s="9" t="s">
        <v>1969</v>
      </c>
      <c r="D667" s="9">
        <v>1.0</v>
      </c>
      <c r="E667" s="9">
        <v>-8.0</v>
      </c>
      <c r="F667" s="9">
        <v>0.0</v>
      </c>
      <c r="G667" s="9">
        <v>0.0</v>
      </c>
      <c r="H667" s="9">
        <v>1.0</v>
      </c>
      <c r="I667" s="9">
        <v>-0.56</v>
      </c>
    </row>
    <row r="668" ht="15.75" customHeight="1">
      <c r="A668" s="7" t="s">
        <v>1970</v>
      </c>
      <c r="B668" s="9" t="s">
        <v>94</v>
      </c>
      <c r="D668" s="9">
        <v>1.0</v>
      </c>
      <c r="F668" s="9">
        <v>0.0</v>
      </c>
      <c r="G668" s="9">
        <v>0.0</v>
      </c>
      <c r="H668" s="9">
        <v>1.0</v>
      </c>
    </row>
    <row r="669" ht="15.75" customHeight="1">
      <c r="A669" s="7" t="s">
        <v>1972</v>
      </c>
      <c r="B669" s="9" t="s">
        <v>17</v>
      </c>
      <c r="D669" s="9">
        <v>1.0</v>
      </c>
      <c r="E669" s="9">
        <v>0.0</v>
      </c>
      <c r="F669" s="9">
        <v>0.0</v>
      </c>
      <c r="G669" s="9">
        <v>0.0</v>
      </c>
      <c r="H669" s="9">
        <v>2.0</v>
      </c>
      <c r="I669" s="9">
        <v>2.0</v>
      </c>
    </row>
    <row r="670" ht="15.75" customHeight="1">
      <c r="A670" s="7" t="s">
        <v>1974</v>
      </c>
      <c r="B670" s="9" t="s">
        <v>17</v>
      </c>
      <c r="C670" s="9" t="s">
        <v>1975</v>
      </c>
      <c r="D670" s="9">
        <v>1.0</v>
      </c>
      <c r="F670" s="9">
        <v>0.0</v>
      </c>
      <c r="G670" s="9">
        <v>0.0</v>
      </c>
      <c r="H670" s="9">
        <v>0.0</v>
      </c>
    </row>
    <row r="671" ht="15.75" customHeight="1">
      <c r="A671" s="7" t="s">
        <v>1976</v>
      </c>
      <c r="B671" s="9" t="s">
        <v>17</v>
      </c>
      <c r="D671" s="9">
        <v>1.0</v>
      </c>
      <c r="F671" s="9">
        <v>0.0</v>
      </c>
      <c r="G671" s="9">
        <v>0.0</v>
      </c>
      <c r="H671" s="9">
        <v>0.0</v>
      </c>
    </row>
    <row r="672" ht="15.75" customHeight="1">
      <c r="A672" s="7" t="s">
        <v>1980</v>
      </c>
      <c r="B672" s="9" t="s">
        <v>17</v>
      </c>
      <c r="D672" s="9">
        <v>1.0</v>
      </c>
      <c r="E672" s="9">
        <v>-1.0</v>
      </c>
      <c r="F672" s="9">
        <v>0.0</v>
      </c>
      <c r="G672" s="9">
        <v>0.0</v>
      </c>
      <c r="H672" s="9">
        <v>0.0</v>
      </c>
      <c r="I672" s="9">
        <v>-1.0</v>
      </c>
    </row>
    <row r="673" ht="15.75" customHeight="1">
      <c r="A673" s="7" t="s">
        <v>1982</v>
      </c>
      <c r="B673" s="9" t="s">
        <v>17</v>
      </c>
      <c r="C673" s="9" t="s">
        <v>1985</v>
      </c>
      <c r="D673" s="9">
        <v>1.0</v>
      </c>
      <c r="E673" s="9">
        <v>-4.0</v>
      </c>
      <c r="F673" s="9">
        <v>0.0</v>
      </c>
      <c r="G673" s="9">
        <v>0.0</v>
      </c>
      <c r="H673" s="9">
        <v>0.0</v>
      </c>
      <c r="I673" s="9">
        <v>-0.4</v>
      </c>
    </row>
    <row r="674" ht="15.75" customHeight="1">
      <c r="A674" s="7" t="s">
        <v>1986</v>
      </c>
      <c r="B674" s="9" t="s">
        <v>17</v>
      </c>
      <c r="C674" s="9" t="s">
        <v>1990</v>
      </c>
      <c r="D674" s="9">
        <v>1.0</v>
      </c>
      <c r="F674" s="9">
        <v>0.0</v>
      </c>
      <c r="G674" s="9">
        <v>0.0</v>
      </c>
      <c r="H674" s="9">
        <v>2.0</v>
      </c>
    </row>
    <row r="675" ht="15.75" customHeight="1">
      <c r="A675" s="7" t="s">
        <v>1991</v>
      </c>
      <c r="B675" s="9" t="s">
        <v>17</v>
      </c>
      <c r="C675" s="9" t="s">
        <v>720</v>
      </c>
      <c r="D675" s="9">
        <v>1.0</v>
      </c>
      <c r="E675" s="9">
        <v>-4.0</v>
      </c>
      <c r="F675" s="9">
        <v>0.0</v>
      </c>
      <c r="G675" s="9">
        <v>0.0</v>
      </c>
      <c r="H675" s="9">
        <v>4.0</v>
      </c>
      <c r="I675" s="9">
        <v>2.0</v>
      </c>
    </row>
    <row r="676" ht="15.75" customHeight="1">
      <c r="A676" s="7" t="s">
        <v>1995</v>
      </c>
      <c r="B676" s="9" t="s">
        <v>17</v>
      </c>
      <c r="C676" s="9" t="s">
        <v>1998</v>
      </c>
      <c r="D676" s="9">
        <v>1.0</v>
      </c>
      <c r="F676" s="9">
        <v>0.0</v>
      </c>
      <c r="G676" s="9">
        <v>0.0</v>
      </c>
      <c r="H676" s="9">
        <v>0.0</v>
      </c>
    </row>
    <row r="677" ht="15.75" customHeight="1">
      <c r="A677" s="9" t="s">
        <v>2001</v>
      </c>
      <c r="B677" s="9" t="s">
        <v>94</v>
      </c>
      <c r="C677" s="9" t="s">
        <v>2002</v>
      </c>
      <c r="D677" s="9">
        <v>1.0</v>
      </c>
      <c r="F677" s="9">
        <v>0.0</v>
      </c>
      <c r="G677" s="9">
        <v>0.0</v>
      </c>
      <c r="H677" s="9">
        <v>2.0</v>
      </c>
    </row>
    <row r="678" ht="15.75" customHeight="1">
      <c r="A678" s="7" t="s">
        <v>2003</v>
      </c>
      <c r="B678" s="9" t="s">
        <v>17</v>
      </c>
      <c r="C678" s="9" t="s">
        <v>188</v>
      </c>
      <c r="D678" s="9">
        <v>1.0</v>
      </c>
      <c r="F678" s="9">
        <v>0.0</v>
      </c>
      <c r="G678" s="9">
        <v>0.0</v>
      </c>
      <c r="H678" s="9">
        <v>0.0</v>
      </c>
    </row>
    <row r="679" ht="15.75" customHeight="1">
      <c r="A679" s="7" t="s">
        <v>2004</v>
      </c>
      <c r="B679" s="9" t="s">
        <v>17</v>
      </c>
      <c r="D679" s="9">
        <v>1.0</v>
      </c>
      <c r="F679" s="9">
        <v>0.0</v>
      </c>
      <c r="G679" s="9">
        <v>0.0</v>
      </c>
      <c r="H679" s="9">
        <v>1.0</v>
      </c>
    </row>
    <row r="680" ht="15.75" customHeight="1">
      <c r="A680" s="7" t="s">
        <v>2007</v>
      </c>
      <c r="B680" s="9" t="s">
        <v>17</v>
      </c>
      <c r="C680" s="9" t="s">
        <v>188</v>
      </c>
      <c r="D680" s="9">
        <v>1.0</v>
      </c>
      <c r="E680" s="9">
        <v>0.0</v>
      </c>
      <c r="F680" s="9">
        <v>0.0</v>
      </c>
      <c r="G680" s="9">
        <v>0.0</v>
      </c>
      <c r="H680" s="9">
        <v>3.0</v>
      </c>
      <c r="I680" s="9">
        <v>1.0</v>
      </c>
    </row>
    <row r="681" ht="15.75" customHeight="1">
      <c r="A681" s="7" t="s">
        <v>2011</v>
      </c>
      <c r="B681" s="9" t="s">
        <v>17</v>
      </c>
      <c r="C681" s="9" t="s">
        <v>2015</v>
      </c>
      <c r="D681" s="9">
        <v>1.0</v>
      </c>
      <c r="E681" s="9">
        <v>-3.0</v>
      </c>
      <c r="F681" s="9">
        <v>0.0</v>
      </c>
      <c r="G681" s="9">
        <v>0.0</v>
      </c>
      <c r="H681" s="9">
        <v>2.0</v>
      </c>
      <c r="I681" s="9">
        <v>0.75</v>
      </c>
    </row>
    <row r="682" ht="15.75" customHeight="1">
      <c r="A682" s="7" t="s">
        <v>2016</v>
      </c>
      <c r="B682" s="9" t="s">
        <v>17</v>
      </c>
      <c r="C682" s="9" t="s">
        <v>340</v>
      </c>
      <c r="D682" s="9">
        <v>1.0</v>
      </c>
      <c r="E682" s="9">
        <v>-1.0</v>
      </c>
      <c r="F682" s="9">
        <v>0.0</v>
      </c>
      <c r="G682" s="9">
        <v>0.0</v>
      </c>
      <c r="H682" s="9">
        <v>0.0</v>
      </c>
      <c r="I682" s="9">
        <v>-2.0</v>
      </c>
    </row>
    <row r="683" ht="15.75" customHeight="1">
      <c r="A683" s="7" t="s">
        <v>2020</v>
      </c>
      <c r="B683" s="9" t="s">
        <v>17</v>
      </c>
      <c r="C683" s="9" t="s">
        <v>2021</v>
      </c>
      <c r="D683" s="9">
        <v>1.0</v>
      </c>
      <c r="E683" s="9">
        <v>0.0</v>
      </c>
      <c r="F683" s="9">
        <v>0.0</v>
      </c>
      <c r="G683" s="9">
        <v>0.0</v>
      </c>
      <c r="H683" s="9">
        <v>1.0</v>
      </c>
      <c r="I683" s="9">
        <v>0.0</v>
      </c>
    </row>
    <row r="684" ht="15.75" customHeight="1">
      <c r="A684" s="7" t="s">
        <v>2024</v>
      </c>
      <c r="B684" s="9" t="s">
        <v>17</v>
      </c>
      <c r="C684" s="9" t="s">
        <v>2025</v>
      </c>
      <c r="D684" s="9">
        <v>1.0</v>
      </c>
      <c r="E684" s="9">
        <v>-2.0</v>
      </c>
      <c r="F684" s="9">
        <v>0.0</v>
      </c>
      <c r="G684" s="9">
        <v>0.0</v>
      </c>
      <c r="H684" s="9">
        <v>1.0</v>
      </c>
      <c r="I684" s="9">
        <v>0.67</v>
      </c>
    </row>
    <row r="685" ht="15.75" customHeight="1">
      <c r="A685" s="7" t="s">
        <v>2027</v>
      </c>
      <c r="B685" s="9" t="s">
        <v>17</v>
      </c>
      <c r="C685" s="9" t="s">
        <v>1686</v>
      </c>
      <c r="D685" s="9">
        <v>1.0</v>
      </c>
      <c r="E685" s="9">
        <v>-1.0</v>
      </c>
      <c r="F685" s="9">
        <v>0.0</v>
      </c>
      <c r="G685" s="9">
        <v>0.0</v>
      </c>
      <c r="H685" s="9">
        <v>3.0</v>
      </c>
      <c r="I685" s="9">
        <v>2.0</v>
      </c>
    </row>
    <row r="686" ht="15.75" customHeight="1">
      <c r="A686" s="7" t="s">
        <v>2029</v>
      </c>
      <c r="B686" s="9" t="s">
        <v>17</v>
      </c>
      <c r="C686" s="9" t="s">
        <v>188</v>
      </c>
      <c r="D686" s="9">
        <v>1.0</v>
      </c>
      <c r="F686" s="9">
        <v>0.0</v>
      </c>
      <c r="G686" s="9">
        <v>0.0</v>
      </c>
      <c r="H686" s="9">
        <v>1.0</v>
      </c>
    </row>
    <row r="687" ht="15.75" customHeight="1">
      <c r="A687" s="7" t="s">
        <v>2032</v>
      </c>
      <c r="B687" s="9" t="s">
        <v>17</v>
      </c>
      <c r="C687" s="9" t="s">
        <v>503</v>
      </c>
      <c r="D687" s="9">
        <v>1.0</v>
      </c>
      <c r="F687" s="9">
        <v>0.0</v>
      </c>
      <c r="G687" s="9">
        <v>0.0</v>
      </c>
      <c r="H687" s="9">
        <v>1.0</v>
      </c>
    </row>
    <row r="688" ht="15.75" customHeight="1">
      <c r="A688" s="7" t="s">
        <v>2035</v>
      </c>
      <c r="B688" s="9" t="s">
        <v>17</v>
      </c>
      <c r="D688" s="9">
        <v>1.0</v>
      </c>
      <c r="F688" s="9">
        <v>0.0</v>
      </c>
      <c r="G688" s="9">
        <v>0.0</v>
      </c>
      <c r="H688" s="9">
        <v>1.0</v>
      </c>
    </row>
    <row r="689" ht="15.75" customHeight="1">
      <c r="A689" s="7" t="s">
        <v>2036</v>
      </c>
      <c r="B689" s="9" t="s">
        <v>17</v>
      </c>
      <c r="C689" s="9" t="s">
        <v>188</v>
      </c>
      <c r="D689" s="9">
        <v>1.0</v>
      </c>
      <c r="F689" s="9">
        <v>0.0</v>
      </c>
      <c r="G689" s="9">
        <v>0.0</v>
      </c>
      <c r="H689" s="9">
        <v>0.0</v>
      </c>
    </row>
    <row r="690" ht="15.75" customHeight="1">
      <c r="A690" s="7" t="s">
        <v>2037</v>
      </c>
      <c r="B690" s="9" t="s">
        <v>17</v>
      </c>
      <c r="D690" s="9">
        <v>1.0</v>
      </c>
      <c r="F690" s="9">
        <v>0.0</v>
      </c>
      <c r="G690" s="9">
        <v>0.0</v>
      </c>
      <c r="H690" s="9">
        <v>0.0</v>
      </c>
    </row>
    <row r="691" ht="15.75" customHeight="1">
      <c r="A691" s="7" t="s">
        <v>2041</v>
      </c>
      <c r="B691" s="9" t="s">
        <v>17</v>
      </c>
      <c r="C691" s="9" t="s">
        <v>201</v>
      </c>
      <c r="D691" s="9">
        <v>1.0</v>
      </c>
      <c r="F691" s="9">
        <v>0.0</v>
      </c>
      <c r="G691" s="9">
        <v>0.0</v>
      </c>
      <c r="H691" s="9">
        <v>0.0</v>
      </c>
    </row>
    <row r="692" ht="15.75" customHeight="1">
      <c r="A692" s="7" t="s">
        <v>2044</v>
      </c>
      <c r="B692" s="9" t="s">
        <v>17</v>
      </c>
      <c r="C692" s="9" t="s">
        <v>1285</v>
      </c>
      <c r="D692" s="9">
        <v>1.0</v>
      </c>
      <c r="F692" s="9">
        <v>0.0</v>
      </c>
      <c r="G692" s="9">
        <v>0.0</v>
      </c>
      <c r="H692" s="9">
        <v>0.0</v>
      </c>
    </row>
    <row r="693" ht="15.75" customHeight="1">
      <c r="A693" s="7" t="s">
        <v>2045</v>
      </c>
      <c r="B693" s="9" t="s">
        <v>17</v>
      </c>
      <c r="C693" s="9" t="s">
        <v>188</v>
      </c>
      <c r="D693" s="9">
        <v>1.0</v>
      </c>
      <c r="F693" s="9">
        <v>0.0</v>
      </c>
      <c r="G693" s="9">
        <v>0.0</v>
      </c>
      <c r="H693" s="9">
        <v>1.0</v>
      </c>
    </row>
    <row r="694" ht="15.75" customHeight="1">
      <c r="A694" s="7" t="s">
        <v>2048</v>
      </c>
      <c r="B694" s="9" t="s">
        <v>17</v>
      </c>
      <c r="D694" s="9">
        <v>1.0</v>
      </c>
      <c r="F694" s="9">
        <v>0.0</v>
      </c>
      <c r="G694" s="9">
        <v>0.0</v>
      </c>
      <c r="H694" s="9">
        <v>0.0</v>
      </c>
    </row>
    <row r="695" ht="15.75" customHeight="1">
      <c r="A695" s="7" t="s">
        <v>2049</v>
      </c>
      <c r="B695" s="9" t="s">
        <v>17</v>
      </c>
      <c r="C695" s="9" t="s">
        <v>2052</v>
      </c>
      <c r="D695" s="9">
        <v>1.0</v>
      </c>
      <c r="E695" s="9">
        <v>-9.0</v>
      </c>
      <c r="F695" s="9">
        <v>0.0</v>
      </c>
      <c r="G695" s="9">
        <v>0.0</v>
      </c>
      <c r="H695" s="9">
        <v>2.0</v>
      </c>
      <c r="I695" s="9">
        <v>0.5</v>
      </c>
    </row>
    <row r="696" ht="15.75" customHeight="1">
      <c r="A696" s="7" t="s">
        <v>2053</v>
      </c>
      <c r="B696" s="9" t="s">
        <v>124</v>
      </c>
      <c r="C696" s="9" t="s">
        <v>2055</v>
      </c>
      <c r="D696" s="9">
        <v>1.0</v>
      </c>
      <c r="F696" s="9">
        <v>0.0</v>
      </c>
      <c r="G696" s="9">
        <v>0.0</v>
      </c>
      <c r="H696" s="9">
        <v>0.0</v>
      </c>
    </row>
    <row r="697" ht="15.75" customHeight="1">
      <c r="A697" s="7" t="s">
        <v>2057</v>
      </c>
      <c r="B697" s="9" t="s">
        <v>17</v>
      </c>
      <c r="C697" s="9" t="s">
        <v>340</v>
      </c>
      <c r="D697" s="9">
        <v>1.0</v>
      </c>
      <c r="E697" s="9">
        <v>0.0</v>
      </c>
      <c r="F697" s="9">
        <v>0.0</v>
      </c>
      <c r="G697" s="9">
        <v>0.0</v>
      </c>
      <c r="H697" s="9">
        <v>4.0</v>
      </c>
      <c r="I697" s="9">
        <v>2.0</v>
      </c>
    </row>
    <row r="698" ht="15.75" customHeight="1">
      <c r="A698" s="7" t="s">
        <v>2059</v>
      </c>
      <c r="B698" s="9" t="s">
        <v>124</v>
      </c>
      <c r="C698" s="9" t="s">
        <v>2062</v>
      </c>
      <c r="D698" s="9">
        <v>1.0</v>
      </c>
      <c r="F698" s="9">
        <v>0.0</v>
      </c>
      <c r="G698" s="9">
        <v>0.0</v>
      </c>
      <c r="H698" s="9">
        <v>0.0</v>
      </c>
    </row>
    <row r="699" ht="15.75" customHeight="1">
      <c r="A699" s="7" t="s">
        <v>2064</v>
      </c>
      <c r="B699" s="9" t="s">
        <v>17</v>
      </c>
      <c r="D699" s="9">
        <v>1.0</v>
      </c>
      <c r="F699" s="9">
        <v>0.0</v>
      </c>
      <c r="G699" s="9">
        <v>0.0</v>
      </c>
      <c r="H699" s="9">
        <v>1.0</v>
      </c>
    </row>
    <row r="700" ht="15.75" customHeight="1">
      <c r="A700" s="9" t="s">
        <v>2067</v>
      </c>
      <c r="B700" s="9" t="s">
        <v>17</v>
      </c>
      <c r="C700" s="9" t="s">
        <v>2068</v>
      </c>
      <c r="D700" s="9">
        <v>1.0</v>
      </c>
      <c r="F700" s="9">
        <v>0.0</v>
      </c>
      <c r="G700" s="9">
        <v>0.0</v>
      </c>
      <c r="H700" s="9">
        <v>1.0</v>
      </c>
    </row>
    <row r="701" ht="15.75" customHeight="1">
      <c r="A701" s="7" t="s">
        <v>2069</v>
      </c>
      <c r="B701" s="9" t="s">
        <v>17</v>
      </c>
      <c r="C701" s="9" t="s">
        <v>188</v>
      </c>
      <c r="D701" s="9">
        <v>1.0</v>
      </c>
      <c r="F701" s="9">
        <v>0.0</v>
      </c>
      <c r="G701" s="9">
        <v>0.0</v>
      </c>
      <c r="H701" s="9">
        <v>2.0</v>
      </c>
    </row>
    <row r="702" ht="15.75" customHeight="1">
      <c r="A702" s="9" t="s">
        <v>2070</v>
      </c>
      <c r="B702" s="9" t="s">
        <v>17</v>
      </c>
      <c r="C702" s="9" t="s">
        <v>2072</v>
      </c>
      <c r="D702" s="9">
        <v>1.0</v>
      </c>
      <c r="E702" s="9">
        <v>-4.0</v>
      </c>
      <c r="F702" s="9">
        <v>0.0</v>
      </c>
      <c r="G702" s="9">
        <v>0.0</v>
      </c>
      <c r="H702" s="9">
        <v>2.0</v>
      </c>
      <c r="I702" s="9">
        <v>1.8</v>
      </c>
    </row>
    <row r="703" ht="15.75" customHeight="1">
      <c r="A703" s="9" t="s">
        <v>2073</v>
      </c>
      <c r="B703" s="9" t="s">
        <v>17</v>
      </c>
      <c r="C703" s="9" t="s">
        <v>1139</v>
      </c>
      <c r="D703" s="9">
        <v>1.0</v>
      </c>
      <c r="F703" s="9">
        <v>0.0</v>
      </c>
      <c r="G703" s="9">
        <v>0.0</v>
      </c>
      <c r="H703" s="9">
        <v>1.0</v>
      </c>
    </row>
    <row r="704" ht="15.75" customHeight="1">
      <c r="A704" s="7" t="s">
        <v>2075</v>
      </c>
      <c r="B704" s="9" t="s">
        <v>25</v>
      </c>
      <c r="C704" s="9" t="s">
        <v>2076</v>
      </c>
      <c r="D704" s="9">
        <v>1.0</v>
      </c>
      <c r="F704" s="9">
        <v>0.0</v>
      </c>
      <c r="G704" s="9">
        <v>0.0</v>
      </c>
      <c r="H704" s="9">
        <v>1.0</v>
      </c>
    </row>
    <row r="705" ht="15.75" customHeight="1">
      <c r="A705" s="7" t="s">
        <v>2079</v>
      </c>
      <c r="B705" s="9" t="s">
        <v>17</v>
      </c>
      <c r="D705" s="9">
        <v>1.0</v>
      </c>
      <c r="F705" s="9">
        <v>0.0</v>
      </c>
      <c r="G705" s="9">
        <v>0.0</v>
      </c>
      <c r="H705" s="9">
        <v>1.0</v>
      </c>
    </row>
    <row r="706" ht="15.75" customHeight="1">
      <c r="A706" s="7" t="s">
        <v>2082</v>
      </c>
      <c r="B706" s="9" t="s">
        <v>17</v>
      </c>
      <c r="D706" s="9">
        <v>1.0</v>
      </c>
      <c r="F706" s="9">
        <v>0.0</v>
      </c>
      <c r="G706" s="9">
        <v>0.0</v>
      </c>
      <c r="H706" s="9">
        <v>1.0</v>
      </c>
    </row>
    <row r="707" ht="15.75" customHeight="1">
      <c r="A707" s="7" t="s">
        <v>2084</v>
      </c>
      <c r="B707" s="9" t="s">
        <v>17</v>
      </c>
      <c r="C707" s="9" t="s">
        <v>188</v>
      </c>
      <c r="D707" s="9">
        <v>1.0</v>
      </c>
      <c r="F707" s="9">
        <v>0.0</v>
      </c>
      <c r="G707" s="9">
        <v>0.0</v>
      </c>
      <c r="H707" s="9">
        <v>0.0</v>
      </c>
    </row>
    <row r="708" ht="15.75" customHeight="1">
      <c r="A708" s="7" t="s">
        <v>2085</v>
      </c>
      <c r="B708" s="9" t="s">
        <v>17</v>
      </c>
      <c r="C708" s="9" t="s">
        <v>2088</v>
      </c>
      <c r="D708" s="9">
        <v>1.0</v>
      </c>
      <c r="E708" s="9">
        <v>-4.0</v>
      </c>
      <c r="F708" s="9">
        <v>0.0</v>
      </c>
      <c r="G708" s="9">
        <v>0.0</v>
      </c>
      <c r="H708" s="9">
        <v>1.0</v>
      </c>
      <c r="I708" s="9">
        <v>0.4</v>
      </c>
    </row>
    <row r="709" ht="15.75" customHeight="1">
      <c r="A709" s="7" t="s">
        <v>2089</v>
      </c>
      <c r="B709" s="9" t="s">
        <v>17</v>
      </c>
      <c r="C709" s="9" t="s">
        <v>188</v>
      </c>
      <c r="D709" s="9">
        <v>1.0</v>
      </c>
      <c r="F709" s="9">
        <v>0.0</v>
      </c>
      <c r="G709" s="9">
        <v>0.0</v>
      </c>
      <c r="H709" s="9">
        <v>0.0</v>
      </c>
    </row>
    <row r="710" ht="15.75" customHeight="1">
      <c r="A710" s="7" t="s">
        <v>2092</v>
      </c>
      <c r="B710" s="9" t="s">
        <v>17</v>
      </c>
      <c r="C710" s="9" t="s">
        <v>1797</v>
      </c>
      <c r="D710" s="9">
        <v>1.0</v>
      </c>
      <c r="E710" s="9">
        <v>-7.0</v>
      </c>
      <c r="F710" s="9">
        <v>0.0</v>
      </c>
      <c r="G710" s="9">
        <v>0.0</v>
      </c>
      <c r="H710" s="9">
        <v>1.0</v>
      </c>
      <c r="I710" s="9">
        <v>0.5</v>
      </c>
    </row>
    <row r="711" ht="15.75" customHeight="1">
      <c r="A711" s="7" t="s">
        <v>2094</v>
      </c>
      <c r="B711" s="9" t="s">
        <v>17</v>
      </c>
      <c r="C711" s="9" t="s">
        <v>2097</v>
      </c>
      <c r="D711" s="9">
        <v>1.0</v>
      </c>
      <c r="E711" s="9">
        <v>-4.0</v>
      </c>
      <c r="F711" s="9">
        <v>0.0</v>
      </c>
      <c r="G711" s="9">
        <v>0.0</v>
      </c>
      <c r="H711" s="9">
        <v>0.0</v>
      </c>
      <c r="I711" s="9">
        <v>0.0</v>
      </c>
    </row>
    <row r="712" ht="15.75" customHeight="1">
      <c r="A712" s="7" t="s">
        <v>2099</v>
      </c>
      <c r="B712" s="9" t="s">
        <v>17</v>
      </c>
      <c r="D712" s="9">
        <v>1.0</v>
      </c>
      <c r="E712" s="9">
        <v>-2.0</v>
      </c>
      <c r="F712" s="9">
        <v>0.0</v>
      </c>
      <c r="G712" s="9">
        <v>0.0</v>
      </c>
      <c r="H712" s="9">
        <v>0.0</v>
      </c>
      <c r="I712" s="9">
        <v>-0.33</v>
      </c>
    </row>
    <row r="713" ht="15.75" customHeight="1">
      <c r="A713" s="7" t="s">
        <v>2101</v>
      </c>
      <c r="B713" s="9" t="s">
        <v>17</v>
      </c>
      <c r="D713" s="9">
        <v>1.0</v>
      </c>
      <c r="F713" s="9">
        <v>0.0</v>
      </c>
      <c r="G713" s="9">
        <v>0.0</v>
      </c>
      <c r="H713" s="9">
        <v>1.0</v>
      </c>
    </row>
    <row r="714" ht="15.75" customHeight="1">
      <c r="A714" s="7" t="s">
        <v>2103</v>
      </c>
      <c r="B714" s="9" t="s">
        <v>17</v>
      </c>
      <c r="D714" s="9">
        <v>1.0</v>
      </c>
      <c r="F714" s="9">
        <v>0.0</v>
      </c>
      <c r="G714" s="9">
        <v>0.0</v>
      </c>
      <c r="H714" s="9">
        <v>0.0</v>
      </c>
    </row>
    <row r="715" ht="15.75" customHeight="1">
      <c r="A715" s="7" t="s">
        <v>2104</v>
      </c>
      <c r="B715" s="9" t="s">
        <v>17</v>
      </c>
      <c r="C715" s="9" t="s">
        <v>2106</v>
      </c>
      <c r="D715" s="9">
        <v>1.0</v>
      </c>
      <c r="E715" s="9">
        <v>-4.0</v>
      </c>
      <c r="F715" s="9">
        <v>0.0</v>
      </c>
      <c r="G715" s="9">
        <v>0.0</v>
      </c>
      <c r="H715" s="9">
        <v>0.0</v>
      </c>
      <c r="I715" s="9">
        <v>-0.2</v>
      </c>
    </row>
    <row r="716" ht="15.75" customHeight="1">
      <c r="A716" s="7" t="s">
        <v>2108</v>
      </c>
      <c r="B716" s="9" t="s">
        <v>17</v>
      </c>
      <c r="C716" s="9" t="s">
        <v>2109</v>
      </c>
      <c r="D716" s="9">
        <v>1.0</v>
      </c>
      <c r="F716" s="9">
        <v>0.0</v>
      </c>
      <c r="G716" s="9">
        <v>0.0</v>
      </c>
      <c r="H716" s="9">
        <v>0.0</v>
      </c>
    </row>
    <row r="717" ht="15.75" customHeight="1">
      <c r="A717" s="7" t="s">
        <v>2110</v>
      </c>
      <c r="B717" s="9" t="s">
        <v>17</v>
      </c>
      <c r="C717" s="9" t="s">
        <v>720</v>
      </c>
      <c r="D717" s="9">
        <v>1.0</v>
      </c>
      <c r="E717" s="9">
        <v>0.0</v>
      </c>
      <c r="F717" s="9">
        <v>0.0</v>
      </c>
      <c r="G717" s="9">
        <v>0.0</v>
      </c>
      <c r="H717" s="9">
        <v>2.0</v>
      </c>
      <c r="I717" s="9">
        <v>0.0</v>
      </c>
    </row>
    <row r="718" ht="15.75" customHeight="1">
      <c r="A718" s="7" t="s">
        <v>2113</v>
      </c>
      <c r="B718" s="9" t="s">
        <v>17</v>
      </c>
      <c r="C718" s="9" t="s">
        <v>1328</v>
      </c>
      <c r="D718" s="9">
        <v>1.0</v>
      </c>
      <c r="F718" s="9">
        <v>0.0</v>
      </c>
      <c r="G718" s="9">
        <v>0.0</v>
      </c>
      <c r="H718" s="9">
        <v>1.0</v>
      </c>
    </row>
    <row r="719" ht="15.75" customHeight="1">
      <c r="A719" s="7" t="s">
        <v>2116</v>
      </c>
      <c r="B719" s="9" t="s">
        <v>17</v>
      </c>
      <c r="D719" s="9">
        <v>1.0</v>
      </c>
      <c r="E719" s="9">
        <v>-3.0</v>
      </c>
      <c r="F719" s="9">
        <v>0.0</v>
      </c>
      <c r="G719" s="9">
        <v>0.0</v>
      </c>
      <c r="H719" s="9">
        <v>1.0</v>
      </c>
      <c r="I719" s="9">
        <v>0.0</v>
      </c>
    </row>
    <row r="720" ht="15.75" customHeight="1">
      <c r="A720" s="7" t="s">
        <v>2120</v>
      </c>
      <c r="B720" s="9" t="s">
        <v>17</v>
      </c>
      <c r="C720" s="9" t="s">
        <v>188</v>
      </c>
      <c r="D720" s="9">
        <v>1.0</v>
      </c>
      <c r="F720" s="9">
        <v>0.0</v>
      </c>
      <c r="G720" s="9">
        <v>0.0</v>
      </c>
      <c r="H720" s="9">
        <v>1.0</v>
      </c>
    </row>
    <row r="721" ht="15.75" customHeight="1">
      <c r="A721" s="7" t="s">
        <v>2121</v>
      </c>
      <c r="B721" s="9" t="s">
        <v>17</v>
      </c>
      <c r="C721" s="9" t="s">
        <v>2124</v>
      </c>
      <c r="D721" s="9">
        <v>1.0</v>
      </c>
      <c r="E721" s="9">
        <v>-9.0</v>
      </c>
      <c r="F721" s="9">
        <v>0.0</v>
      </c>
      <c r="G721" s="9">
        <v>0.0</v>
      </c>
      <c r="H721" s="9">
        <v>0.0</v>
      </c>
      <c r="I721" s="9">
        <v>-0.6</v>
      </c>
    </row>
    <row r="722" ht="15.75" customHeight="1">
      <c r="A722" s="7" t="s">
        <v>2125</v>
      </c>
      <c r="B722" s="9" t="s">
        <v>17</v>
      </c>
      <c r="D722" s="9">
        <v>1.0</v>
      </c>
      <c r="F722" s="9">
        <v>0.0</v>
      </c>
      <c r="G722" s="9">
        <v>0.0</v>
      </c>
      <c r="H722" s="9">
        <v>1.0</v>
      </c>
    </row>
    <row r="723" ht="15.75" customHeight="1">
      <c r="A723" s="7" t="s">
        <v>2129</v>
      </c>
      <c r="B723" s="9" t="s">
        <v>17</v>
      </c>
      <c r="D723" s="9">
        <v>1.0</v>
      </c>
      <c r="E723" s="9">
        <v>-1.0</v>
      </c>
      <c r="F723" s="9">
        <v>0.0</v>
      </c>
      <c r="G723" s="9">
        <v>0.0</v>
      </c>
      <c r="H723" s="9">
        <v>2.0</v>
      </c>
      <c r="I723" s="9">
        <v>2.0</v>
      </c>
    </row>
    <row r="724" ht="15.75" customHeight="1">
      <c r="A724" s="7" t="s">
        <v>2130</v>
      </c>
      <c r="B724" s="9" t="s">
        <v>17</v>
      </c>
      <c r="C724" s="9" t="s">
        <v>2131</v>
      </c>
      <c r="D724" s="9">
        <v>1.0</v>
      </c>
      <c r="E724" s="9">
        <v>-2.0</v>
      </c>
      <c r="F724" s="9">
        <v>0.0</v>
      </c>
      <c r="G724" s="9">
        <v>0.0</v>
      </c>
      <c r="H724" s="9">
        <v>2.0</v>
      </c>
      <c r="I724" s="9">
        <v>0.0</v>
      </c>
    </row>
    <row r="725" ht="15.75" customHeight="1">
      <c r="A725" s="7" t="s">
        <v>2134</v>
      </c>
      <c r="B725" s="9" t="s">
        <v>17</v>
      </c>
      <c r="C725" s="9" t="s">
        <v>720</v>
      </c>
      <c r="D725" s="9">
        <v>1.0</v>
      </c>
      <c r="E725" s="9">
        <v>0.0</v>
      </c>
      <c r="F725" s="9">
        <v>0.0</v>
      </c>
      <c r="G725" s="9">
        <v>0.0</v>
      </c>
      <c r="H725" s="9">
        <v>0.0</v>
      </c>
      <c r="I725" s="9">
        <v>0.0</v>
      </c>
    </row>
    <row r="726" ht="15.75" customHeight="1">
      <c r="A726" s="7" t="s">
        <v>2139</v>
      </c>
      <c r="B726" s="9" t="s">
        <v>44</v>
      </c>
      <c r="C726" s="9" t="s">
        <v>1248</v>
      </c>
      <c r="D726" s="9">
        <v>1.0</v>
      </c>
      <c r="F726" s="9">
        <v>0.0</v>
      </c>
      <c r="G726" s="9">
        <v>0.0</v>
      </c>
      <c r="H726" s="9">
        <v>0.0</v>
      </c>
    </row>
    <row r="727" ht="15.75" customHeight="1">
      <c r="A727" s="7" t="s">
        <v>2140</v>
      </c>
      <c r="B727" s="9" t="s">
        <v>17</v>
      </c>
      <c r="D727" s="9">
        <v>1.0</v>
      </c>
      <c r="F727" s="9">
        <v>0.0</v>
      </c>
      <c r="G727" s="9">
        <v>0.0</v>
      </c>
      <c r="H727" s="9">
        <v>1.0</v>
      </c>
    </row>
    <row r="728" ht="15.75" customHeight="1">
      <c r="A728" s="7" t="s">
        <v>2144</v>
      </c>
      <c r="B728" s="9" t="s">
        <v>17</v>
      </c>
      <c r="C728" s="9" t="s">
        <v>1328</v>
      </c>
      <c r="D728" s="9">
        <v>1.0</v>
      </c>
      <c r="F728" s="9">
        <v>0.0</v>
      </c>
      <c r="G728" s="9">
        <v>0.0</v>
      </c>
      <c r="H728" s="9">
        <v>0.0</v>
      </c>
    </row>
    <row r="729" ht="15.75" customHeight="1">
      <c r="A729" s="7" t="s">
        <v>2145</v>
      </c>
      <c r="B729" s="9" t="s">
        <v>17</v>
      </c>
      <c r="C729" s="9" t="s">
        <v>188</v>
      </c>
      <c r="D729" s="9">
        <v>1.0</v>
      </c>
      <c r="F729" s="9">
        <v>0.0</v>
      </c>
      <c r="G729" s="9">
        <v>0.0</v>
      </c>
      <c r="H729" s="9">
        <v>0.0</v>
      </c>
    </row>
    <row r="730" ht="15.75" customHeight="1">
      <c r="A730" s="7" t="s">
        <v>2148</v>
      </c>
      <c r="B730" s="9" t="s">
        <v>17</v>
      </c>
      <c r="C730" s="9" t="s">
        <v>1571</v>
      </c>
      <c r="D730" s="9">
        <v>1.0</v>
      </c>
      <c r="F730" s="9">
        <v>0.0</v>
      </c>
      <c r="G730" s="9">
        <v>0.0</v>
      </c>
      <c r="H730" s="9">
        <v>0.0</v>
      </c>
    </row>
    <row r="731" ht="15.75" customHeight="1">
      <c r="A731" s="9" t="s">
        <v>2149</v>
      </c>
      <c r="B731" s="9" t="s">
        <v>17</v>
      </c>
      <c r="C731" s="9" t="s">
        <v>2151</v>
      </c>
      <c r="D731" s="9">
        <v>1.0</v>
      </c>
      <c r="E731" s="9">
        <v>-5.0</v>
      </c>
      <c r="F731" s="9">
        <v>0.0</v>
      </c>
      <c r="G731" s="9">
        <v>0.0</v>
      </c>
      <c r="H731" s="9">
        <v>0.0</v>
      </c>
      <c r="I731" s="9">
        <v>-0.33</v>
      </c>
    </row>
    <row r="732" ht="15.75" customHeight="1">
      <c r="A732" s="7" t="s">
        <v>2153</v>
      </c>
      <c r="B732" s="9" t="s">
        <v>17</v>
      </c>
      <c r="C732" s="9" t="s">
        <v>799</v>
      </c>
      <c r="D732" s="9">
        <v>1.0</v>
      </c>
      <c r="F732" s="9">
        <v>0.0</v>
      </c>
      <c r="G732" s="9">
        <v>0.0</v>
      </c>
      <c r="H732" s="9">
        <v>0.0</v>
      </c>
    </row>
    <row r="733" ht="15.75" customHeight="1">
      <c r="A733" s="7" t="s">
        <v>2157</v>
      </c>
      <c r="B733" s="9" t="s">
        <v>17</v>
      </c>
      <c r="C733" s="9" t="s">
        <v>2158</v>
      </c>
      <c r="D733" s="9">
        <v>1.0</v>
      </c>
      <c r="E733" s="9">
        <v>-4.0</v>
      </c>
      <c r="F733" s="9">
        <v>0.0</v>
      </c>
      <c r="G733" s="9">
        <v>0.0</v>
      </c>
      <c r="H733" s="9">
        <v>0.0</v>
      </c>
      <c r="I733" s="9">
        <v>-1.0</v>
      </c>
    </row>
    <row r="734" ht="15.75" customHeight="1">
      <c r="A734" s="7" t="s">
        <v>2159</v>
      </c>
      <c r="B734" s="9" t="s">
        <v>17</v>
      </c>
      <c r="D734" s="9">
        <v>1.0</v>
      </c>
      <c r="F734" s="9">
        <v>0.0</v>
      </c>
      <c r="G734" s="9">
        <v>0.0</v>
      </c>
      <c r="H734" s="9">
        <v>2.0</v>
      </c>
    </row>
    <row r="735" ht="15.75" customHeight="1">
      <c r="A735" s="7" t="s">
        <v>2162</v>
      </c>
      <c r="B735" s="9" t="s">
        <v>17</v>
      </c>
      <c r="D735" s="9">
        <v>1.0</v>
      </c>
      <c r="E735" s="9">
        <v>-2.0</v>
      </c>
      <c r="F735" s="9">
        <v>0.0</v>
      </c>
      <c r="G735" s="9">
        <v>0.0</v>
      </c>
      <c r="H735" s="9">
        <v>0.0</v>
      </c>
      <c r="I735" s="9">
        <v>-0.67</v>
      </c>
    </row>
    <row r="736" ht="15.75" customHeight="1">
      <c r="A736" s="7" t="s">
        <v>2163</v>
      </c>
      <c r="B736" s="9" t="s">
        <v>17</v>
      </c>
      <c r="D736" s="9">
        <v>1.0</v>
      </c>
      <c r="F736" s="9">
        <v>0.0</v>
      </c>
      <c r="G736" s="9">
        <v>0.0</v>
      </c>
      <c r="H736" s="9">
        <v>0.0</v>
      </c>
    </row>
    <row r="737" ht="15.75" customHeight="1">
      <c r="A737" s="7" t="s">
        <v>2166</v>
      </c>
      <c r="B737" s="9" t="s">
        <v>17</v>
      </c>
      <c r="D737" s="9">
        <v>1.0</v>
      </c>
      <c r="F737" s="9">
        <v>0.0</v>
      </c>
      <c r="G737" s="9">
        <v>0.0</v>
      </c>
      <c r="H737" s="9">
        <v>1.0</v>
      </c>
    </row>
    <row r="738" ht="15.75" customHeight="1">
      <c r="A738" s="7" t="s">
        <v>2167</v>
      </c>
      <c r="B738" s="9" t="s">
        <v>94</v>
      </c>
      <c r="C738" s="9" t="s">
        <v>2170</v>
      </c>
      <c r="D738" s="9">
        <v>1.0</v>
      </c>
      <c r="E738" s="9">
        <v>-3.0</v>
      </c>
      <c r="F738" s="9">
        <v>0.0</v>
      </c>
      <c r="G738" s="9">
        <v>0.0</v>
      </c>
      <c r="H738" s="9">
        <v>2.0</v>
      </c>
      <c r="I738" s="9">
        <v>0.25</v>
      </c>
    </row>
    <row r="739" ht="15.75" customHeight="1">
      <c r="A739" s="7" t="s">
        <v>2171</v>
      </c>
      <c r="B739" s="9" t="s">
        <v>17</v>
      </c>
      <c r="C739" s="9" t="s">
        <v>2173</v>
      </c>
      <c r="D739" s="9">
        <v>1.0</v>
      </c>
      <c r="E739" s="9">
        <v>0.0</v>
      </c>
      <c r="F739" s="9">
        <v>0.0</v>
      </c>
      <c r="G739" s="9">
        <v>0.0</v>
      </c>
      <c r="H739" s="9">
        <v>1.0</v>
      </c>
      <c r="I739" s="9">
        <v>0.0</v>
      </c>
    </row>
    <row r="740" ht="15.75" customHeight="1">
      <c r="A740" s="7" t="s">
        <v>2175</v>
      </c>
      <c r="B740" s="9" t="s">
        <v>17</v>
      </c>
      <c r="D740" s="9">
        <v>1.0</v>
      </c>
      <c r="E740" s="9">
        <v>-1.0</v>
      </c>
      <c r="F740" s="9">
        <v>0.0</v>
      </c>
      <c r="G740" s="9">
        <v>0.0</v>
      </c>
      <c r="H740" s="9">
        <v>0.0</v>
      </c>
      <c r="I740" s="9">
        <v>0.0</v>
      </c>
    </row>
    <row r="741" ht="15.75" customHeight="1">
      <c r="A741" s="7" t="s">
        <v>2177</v>
      </c>
      <c r="B741" s="9" t="s">
        <v>17</v>
      </c>
      <c r="C741" s="9" t="s">
        <v>2178</v>
      </c>
      <c r="D741" s="9">
        <v>1.0</v>
      </c>
      <c r="F741" s="9">
        <v>0.0</v>
      </c>
      <c r="G741" s="9">
        <v>0.0</v>
      </c>
      <c r="H741" s="9">
        <v>0.0</v>
      </c>
    </row>
    <row r="742" ht="15.75" customHeight="1">
      <c r="A742" s="7" t="s">
        <v>2179</v>
      </c>
      <c r="B742" s="9" t="s">
        <v>94</v>
      </c>
      <c r="D742" s="9">
        <v>1.0</v>
      </c>
      <c r="F742" s="9">
        <v>0.0</v>
      </c>
      <c r="G742" s="9">
        <v>0.0</v>
      </c>
      <c r="H742" s="9">
        <v>1.0</v>
      </c>
    </row>
    <row r="743" ht="15.75" customHeight="1">
      <c r="A743" s="7" t="s">
        <v>2183</v>
      </c>
      <c r="B743" s="9" t="s">
        <v>17</v>
      </c>
      <c r="C743" s="9" t="s">
        <v>2187</v>
      </c>
      <c r="D743" s="9">
        <v>1.0</v>
      </c>
      <c r="F743" s="9">
        <v>0.0</v>
      </c>
      <c r="G743" s="9">
        <v>0.0</v>
      </c>
      <c r="H743" s="9">
        <v>0.0</v>
      </c>
    </row>
    <row r="744" ht="15.75" customHeight="1">
      <c r="A744" s="7" t="s">
        <v>2189</v>
      </c>
      <c r="B744" s="9" t="s">
        <v>17</v>
      </c>
      <c r="C744" s="9" t="s">
        <v>2190</v>
      </c>
      <c r="D744" s="9">
        <v>1.0</v>
      </c>
      <c r="F744" s="9">
        <v>0.0</v>
      </c>
      <c r="G744" s="9">
        <v>0.0</v>
      </c>
      <c r="H744" s="9">
        <v>1.0</v>
      </c>
    </row>
    <row r="745" ht="15.75" customHeight="1">
      <c r="A745" s="7" t="s">
        <v>2191</v>
      </c>
      <c r="B745" s="9" t="s">
        <v>17</v>
      </c>
      <c r="C745" s="9" t="s">
        <v>1328</v>
      </c>
      <c r="D745" s="9">
        <v>1.0</v>
      </c>
      <c r="E745" s="9">
        <v>0.0</v>
      </c>
      <c r="F745" s="9">
        <v>0.0</v>
      </c>
      <c r="G745" s="9">
        <v>0.0</v>
      </c>
      <c r="H745" s="9">
        <v>0.0</v>
      </c>
      <c r="I745" s="9">
        <v>0.0</v>
      </c>
    </row>
    <row r="746" ht="15.75" customHeight="1">
      <c r="A746" s="7" t="s">
        <v>2194</v>
      </c>
      <c r="B746" s="9" t="s">
        <v>17</v>
      </c>
      <c r="C746" s="9" t="s">
        <v>1328</v>
      </c>
      <c r="D746" s="9">
        <v>1.0</v>
      </c>
      <c r="E746" s="9">
        <v>0.0</v>
      </c>
      <c r="F746" s="9">
        <v>0.0</v>
      </c>
      <c r="G746" s="9">
        <v>0.0</v>
      </c>
      <c r="H746" s="9">
        <v>1.0</v>
      </c>
      <c r="I746" s="9">
        <v>0.0</v>
      </c>
    </row>
    <row r="747" ht="15.75" customHeight="1">
      <c r="A747" s="7" t="s">
        <v>2195</v>
      </c>
      <c r="B747" s="9" t="s">
        <v>17</v>
      </c>
      <c r="C747" s="9" t="s">
        <v>2197</v>
      </c>
      <c r="D747" s="9">
        <v>1.0</v>
      </c>
      <c r="E747" s="9">
        <v>-1.0</v>
      </c>
      <c r="F747" s="9">
        <v>0.0</v>
      </c>
      <c r="G747" s="9">
        <v>0.0</v>
      </c>
      <c r="H747" s="9">
        <v>2.0</v>
      </c>
      <c r="I747" s="9">
        <v>0.0</v>
      </c>
    </row>
    <row r="748" ht="15.75" customHeight="1">
      <c r="A748" s="7" t="s">
        <v>2198</v>
      </c>
      <c r="B748" s="9" t="s">
        <v>17</v>
      </c>
      <c r="C748" s="9" t="s">
        <v>340</v>
      </c>
      <c r="D748" s="9">
        <v>1.0</v>
      </c>
      <c r="E748" s="9">
        <v>-1.0</v>
      </c>
      <c r="F748" s="9">
        <v>0.0</v>
      </c>
      <c r="G748" s="9">
        <v>0.0</v>
      </c>
      <c r="H748" s="9">
        <v>0.0</v>
      </c>
      <c r="I748" s="9">
        <v>-1.0</v>
      </c>
    </row>
    <row r="749" ht="15.75" customHeight="1">
      <c r="A749" s="7" t="s">
        <v>2202</v>
      </c>
      <c r="B749" s="9" t="s">
        <v>17</v>
      </c>
      <c r="C749" s="9" t="s">
        <v>2203</v>
      </c>
      <c r="D749" s="9">
        <v>1.0</v>
      </c>
      <c r="E749" s="9">
        <v>-6.0</v>
      </c>
      <c r="F749" s="9">
        <v>0.0</v>
      </c>
      <c r="G749" s="9">
        <v>0.0</v>
      </c>
      <c r="H749" s="9">
        <v>1.0</v>
      </c>
      <c r="I749" s="9">
        <v>-2.43</v>
      </c>
    </row>
    <row r="750" ht="15.75" customHeight="1">
      <c r="A750" s="7" t="s">
        <v>2204</v>
      </c>
      <c r="B750" s="9" t="s">
        <v>17</v>
      </c>
      <c r="C750" s="9" t="s">
        <v>1328</v>
      </c>
      <c r="D750" s="9">
        <v>1.0</v>
      </c>
      <c r="F750" s="9">
        <v>0.0</v>
      </c>
      <c r="G750" s="9">
        <v>0.0</v>
      </c>
      <c r="H750" s="9">
        <v>1.0</v>
      </c>
    </row>
    <row r="751" ht="15.75" customHeight="1">
      <c r="A751" s="7" t="s">
        <v>2207</v>
      </c>
      <c r="B751" s="9" t="s">
        <v>39</v>
      </c>
      <c r="D751" s="9">
        <v>1.0</v>
      </c>
      <c r="F751" s="9">
        <v>0.0</v>
      </c>
      <c r="G751" s="9">
        <v>0.0</v>
      </c>
      <c r="H751" s="9">
        <v>0.0</v>
      </c>
    </row>
    <row r="752" ht="15.75" customHeight="1">
      <c r="A752" s="7" t="s">
        <v>2209</v>
      </c>
      <c r="B752" s="9" t="s">
        <v>17</v>
      </c>
      <c r="C752" s="9" t="s">
        <v>2211</v>
      </c>
      <c r="D752" s="9">
        <v>1.0</v>
      </c>
      <c r="E752" s="9">
        <v>0.0</v>
      </c>
      <c r="F752" s="9">
        <v>0.0</v>
      </c>
      <c r="G752" s="9">
        <v>0.0</v>
      </c>
      <c r="H752" s="9">
        <v>1.0</v>
      </c>
      <c r="I752" s="9">
        <v>-1.0</v>
      </c>
    </row>
    <row r="753" ht="15.75" customHeight="1">
      <c r="A753" s="7" t="s">
        <v>2215</v>
      </c>
      <c r="B753" s="9" t="s">
        <v>17</v>
      </c>
      <c r="D753" s="9">
        <v>1.0</v>
      </c>
      <c r="F753" s="9">
        <v>0.0</v>
      </c>
      <c r="G753" s="9">
        <v>0.0</v>
      </c>
      <c r="H753" s="9">
        <v>0.0</v>
      </c>
    </row>
    <row r="754" ht="15.75" customHeight="1">
      <c r="A754" s="7" t="s">
        <v>2219</v>
      </c>
      <c r="B754" s="9" t="s">
        <v>17</v>
      </c>
      <c r="C754" s="9" t="s">
        <v>2220</v>
      </c>
      <c r="D754" s="9">
        <v>1.0</v>
      </c>
      <c r="F754" s="9">
        <v>0.0</v>
      </c>
      <c r="G754" s="9">
        <v>0.0</v>
      </c>
      <c r="H754" s="9">
        <v>0.0</v>
      </c>
    </row>
    <row r="755" ht="15.75" customHeight="1">
      <c r="A755" s="7" t="s">
        <v>2222</v>
      </c>
      <c r="B755" s="9" t="s">
        <v>94</v>
      </c>
      <c r="C755" s="9" t="s">
        <v>2224</v>
      </c>
      <c r="D755" s="9">
        <v>1.0</v>
      </c>
      <c r="F755" s="9">
        <v>0.0</v>
      </c>
      <c r="G755" s="9">
        <v>0.0</v>
      </c>
      <c r="H755" s="9">
        <v>0.0</v>
      </c>
    </row>
    <row r="756" ht="15.75" customHeight="1">
      <c r="A756" s="7" t="s">
        <v>2225</v>
      </c>
      <c r="B756" s="9" t="s">
        <v>17</v>
      </c>
      <c r="C756" s="9" t="s">
        <v>2229</v>
      </c>
      <c r="D756" s="9">
        <v>1.0</v>
      </c>
      <c r="F756" s="9">
        <v>0.0</v>
      </c>
      <c r="G756" s="9">
        <v>0.0</v>
      </c>
      <c r="H756" s="9">
        <v>0.0</v>
      </c>
    </row>
    <row r="757" ht="15.75" customHeight="1">
      <c r="A757" s="7" t="s">
        <v>2230</v>
      </c>
      <c r="B757" s="9" t="s">
        <v>17</v>
      </c>
      <c r="C757" s="9" t="s">
        <v>2231</v>
      </c>
      <c r="D757" s="9">
        <v>1.0</v>
      </c>
      <c r="F757" s="9">
        <v>0.0</v>
      </c>
      <c r="G757" s="9">
        <v>0.0</v>
      </c>
      <c r="H757" s="9">
        <v>1.0</v>
      </c>
    </row>
    <row r="758" ht="15.75" customHeight="1">
      <c r="A758" s="7" t="s">
        <v>2232</v>
      </c>
      <c r="B758" s="9" t="s">
        <v>360</v>
      </c>
      <c r="D758" s="9">
        <v>1.0</v>
      </c>
      <c r="F758" s="9">
        <v>0.0</v>
      </c>
      <c r="G758" s="9">
        <v>0.0</v>
      </c>
      <c r="H758" s="9">
        <v>1.0</v>
      </c>
    </row>
    <row r="759" ht="15.75" customHeight="1">
      <c r="A759" s="7" t="s">
        <v>2237</v>
      </c>
      <c r="B759" s="9" t="s">
        <v>17</v>
      </c>
      <c r="D759" s="9">
        <v>1.0</v>
      </c>
      <c r="E759" s="9">
        <v>0.0</v>
      </c>
      <c r="F759" s="9">
        <v>0.0</v>
      </c>
      <c r="G759" s="9">
        <v>0.0</v>
      </c>
      <c r="H759" s="9">
        <v>0.0</v>
      </c>
      <c r="I759" s="9">
        <v>0.0</v>
      </c>
    </row>
    <row r="760" ht="15.75" customHeight="1">
      <c r="A760" s="7" t="s">
        <v>2240</v>
      </c>
      <c r="B760" s="9" t="s">
        <v>17</v>
      </c>
      <c r="C760" s="9" t="s">
        <v>720</v>
      </c>
      <c r="D760" s="9">
        <v>1.0</v>
      </c>
      <c r="F760" s="9">
        <v>0.0</v>
      </c>
      <c r="G760" s="9">
        <v>0.0</v>
      </c>
      <c r="H760" s="9">
        <v>0.0</v>
      </c>
    </row>
    <row r="761" ht="15.75" customHeight="1">
      <c r="A761" s="7" t="s">
        <v>2245</v>
      </c>
      <c r="B761" s="9" t="s">
        <v>17</v>
      </c>
      <c r="D761" s="9">
        <v>1.0</v>
      </c>
      <c r="E761" s="9">
        <v>-1.0</v>
      </c>
      <c r="F761" s="9">
        <v>0.0</v>
      </c>
      <c r="G761" s="9">
        <v>0.0</v>
      </c>
      <c r="H761" s="9">
        <v>2.0</v>
      </c>
      <c r="I761" s="9">
        <v>0.5</v>
      </c>
    </row>
    <row r="762" ht="15.75" customHeight="1">
      <c r="A762" s="7" t="s">
        <v>2248</v>
      </c>
      <c r="B762" s="9" t="s">
        <v>17</v>
      </c>
      <c r="C762" s="9" t="s">
        <v>720</v>
      </c>
      <c r="D762" s="9">
        <v>1.0</v>
      </c>
      <c r="F762" s="9">
        <v>0.0</v>
      </c>
      <c r="G762" s="9">
        <v>0.0</v>
      </c>
      <c r="H762" s="9">
        <v>0.0</v>
      </c>
    </row>
    <row r="763" ht="15.75" customHeight="1">
      <c r="A763" s="7" t="s">
        <v>2251</v>
      </c>
      <c r="B763" s="9" t="s">
        <v>17</v>
      </c>
      <c r="C763" s="9" t="s">
        <v>720</v>
      </c>
      <c r="D763" s="9">
        <v>1.0</v>
      </c>
      <c r="F763" s="9">
        <v>0.0</v>
      </c>
      <c r="G763" s="9">
        <v>0.0</v>
      </c>
      <c r="H763" s="9">
        <v>0.0</v>
      </c>
    </row>
    <row r="764" ht="15.75" customHeight="1">
      <c r="A764" s="7" t="s">
        <v>2254</v>
      </c>
      <c r="B764" s="9" t="s">
        <v>17</v>
      </c>
      <c r="C764" s="9" t="s">
        <v>2255</v>
      </c>
      <c r="D764" s="9">
        <v>1.0</v>
      </c>
      <c r="F764" s="9">
        <v>0.0</v>
      </c>
      <c r="G764" s="9">
        <v>0.0</v>
      </c>
      <c r="H764" s="9">
        <v>1.0</v>
      </c>
    </row>
    <row r="765" ht="15.75" customHeight="1">
      <c r="A765" s="9" t="s">
        <v>2256</v>
      </c>
      <c r="B765" s="9" t="s">
        <v>17</v>
      </c>
      <c r="C765" s="9" t="s">
        <v>188</v>
      </c>
      <c r="D765" s="9">
        <v>1.0</v>
      </c>
      <c r="E765" s="9">
        <v>0.0</v>
      </c>
      <c r="F765" s="9">
        <v>0.0</v>
      </c>
      <c r="G765" s="9">
        <v>0.0</v>
      </c>
      <c r="H765" s="9">
        <v>2.0</v>
      </c>
      <c r="I765" s="9">
        <v>0.0</v>
      </c>
    </row>
    <row r="766" ht="15.75" customHeight="1">
      <c r="A766" s="7" t="s">
        <v>2258</v>
      </c>
      <c r="B766" s="9" t="s">
        <v>17</v>
      </c>
      <c r="D766" s="9">
        <v>1.0</v>
      </c>
      <c r="E766" s="9">
        <v>-2.0</v>
      </c>
      <c r="F766" s="9">
        <v>0.0</v>
      </c>
      <c r="G766" s="9">
        <v>0.0</v>
      </c>
      <c r="H766" s="9">
        <v>0.0</v>
      </c>
      <c r="I766" s="9">
        <v>-1.33</v>
      </c>
    </row>
    <row r="767" ht="15.75" customHeight="1">
      <c r="A767" s="7" t="s">
        <v>2261</v>
      </c>
      <c r="B767" s="9" t="s">
        <v>17</v>
      </c>
      <c r="C767" s="9" t="s">
        <v>188</v>
      </c>
      <c r="D767" s="9">
        <v>1.0</v>
      </c>
      <c r="F767" s="9">
        <v>0.0</v>
      </c>
      <c r="G767" s="9">
        <v>0.0</v>
      </c>
      <c r="H767" s="9">
        <v>1.0</v>
      </c>
    </row>
    <row r="768" ht="15.75" customHeight="1">
      <c r="A768" s="7" t="s">
        <v>2263</v>
      </c>
      <c r="B768" s="9" t="s">
        <v>17</v>
      </c>
      <c r="D768" s="9">
        <v>1.0</v>
      </c>
      <c r="F768" s="9">
        <v>0.0</v>
      </c>
      <c r="G768" s="9">
        <v>0.0</v>
      </c>
      <c r="H768" s="9">
        <v>1.0</v>
      </c>
    </row>
    <row r="769" ht="15.75" customHeight="1">
      <c r="A769" s="7" t="s">
        <v>2267</v>
      </c>
      <c r="B769" s="9" t="s">
        <v>17</v>
      </c>
      <c r="C769" s="9" t="s">
        <v>188</v>
      </c>
      <c r="D769" s="9">
        <v>1.0</v>
      </c>
      <c r="F769" s="9">
        <v>0.0</v>
      </c>
      <c r="G769" s="9">
        <v>0.0</v>
      </c>
      <c r="H769" s="9">
        <v>0.0</v>
      </c>
    </row>
    <row r="770" ht="15.75" customHeight="1">
      <c r="A770" s="7" t="s">
        <v>2269</v>
      </c>
      <c r="B770" s="9" t="s">
        <v>44</v>
      </c>
      <c r="C770" s="9" t="s">
        <v>2271</v>
      </c>
      <c r="D770" s="9">
        <v>1.0</v>
      </c>
      <c r="F770" s="9">
        <v>0.0</v>
      </c>
      <c r="G770" s="9">
        <v>0.0</v>
      </c>
      <c r="H770" s="9">
        <v>1.0</v>
      </c>
    </row>
    <row r="771" ht="15.75" customHeight="1">
      <c r="A771" s="7" t="s">
        <v>2273</v>
      </c>
      <c r="B771" s="9" t="s">
        <v>17</v>
      </c>
      <c r="C771" s="9" t="s">
        <v>1339</v>
      </c>
      <c r="D771" s="9">
        <v>1.0</v>
      </c>
      <c r="F771" s="9">
        <v>0.0</v>
      </c>
      <c r="G771" s="9">
        <v>0.0</v>
      </c>
      <c r="H771" s="9">
        <v>0.0</v>
      </c>
    </row>
    <row r="772" ht="15.75" customHeight="1">
      <c r="A772" s="7" t="s">
        <v>2275</v>
      </c>
      <c r="B772" s="9" t="s">
        <v>17</v>
      </c>
      <c r="D772" s="9">
        <v>1.0</v>
      </c>
      <c r="E772" s="9">
        <v>-1.0</v>
      </c>
      <c r="F772" s="9">
        <v>0.0</v>
      </c>
      <c r="G772" s="9">
        <v>0.0</v>
      </c>
      <c r="H772" s="9">
        <v>1.0</v>
      </c>
      <c r="I772" s="9">
        <v>0.0</v>
      </c>
    </row>
    <row r="773" ht="15.75" customHeight="1">
      <c r="A773" s="7" t="s">
        <v>2277</v>
      </c>
      <c r="B773" s="9" t="s">
        <v>17</v>
      </c>
      <c r="D773" s="9">
        <v>1.0</v>
      </c>
      <c r="F773" s="9">
        <v>0.0</v>
      </c>
      <c r="G773" s="9">
        <v>0.0</v>
      </c>
      <c r="H773" s="9">
        <v>0.0</v>
      </c>
    </row>
    <row r="774" ht="15.75" customHeight="1">
      <c r="A774" s="7" t="s">
        <v>2280</v>
      </c>
      <c r="B774" s="9" t="s">
        <v>17</v>
      </c>
      <c r="C774" s="9" t="s">
        <v>460</v>
      </c>
      <c r="D774" s="9">
        <v>1.0</v>
      </c>
      <c r="E774" s="9">
        <v>0.0</v>
      </c>
      <c r="F774" s="9">
        <v>0.0</v>
      </c>
      <c r="G774" s="9">
        <v>0.0</v>
      </c>
      <c r="H774" s="9">
        <v>1.0</v>
      </c>
      <c r="I774" s="9">
        <v>1.0</v>
      </c>
    </row>
    <row r="775" ht="15.75" customHeight="1">
      <c r="A775" s="7" t="s">
        <v>2283</v>
      </c>
      <c r="B775" s="9" t="s">
        <v>17</v>
      </c>
      <c r="C775" s="9" t="s">
        <v>354</v>
      </c>
      <c r="D775" s="9">
        <v>1.0</v>
      </c>
      <c r="F775" s="9">
        <v>0.0</v>
      </c>
      <c r="G775" s="9">
        <v>0.0</v>
      </c>
      <c r="H775" s="9">
        <v>1.0</v>
      </c>
    </row>
    <row r="776" ht="15.75" customHeight="1">
      <c r="A776" s="7" t="s">
        <v>2285</v>
      </c>
      <c r="B776" s="9" t="s">
        <v>94</v>
      </c>
      <c r="D776" s="9">
        <v>1.0</v>
      </c>
      <c r="F776" s="9">
        <v>0.0</v>
      </c>
      <c r="G776" s="9">
        <v>0.0</v>
      </c>
      <c r="H776" s="9">
        <v>0.0</v>
      </c>
    </row>
    <row r="777" ht="15.75" customHeight="1">
      <c r="A777" s="7" t="s">
        <v>2289</v>
      </c>
      <c r="B777" s="9" t="s">
        <v>17</v>
      </c>
      <c r="C777" s="9" t="s">
        <v>2290</v>
      </c>
      <c r="D777" s="9">
        <v>1.0</v>
      </c>
      <c r="F777" s="9">
        <v>0.0</v>
      </c>
      <c r="G777" s="9">
        <v>0.0</v>
      </c>
      <c r="H777" s="9">
        <v>0.0</v>
      </c>
    </row>
    <row r="778" ht="15.75" customHeight="1">
      <c r="A778" s="9" t="s">
        <v>2291</v>
      </c>
      <c r="B778" s="9" t="s">
        <v>17</v>
      </c>
      <c r="D778" s="9">
        <v>1.0</v>
      </c>
      <c r="F778" s="9">
        <v>0.0</v>
      </c>
      <c r="G778" s="9">
        <v>0.0</v>
      </c>
      <c r="H778" s="9">
        <v>0.0</v>
      </c>
    </row>
    <row r="779" ht="15.75" customHeight="1">
      <c r="A779" s="7" t="s">
        <v>2292</v>
      </c>
      <c r="B779" s="9" t="s">
        <v>17</v>
      </c>
      <c r="D779" s="9">
        <v>1.0</v>
      </c>
      <c r="F779" s="9">
        <v>0.0</v>
      </c>
      <c r="G779" s="9">
        <v>0.0</v>
      </c>
      <c r="H779" s="9">
        <v>0.0</v>
      </c>
    </row>
    <row r="780" ht="15.75" customHeight="1">
      <c r="A780" s="7" t="s">
        <v>2295</v>
      </c>
      <c r="B780" s="9" t="s">
        <v>17</v>
      </c>
      <c r="D780" s="9">
        <v>1.0</v>
      </c>
      <c r="E780" s="9">
        <v>-1.0</v>
      </c>
      <c r="F780" s="9">
        <v>0.0</v>
      </c>
      <c r="G780" s="9">
        <v>0.0</v>
      </c>
      <c r="H780" s="9">
        <v>2.0</v>
      </c>
      <c r="I780" s="9">
        <v>-0.5</v>
      </c>
    </row>
    <row r="781" ht="15.75" customHeight="1">
      <c r="A781" s="7" t="s">
        <v>2296</v>
      </c>
      <c r="B781" s="9" t="s">
        <v>17</v>
      </c>
      <c r="C781" s="9" t="s">
        <v>720</v>
      </c>
      <c r="D781" s="9">
        <v>1.0</v>
      </c>
      <c r="F781" s="9">
        <v>0.0</v>
      </c>
      <c r="G781" s="9">
        <v>0.0</v>
      </c>
      <c r="H781" s="9">
        <v>1.0</v>
      </c>
    </row>
    <row r="782" ht="15.75" customHeight="1">
      <c r="A782" s="7" t="s">
        <v>2299</v>
      </c>
      <c r="B782" s="9" t="s">
        <v>17</v>
      </c>
      <c r="C782" s="9" t="s">
        <v>1797</v>
      </c>
      <c r="D782" s="9">
        <v>1.0</v>
      </c>
      <c r="E782" s="9">
        <v>0.0</v>
      </c>
      <c r="F782" s="9">
        <v>0.0</v>
      </c>
      <c r="G782" s="9">
        <v>0.0</v>
      </c>
      <c r="H782" s="9">
        <v>2.0</v>
      </c>
      <c r="I782" s="9">
        <v>0.0</v>
      </c>
    </row>
    <row r="783" ht="15.75" customHeight="1">
      <c r="A783" s="7" t="s">
        <v>2302</v>
      </c>
      <c r="B783" s="9" t="s">
        <v>39</v>
      </c>
      <c r="C783" s="9" t="s">
        <v>1749</v>
      </c>
      <c r="D783" s="9">
        <v>1.0</v>
      </c>
      <c r="E783" s="9">
        <v>-4.0</v>
      </c>
      <c r="F783" s="9">
        <v>0.0</v>
      </c>
      <c r="G783" s="9">
        <v>0.0</v>
      </c>
      <c r="H783" s="9">
        <v>0.0</v>
      </c>
      <c r="I783" s="9">
        <v>-0.4</v>
      </c>
    </row>
    <row r="784" ht="15.75" customHeight="1">
      <c r="A784" s="7" t="s">
        <v>2304</v>
      </c>
      <c r="B784" s="9" t="s">
        <v>17</v>
      </c>
      <c r="C784" s="9" t="s">
        <v>1571</v>
      </c>
      <c r="D784" s="9">
        <v>1.0</v>
      </c>
      <c r="F784" s="9">
        <v>0.0</v>
      </c>
      <c r="G784" s="9">
        <v>0.0</v>
      </c>
      <c r="H784" s="9">
        <v>0.0</v>
      </c>
    </row>
    <row r="785" ht="15.75" customHeight="1">
      <c r="A785" s="7" t="s">
        <v>2308</v>
      </c>
      <c r="B785" s="9" t="s">
        <v>94</v>
      </c>
      <c r="D785" s="9">
        <v>1.0</v>
      </c>
      <c r="F785" s="9">
        <v>0.0</v>
      </c>
      <c r="G785" s="9">
        <v>0.0</v>
      </c>
      <c r="H785" s="9">
        <v>1.0</v>
      </c>
    </row>
    <row r="786" ht="15.75" customHeight="1">
      <c r="A786" s="7" t="s">
        <v>2312</v>
      </c>
      <c r="B786" s="9" t="s">
        <v>17</v>
      </c>
      <c r="D786" s="9">
        <v>1.0</v>
      </c>
      <c r="F786" s="9">
        <v>0.0</v>
      </c>
      <c r="G786" s="9">
        <v>0.0</v>
      </c>
      <c r="H786" s="9">
        <v>0.0</v>
      </c>
    </row>
    <row r="787" ht="15.75" customHeight="1">
      <c r="A787" s="7" t="s">
        <v>2316</v>
      </c>
      <c r="B787" s="9" t="s">
        <v>17</v>
      </c>
      <c r="C787" s="9" t="s">
        <v>188</v>
      </c>
      <c r="D787" s="9">
        <v>1.0</v>
      </c>
      <c r="E787" s="9">
        <v>-1.0</v>
      </c>
      <c r="F787" s="9">
        <v>0.0</v>
      </c>
      <c r="G787" s="9">
        <v>0.0</v>
      </c>
      <c r="H787" s="9">
        <v>0.0</v>
      </c>
      <c r="I787" s="9">
        <v>-1.0</v>
      </c>
    </row>
    <row r="788" ht="15.75" customHeight="1">
      <c r="A788" s="7" t="s">
        <v>2320</v>
      </c>
      <c r="B788" s="9" t="s">
        <v>124</v>
      </c>
      <c r="C788" s="9" t="s">
        <v>1126</v>
      </c>
      <c r="D788" s="9">
        <v>1.0</v>
      </c>
      <c r="F788" s="9">
        <v>0.0</v>
      </c>
      <c r="G788" s="9">
        <v>0.0</v>
      </c>
      <c r="H788" s="9">
        <v>3.0</v>
      </c>
    </row>
    <row r="789" ht="15.75" customHeight="1">
      <c r="A789" s="7" t="s">
        <v>2324</v>
      </c>
      <c r="B789" s="9" t="s">
        <v>17</v>
      </c>
      <c r="C789" s="9" t="s">
        <v>802</v>
      </c>
      <c r="D789" s="9">
        <v>1.0</v>
      </c>
      <c r="F789" s="9">
        <v>0.0</v>
      </c>
      <c r="G789" s="9">
        <v>0.0</v>
      </c>
      <c r="H789" s="9">
        <v>0.0</v>
      </c>
    </row>
    <row r="790" ht="15.75" customHeight="1">
      <c r="A790" s="7" t="s">
        <v>2328</v>
      </c>
      <c r="B790" s="9" t="s">
        <v>17</v>
      </c>
      <c r="C790" s="9" t="s">
        <v>1328</v>
      </c>
      <c r="D790" s="9">
        <v>1.0</v>
      </c>
      <c r="F790" s="9">
        <v>0.0</v>
      </c>
      <c r="G790" s="9">
        <v>0.0</v>
      </c>
      <c r="H790" s="9">
        <v>0.0</v>
      </c>
    </row>
    <row r="791" ht="15.75" customHeight="1">
      <c r="A791" s="7" t="s">
        <v>2329</v>
      </c>
      <c r="B791" s="9" t="s">
        <v>39</v>
      </c>
      <c r="C791" s="9" t="s">
        <v>2331</v>
      </c>
      <c r="D791" s="9">
        <v>1.0</v>
      </c>
      <c r="E791" s="9">
        <v>0.0</v>
      </c>
      <c r="F791" s="9">
        <v>0.0</v>
      </c>
      <c r="G791" s="9">
        <v>0.0</v>
      </c>
      <c r="H791" s="9">
        <v>0.0</v>
      </c>
      <c r="I791" s="9">
        <v>0.0</v>
      </c>
    </row>
    <row r="792" ht="15.75" customHeight="1">
      <c r="A792" s="7" t="s">
        <v>2332</v>
      </c>
      <c r="B792" s="9" t="s">
        <v>17</v>
      </c>
      <c r="C792" s="9" t="s">
        <v>188</v>
      </c>
      <c r="D792" s="9">
        <v>1.0</v>
      </c>
      <c r="F792" s="9">
        <v>0.0</v>
      </c>
      <c r="G792" s="9">
        <v>0.0</v>
      </c>
      <c r="H792" s="9">
        <v>1.0</v>
      </c>
    </row>
    <row r="793" ht="15.75" customHeight="1">
      <c r="A793" s="7" t="s">
        <v>2334</v>
      </c>
      <c r="B793" s="9" t="s">
        <v>124</v>
      </c>
      <c r="C793" s="9" t="s">
        <v>482</v>
      </c>
      <c r="D793" s="9">
        <v>1.0</v>
      </c>
      <c r="F793" s="9">
        <v>0.0</v>
      </c>
      <c r="G793" s="9">
        <v>0.0</v>
      </c>
      <c r="H793" s="9">
        <v>1.0</v>
      </c>
    </row>
    <row r="794" ht="15.75" customHeight="1">
      <c r="A794" s="7" t="s">
        <v>2337</v>
      </c>
      <c r="B794" s="9" t="s">
        <v>94</v>
      </c>
      <c r="C794" s="9" t="s">
        <v>188</v>
      </c>
      <c r="D794" s="9">
        <v>1.0</v>
      </c>
      <c r="F794" s="9">
        <v>0.0</v>
      </c>
      <c r="G794" s="9">
        <v>0.0</v>
      </c>
      <c r="H794" s="9">
        <v>1.0</v>
      </c>
    </row>
    <row r="795" ht="15.75" customHeight="1">
      <c r="A795" s="7" t="s">
        <v>2340</v>
      </c>
      <c r="B795" s="9" t="s">
        <v>17</v>
      </c>
      <c r="C795" s="9" t="s">
        <v>2341</v>
      </c>
      <c r="D795" s="9">
        <v>1.0</v>
      </c>
      <c r="F795" s="9">
        <v>0.0</v>
      </c>
      <c r="G795" s="9">
        <v>0.0</v>
      </c>
      <c r="H795" s="9">
        <v>1.0</v>
      </c>
    </row>
    <row r="796" ht="15.75" customHeight="1">
      <c r="A796" s="7" t="s">
        <v>2344</v>
      </c>
      <c r="B796" s="9" t="s">
        <v>17</v>
      </c>
      <c r="C796" s="9" t="s">
        <v>482</v>
      </c>
      <c r="D796" s="9">
        <v>1.0</v>
      </c>
      <c r="F796" s="9">
        <v>0.0</v>
      </c>
      <c r="G796" s="9">
        <v>0.0</v>
      </c>
      <c r="H796" s="9">
        <v>1.0</v>
      </c>
    </row>
    <row r="797" ht="15.75" customHeight="1">
      <c r="A797" s="7" t="s">
        <v>2346</v>
      </c>
      <c r="B797" s="9" t="s">
        <v>124</v>
      </c>
      <c r="C797" s="9" t="s">
        <v>482</v>
      </c>
      <c r="D797" s="9">
        <v>1.0</v>
      </c>
      <c r="E797" s="9">
        <v>-1.0</v>
      </c>
      <c r="F797" s="9">
        <v>0.0</v>
      </c>
      <c r="G797" s="9">
        <v>0.0</v>
      </c>
      <c r="H797" s="9">
        <v>0.0</v>
      </c>
      <c r="I797" s="9">
        <v>-2.0</v>
      </c>
    </row>
    <row r="798" ht="15.75" customHeight="1">
      <c r="A798" s="7" t="s">
        <v>2348</v>
      </c>
      <c r="B798" s="9" t="s">
        <v>17</v>
      </c>
      <c r="D798" s="9">
        <v>1.0</v>
      </c>
      <c r="E798" s="9">
        <v>0.0</v>
      </c>
      <c r="F798" s="9">
        <v>0.0</v>
      </c>
      <c r="G798" s="9">
        <v>0.0</v>
      </c>
      <c r="H798" s="9">
        <v>0.0</v>
      </c>
      <c r="I798" s="9">
        <v>0.0</v>
      </c>
    </row>
    <row r="799" ht="15.75" customHeight="1">
      <c r="A799" s="7" t="s">
        <v>2351</v>
      </c>
      <c r="B799" s="9" t="s">
        <v>17</v>
      </c>
      <c r="C799" s="9" t="s">
        <v>720</v>
      </c>
      <c r="D799" s="9">
        <v>1.0</v>
      </c>
      <c r="F799" s="9">
        <v>0.0</v>
      </c>
      <c r="G799" s="9">
        <v>0.0</v>
      </c>
      <c r="H799" s="9">
        <v>2.0</v>
      </c>
    </row>
    <row r="800" ht="15.75" customHeight="1">
      <c r="A800" s="7" t="s">
        <v>2355</v>
      </c>
      <c r="B800" s="9" t="s">
        <v>17</v>
      </c>
      <c r="D800" s="9">
        <v>1.0</v>
      </c>
      <c r="F800" s="9">
        <v>0.0</v>
      </c>
      <c r="G800" s="9">
        <v>0.0</v>
      </c>
      <c r="H800" s="9">
        <v>0.0</v>
      </c>
    </row>
    <row r="801" ht="15.75" customHeight="1">
      <c r="A801" s="7" t="s">
        <v>2356</v>
      </c>
      <c r="B801" s="9" t="s">
        <v>17</v>
      </c>
      <c r="C801" s="9" t="s">
        <v>720</v>
      </c>
      <c r="D801" s="9">
        <v>1.0</v>
      </c>
      <c r="F801" s="9">
        <v>0.0</v>
      </c>
      <c r="G801" s="9">
        <v>0.0</v>
      </c>
      <c r="H801" s="9">
        <v>0.0</v>
      </c>
    </row>
    <row r="802" ht="15.75" customHeight="1">
      <c r="A802" s="7" t="s">
        <v>2360</v>
      </c>
      <c r="B802" s="9" t="s">
        <v>17</v>
      </c>
      <c r="C802" s="9" t="s">
        <v>482</v>
      </c>
      <c r="D802" s="9">
        <v>1.0</v>
      </c>
      <c r="E802" s="9">
        <v>-7.0</v>
      </c>
      <c r="F802" s="9">
        <v>0.0</v>
      </c>
      <c r="G802" s="9">
        <v>0.0</v>
      </c>
      <c r="H802" s="9">
        <v>0.0</v>
      </c>
      <c r="I802" s="9">
        <v>0.0</v>
      </c>
    </row>
    <row r="803" ht="15.75" customHeight="1">
      <c r="A803" s="7" t="s">
        <v>2363</v>
      </c>
      <c r="B803" s="9" t="s">
        <v>39</v>
      </c>
      <c r="C803" s="9" t="s">
        <v>2364</v>
      </c>
      <c r="D803" s="9">
        <v>1.0</v>
      </c>
      <c r="F803" s="9">
        <v>0.0</v>
      </c>
      <c r="G803" s="9">
        <v>0.0</v>
      </c>
      <c r="H803" s="9">
        <v>1.0</v>
      </c>
    </row>
    <row r="804" ht="15.75" customHeight="1">
      <c r="A804" s="7" t="s">
        <v>2365</v>
      </c>
      <c r="B804" s="9" t="s">
        <v>25</v>
      </c>
      <c r="D804" s="9">
        <v>1.0</v>
      </c>
      <c r="F804" s="9">
        <v>0.0</v>
      </c>
      <c r="G804" s="9">
        <v>0.0</v>
      </c>
      <c r="H804" s="9">
        <v>1.0</v>
      </c>
    </row>
    <row r="805" ht="15.75" customHeight="1">
      <c r="A805" s="7" t="s">
        <v>2367</v>
      </c>
      <c r="B805" s="9" t="s">
        <v>17</v>
      </c>
      <c r="D805" s="9">
        <v>1.0</v>
      </c>
      <c r="E805" s="9">
        <v>-4.0</v>
      </c>
      <c r="F805" s="9">
        <v>0.0</v>
      </c>
      <c r="G805" s="9">
        <v>0.0</v>
      </c>
      <c r="H805" s="9">
        <v>0.0</v>
      </c>
      <c r="I805" s="9">
        <v>-1.2</v>
      </c>
    </row>
    <row r="806" ht="15.75" customHeight="1">
      <c r="A806" s="7" t="s">
        <v>2370</v>
      </c>
      <c r="B806" s="9" t="s">
        <v>17</v>
      </c>
      <c r="C806" s="9" t="s">
        <v>1339</v>
      </c>
      <c r="D806" s="9">
        <v>1.0</v>
      </c>
      <c r="E806" s="9">
        <v>-1.0</v>
      </c>
      <c r="F806" s="9">
        <v>0.0</v>
      </c>
      <c r="G806" s="9">
        <v>0.0</v>
      </c>
      <c r="H806" s="9">
        <v>0.0</v>
      </c>
      <c r="I806" s="9">
        <v>0.0</v>
      </c>
    </row>
    <row r="807" ht="15.75" customHeight="1">
      <c r="A807" s="7" t="s">
        <v>2372</v>
      </c>
      <c r="B807" s="9" t="s">
        <v>17</v>
      </c>
      <c r="D807" s="9">
        <v>1.0</v>
      </c>
      <c r="E807" s="9">
        <v>-3.0</v>
      </c>
      <c r="F807" s="9">
        <v>0.0</v>
      </c>
      <c r="G807" s="9">
        <v>0.0</v>
      </c>
      <c r="H807" s="9">
        <v>0.0</v>
      </c>
      <c r="I807" s="9">
        <v>0.0</v>
      </c>
    </row>
    <row r="808" ht="15.75" customHeight="1">
      <c r="A808" s="7" t="s">
        <v>2375</v>
      </c>
      <c r="B808" s="9" t="s">
        <v>17</v>
      </c>
      <c r="C808" s="9" t="s">
        <v>482</v>
      </c>
      <c r="D808" s="9">
        <v>1.0</v>
      </c>
      <c r="F808" s="9">
        <v>0.0</v>
      </c>
      <c r="G808" s="9">
        <v>0.0</v>
      </c>
      <c r="H808" s="9">
        <v>0.0</v>
      </c>
    </row>
    <row r="809" ht="15.75" customHeight="1">
      <c r="A809" s="7" t="s">
        <v>2376</v>
      </c>
      <c r="B809" s="9" t="s">
        <v>124</v>
      </c>
      <c r="C809" s="9" t="s">
        <v>2379</v>
      </c>
      <c r="D809" s="9">
        <v>1.0</v>
      </c>
      <c r="E809" s="9">
        <v>-1.0</v>
      </c>
      <c r="F809" s="9">
        <v>0.0</v>
      </c>
      <c r="G809" s="9">
        <v>0.0</v>
      </c>
      <c r="H809" s="9">
        <v>2.0</v>
      </c>
      <c r="I809" s="9">
        <v>0.0</v>
      </c>
    </row>
    <row r="810" ht="15.75" customHeight="1">
      <c r="A810" s="7" t="s">
        <v>2380</v>
      </c>
      <c r="B810" s="9" t="s">
        <v>17</v>
      </c>
      <c r="C810" s="9" t="s">
        <v>2382</v>
      </c>
      <c r="D810" s="9">
        <v>1.0</v>
      </c>
      <c r="F810" s="9">
        <v>0.0</v>
      </c>
      <c r="G810" s="9">
        <v>0.0</v>
      </c>
      <c r="H810" s="9">
        <v>0.0</v>
      </c>
    </row>
    <row r="811" ht="15.75" customHeight="1">
      <c r="A811" s="7" t="s">
        <v>2384</v>
      </c>
      <c r="B811" s="9" t="s">
        <v>17</v>
      </c>
      <c r="D811" s="9">
        <v>1.0</v>
      </c>
      <c r="F811" s="9">
        <v>0.0</v>
      </c>
      <c r="G811" s="9">
        <v>0.0</v>
      </c>
      <c r="H811" s="9">
        <v>1.0</v>
      </c>
    </row>
    <row r="812" ht="15.75" customHeight="1">
      <c r="A812" s="7" t="s">
        <v>2386</v>
      </c>
      <c r="B812" s="9" t="s">
        <v>17</v>
      </c>
      <c r="C812" s="9" t="s">
        <v>720</v>
      </c>
      <c r="D812" s="9">
        <v>1.0</v>
      </c>
      <c r="F812" s="9">
        <v>0.0</v>
      </c>
      <c r="G812" s="9">
        <v>0.0</v>
      </c>
      <c r="H812" s="9">
        <v>3.0</v>
      </c>
    </row>
    <row r="813" ht="15.75" customHeight="1">
      <c r="A813" s="7" t="s">
        <v>2388</v>
      </c>
      <c r="B813" s="9" t="s">
        <v>17</v>
      </c>
      <c r="C813" s="9" t="s">
        <v>1328</v>
      </c>
      <c r="D813" s="9">
        <v>1.0</v>
      </c>
      <c r="E813" s="9">
        <v>0.0</v>
      </c>
      <c r="F813" s="9">
        <v>0.0</v>
      </c>
      <c r="G813" s="9">
        <v>0.0</v>
      </c>
      <c r="H813" s="9">
        <v>0.0</v>
      </c>
      <c r="I813" s="9">
        <v>0.0</v>
      </c>
    </row>
    <row r="814" ht="15.75" customHeight="1">
      <c r="A814" s="7" t="s">
        <v>2393</v>
      </c>
      <c r="B814" s="9" t="s">
        <v>17</v>
      </c>
      <c r="C814" s="9" t="s">
        <v>720</v>
      </c>
      <c r="D814" s="9">
        <v>1.0</v>
      </c>
      <c r="F814" s="9">
        <v>0.0</v>
      </c>
      <c r="G814" s="9">
        <v>0.0</v>
      </c>
      <c r="H814" s="9">
        <v>1.0</v>
      </c>
    </row>
    <row r="815" ht="15.75" customHeight="1">
      <c r="A815" s="7" t="s">
        <v>2397</v>
      </c>
      <c r="B815" s="9" t="s">
        <v>17</v>
      </c>
      <c r="C815" s="9" t="s">
        <v>1328</v>
      </c>
      <c r="D815" s="9">
        <v>1.0</v>
      </c>
      <c r="E815" s="9">
        <v>-5.0</v>
      </c>
      <c r="F815" s="9">
        <v>0.0</v>
      </c>
      <c r="G815" s="9">
        <v>0.0</v>
      </c>
      <c r="H815" s="9">
        <v>0.0</v>
      </c>
      <c r="I815" s="9">
        <v>0.0</v>
      </c>
    </row>
    <row r="816" ht="15.75" customHeight="1">
      <c r="A816" s="7" t="s">
        <v>2402</v>
      </c>
      <c r="B816" s="9" t="s">
        <v>17</v>
      </c>
      <c r="C816" s="9" t="s">
        <v>188</v>
      </c>
      <c r="D816" s="9">
        <v>1.0</v>
      </c>
      <c r="F816" s="9">
        <v>0.0</v>
      </c>
      <c r="G816" s="9">
        <v>0.0</v>
      </c>
      <c r="H816" s="9">
        <v>1.0</v>
      </c>
    </row>
    <row r="817" ht="15.75" customHeight="1">
      <c r="A817" s="9" t="s">
        <v>2410</v>
      </c>
      <c r="B817" s="9" t="s">
        <v>17</v>
      </c>
      <c r="C817" s="9" t="s">
        <v>1026</v>
      </c>
      <c r="D817" s="9">
        <v>1.0</v>
      </c>
      <c r="F817" s="9">
        <v>0.0</v>
      </c>
      <c r="G817" s="9">
        <v>0.0</v>
      </c>
      <c r="H817" s="9">
        <v>0.0</v>
      </c>
    </row>
    <row r="818" ht="15.75" customHeight="1">
      <c r="A818" s="7" t="s">
        <v>2411</v>
      </c>
      <c r="B818" s="9" t="s">
        <v>17</v>
      </c>
      <c r="D818" s="9">
        <v>1.0</v>
      </c>
      <c r="E818" s="9">
        <v>0.0</v>
      </c>
      <c r="F818" s="9">
        <v>0.0</v>
      </c>
      <c r="G818" s="9">
        <v>0.0</v>
      </c>
      <c r="H818" s="9">
        <v>1.0</v>
      </c>
      <c r="I818" s="9">
        <v>0.0</v>
      </c>
    </row>
    <row r="819" ht="15.75" customHeight="1">
      <c r="A819" s="9" t="s">
        <v>2413</v>
      </c>
      <c r="B819" s="9" t="s">
        <v>17</v>
      </c>
      <c r="D819" s="9">
        <v>1.0</v>
      </c>
      <c r="F819" s="9">
        <v>0.0</v>
      </c>
      <c r="G819" s="9">
        <v>0.0</v>
      </c>
      <c r="H819" s="9">
        <v>0.0</v>
      </c>
    </row>
    <row r="820" ht="15.75" customHeight="1">
      <c r="A820" s="7" t="s">
        <v>2414</v>
      </c>
      <c r="B820" s="9" t="s">
        <v>17</v>
      </c>
      <c r="C820" s="9" t="s">
        <v>1352</v>
      </c>
      <c r="D820" s="9">
        <v>1.0</v>
      </c>
      <c r="E820" s="9">
        <v>-10.0</v>
      </c>
      <c r="F820" s="9">
        <v>0.0</v>
      </c>
      <c r="G820" s="9">
        <v>0.0</v>
      </c>
      <c r="H820" s="9">
        <v>2.0</v>
      </c>
      <c r="I820" s="9">
        <v>0.27</v>
      </c>
    </row>
    <row r="821" ht="15.75" customHeight="1">
      <c r="A821" s="7" t="s">
        <v>2418</v>
      </c>
      <c r="B821" s="9" t="s">
        <v>17</v>
      </c>
      <c r="C821" s="9" t="s">
        <v>1571</v>
      </c>
      <c r="D821" s="9">
        <v>1.0</v>
      </c>
      <c r="E821" s="9">
        <v>-3.0</v>
      </c>
      <c r="F821" s="9">
        <v>0.0</v>
      </c>
      <c r="G821" s="9">
        <v>0.0</v>
      </c>
      <c r="H821" s="9">
        <v>1.0</v>
      </c>
      <c r="I821" s="9">
        <v>0.5</v>
      </c>
    </row>
    <row r="822" ht="15.75" customHeight="1">
      <c r="A822" s="7" t="s">
        <v>2419</v>
      </c>
      <c r="B822" s="9" t="s">
        <v>360</v>
      </c>
      <c r="C822" s="9" t="s">
        <v>482</v>
      </c>
      <c r="D822" s="9">
        <v>1.0</v>
      </c>
      <c r="E822" s="9">
        <v>-2.0</v>
      </c>
      <c r="F822" s="9">
        <v>0.0</v>
      </c>
      <c r="G822" s="9">
        <v>0.0</v>
      </c>
      <c r="H822" s="9">
        <v>1.0</v>
      </c>
      <c r="I822" s="9">
        <v>0.67</v>
      </c>
    </row>
    <row r="823" ht="15.75" customHeight="1">
      <c r="A823" s="9" t="s">
        <v>2423</v>
      </c>
      <c r="B823" s="9" t="s">
        <v>17</v>
      </c>
      <c r="C823" s="9" t="s">
        <v>188</v>
      </c>
      <c r="D823" s="9">
        <v>1.0</v>
      </c>
      <c r="E823" s="9">
        <v>-3.0</v>
      </c>
      <c r="F823" s="9">
        <v>0.0</v>
      </c>
      <c r="G823" s="9">
        <v>0.0</v>
      </c>
      <c r="H823" s="9">
        <v>0.0</v>
      </c>
      <c r="I823" s="9">
        <v>-0.5</v>
      </c>
    </row>
    <row r="824" ht="15.75" customHeight="1">
      <c r="A824" s="7" t="s">
        <v>2425</v>
      </c>
      <c r="B824" s="9" t="s">
        <v>17</v>
      </c>
      <c r="C824" s="9" t="s">
        <v>2427</v>
      </c>
      <c r="D824" s="9">
        <v>1.0</v>
      </c>
      <c r="F824" s="9">
        <v>0.0</v>
      </c>
      <c r="G824" s="9">
        <v>0.0</v>
      </c>
      <c r="H824" s="9">
        <v>1.0</v>
      </c>
    </row>
    <row r="825" ht="15.75" customHeight="1">
      <c r="A825" s="7" t="s">
        <v>2428</v>
      </c>
      <c r="B825" s="9" t="s">
        <v>17</v>
      </c>
      <c r="D825" s="9">
        <v>1.0</v>
      </c>
      <c r="F825" s="9">
        <v>0.0</v>
      </c>
      <c r="G825" s="9">
        <v>0.0</v>
      </c>
      <c r="H825" s="9">
        <v>2.0</v>
      </c>
    </row>
    <row r="826" ht="15.75" customHeight="1">
      <c r="A826" s="7" t="s">
        <v>2430</v>
      </c>
      <c r="B826" s="9" t="s">
        <v>17</v>
      </c>
      <c r="C826" s="9" t="s">
        <v>541</v>
      </c>
      <c r="D826" s="9">
        <v>1.0</v>
      </c>
      <c r="F826" s="9">
        <v>0.0</v>
      </c>
      <c r="G826" s="9">
        <v>0.0</v>
      </c>
      <c r="H826" s="9">
        <v>0.0</v>
      </c>
    </row>
    <row r="827" ht="15.75" customHeight="1">
      <c r="A827" s="7" t="s">
        <v>2433</v>
      </c>
      <c r="B827" s="9" t="s">
        <v>39</v>
      </c>
      <c r="C827" s="9" t="s">
        <v>2436</v>
      </c>
      <c r="D827" s="9">
        <v>1.0</v>
      </c>
      <c r="E827" s="9">
        <v>-3.0</v>
      </c>
      <c r="F827" s="9">
        <v>0.0</v>
      </c>
      <c r="G827" s="9">
        <v>0.0</v>
      </c>
      <c r="H827" s="9">
        <v>1.0</v>
      </c>
      <c r="I827" s="9">
        <v>1.0</v>
      </c>
    </row>
    <row r="828" ht="15.75" customHeight="1">
      <c r="A828" s="7" t="s">
        <v>2437</v>
      </c>
      <c r="B828" s="9" t="s">
        <v>17</v>
      </c>
      <c r="D828" s="9">
        <v>1.0</v>
      </c>
      <c r="F828" s="9">
        <v>0.0</v>
      </c>
      <c r="G828" s="9">
        <v>0.0</v>
      </c>
      <c r="H828" s="9">
        <v>1.0</v>
      </c>
    </row>
    <row r="829" ht="15.75" customHeight="1">
      <c r="A829" s="7" t="s">
        <v>2441</v>
      </c>
      <c r="B829" s="9" t="s">
        <v>17</v>
      </c>
      <c r="C829" s="9" t="s">
        <v>2443</v>
      </c>
      <c r="D829" s="9">
        <v>1.0</v>
      </c>
      <c r="F829" s="9">
        <v>0.0</v>
      </c>
      <c r="G829" s="9">
        <v>0.0</v>
      </c>
      <c r="H829" s="9">
        <v>1.0</v>
      </c>
    </row>
    <row r="830" ht="15.75" customHeight="1">
      <c r="A830" s="7" t="s">
        <v>2446</v>
      </c>
      <c r="B830" s="9" t="s">
        <v>17</v>
      </c>
      <c r="D830" s="9">
        <v>1.0</v>
      </c>
      <c r="F830" s="9">
        <v>0.0</v>
      </c>
      <c r="G830" s="9">
        <v>0.0</v>
      </c>
      <c r="H830" s="9">
        <v>0.0</v>
      </c>
    </row>
    <row r="831" ht="15.75" customHeight="1">
      <c r="A831" s="7" t="s">
        <v>2448</v>
      </c>
      <c r="B831" s="9" t="s">
        <v>17</v>
      </c>
      <c r="D831" s="9">
        <v>1.0</v>
      </c>
      <c r="E831" s="9">
        <v>0.0</v>
      </c>
      <c r="F831" s="9">
        <v>0.0</v>
      </c>
      <c r="G831" s="9">
        <v>0.0</v>
      </c>
      <c r="H831" s="9">
        <v>2.0</v>
      </c>
      <c r="I831" s="9">
        <v>1.0</v>
      </c>
    </row>
    <row r="832" ht="15.75" customHeight="1">
      <c r="A832" s="7" t="s">
        <v>2451</v>
      </c>
      <c r="B832" s="9" t="s">
        <v>17</v>
      </c>
      <c r="C832" s="9" t="s">
        <v>2452</v>
      </c>
      <c r="D832" s="9">
        <v>1.0</v>
      </c>
      <c r="E832" s="9">
        <v>-4.0</v>
      </c>
      <c r="F832" s="9">
        <v>0.0</v>
      </c>
      <c r="G832" s="9">
        <v>0.0</v>
      </c>
      <c r="H832" s="9">
        <v>0.0</v>
      </c>
      <c r="I832" s="9">
        <v>-0.6</v>
      </c>
    </row>
    <row r="833" ht="15.75" customHeight="1">
      <c r="A833" s="7" t="s">
        <v>2453</v>
      </c>
      <c r="B833" s="9" t="s">
        <v>17</v>
      </c>
      <c r="C833" s="9" t="s">
        <v>666</v>
      </c>
      <c r="D833" s="9">
        <v>1.0</v>
      </c>
      <c r="F833" s="9">
        <v>0.0</v>
      </c>
      <c r="G833" s="9">
        <v>0.0</v>
      </c>
      <c r="H833" s="9">
        <v>1.0</v>
      </c>
    </row>
    <row r="834" ht="15.75" customHeight="1">
      <c r="A834" s="7" t="s">
        <v>2456</v>
      </c>
      <c r="B834" s="9" t="s">
        <v>17</v>
      </c>
      <c r="C834" s="9" t="s">
        <v>340</v>
      </c>
      <c r="D834" s="9">
        <v>1.0</v>
      </c>
      <c r="E834" s="9">
        <v>-6.0</v>
      </c>
      <c r="F834" s="9">
        <v>0.0</v>
      </c>
      <c r="G834" s="9">
        <v>0.0</v>
      </c>
      <c r="H834" s="9">
        <v>2.0</v>
      </c>
      <c r="I834" s="9">
        <v>-0.43</v>
      </c>
    </row>
    <row r="835" ht="15.75" customHeight="1">
      <c r="A835" s="7" t="s">
        <v>2460</v>
      </c>
      <c r="B835" s="9" t="s">
        <v>39</v>
      </c>
      <c r="C835" s="9" t="s">
        <v>2464</v>
      </c>
      <c r="D835" s="9">
        <v>1.0</v>
      </c>
      <c r="F835" s="9">
        <v>0.0</v>
      </c>
      <c r="G835" s="9">
        <v>0.0</v>
      </c>
      <c r="H835" s="9">
        <v>1.0</v>
      </c>
    </row>
    <row r="836" ht="15.75" customHeight="1">
      <c r="A836" s="7" t="s">
        <v>2465</v>
      </c>
      <c r="B836" s="9" t="s">
        <v>17</v>
      </c>
      <c r="D836" s="9">
        <v>1.0</v>
      </c>
      <c r="F836" s="9">
        <v>0.0</v>
      </c>
      <c r="G836" s="9">
        <v>0.0</v>
      </c>
      <c r="H836" s="9">
        <v>1.0</v>
      </c>
    </row>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Z$995"/>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1"/>
    <hyperlink r:id="rId20" ref="A22"/>
    <hyperlink r:id="rId21" ref="A23"/>
    <hyperlink r:id="rId22" ref="A24"/>
    <hyperlink r:id="rId23" ref="A26"/>
    <hyperlink r:id="rId24" ref="A27"/>
    <hyperlink r:id="rId25" ref="A28"/>
    <hyperlink r:id="rId26" ref="A29"/>
    <hyperlink r:id="rId27" ref="A30"/>
    <hyperlink r:id="rId28" ref="A31"/>
    <hyperlink r:id="rId29" ref="A33"/>
    <hyperlink r:id="rId30" ref="A34"/>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45"/>
    <hyperlink r:id="rId42" ref="A46"/>
    <hyperlink r:id="rId43" ref="A47"/>
    <hyperlink r:id="rId44" ref="A48"/>
    <hyperlink r:id="rId45" ref="A49"/>
    <hyperlink r:id="rId46" ref="A50"/>
    <hyperlink r:id="rId47" ref="A52"/>
    <hyperlink r:id="rId48" ref="A53"/>
    <hyperlink r:id="rId49" ref="A54"/>
    <hyperlink r:id="rId50" ref="A55"/>
    <hyperlink r:id="rId51" ref="A56"/>
    <hyperlink r:id="rId52" ref="A58"/>
    <hyperlink r:id="rId53" ref="A59"/>
    <hyperlink r:id="rId54" ref="A60"/>
    <hyperlink r:id="rId55" ref="A61"/>
    <hyperlink r:id="rId56" ref="A62"/>
    <hyperlink r:id="rId57" ref="A63"/>
    <hyperlink r:id="rId58" ref="A64"/>
    <hyperlink r:id="rId59" ref="A65"/>
    <hyperlink r:id="rId60" ref="A66"/>
    <hyperlink r:id="rId61" ref="A67"/>
    <hyperlink r:id="rId62" ref="A68"/>
    <hyperlink r:id="rId63" ref="A69"/>
    <hyperlink r:id="rId64" ref="A70"/>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9"/>
    <hyperlink r:id="rId93" ref="A100"/>
    <hyperlink r:id="rId94" ref="A101"/>
    <hyperlink r:id="rId95" ref="A102"/>
    <hyperlink r:id="rId96" ref="A103"/>
    <hyperlink r:id="rId97" ref="A104"/>
    <hyperlink r:id="rId98" ref="A105"/>
    <hyperlink r:id="rId99" ref="A106"/>
    <hyperlink r:id="rId100" ref="A107"/>
    <hyperlink r:id="rId101" ref="A108"/>
    <hyperlink r:id="rId102" ref="A109"/>
    <hyperlink r:id="rId103" ref="A110"/>
    <hyperlink r:id="rId104" ref="A111"/>
    <hyperlink r:id="rId105" ref="A113"/>
    <hyperlink r:id="rId106" ref="A114"/>
    <hyperlink r:id="rId107" ref="A115"/>
    <hyperlink r:id="rId108" ref="A116"/>
    <hyperlink r:id="rId109" ref="A117"/>
    <hyperlink r:id="rId110" ref="A118"/>
    <hyperlink r:id="rId111" ref="A119"/>
    <hyperlink r:id="rId112" ref="A120"/>
    <hyperlink r:id="rId113" ref="A121"/>
    <hyperlink r:id="rId114" ref="A122"/>
    <hyperlink r:id="rId115" ref="A123"/>
    <hyperlink r:id="rId116" ref="A124"/>
    <hyperlink r:id="rId117" ref="A125"/>
    <hyperlink r:id="rId118" ref="A126"/>
    <hyperlink r:id="rId119" ref="A127"/>
    <hyperlink r:id="rId120" ref="A128"/>
    <hyperlink r:id="rId121" ref="A129"/>
    <hyperlink r:id="rId122" ref="A130"/>
    <hyperlink r:id="rId123" ref="A131"/>
    <hyperlink r:id="rId124" ref="A132"/>
    <hyperlink r:id="rId125" ref="A133"/>
    <hyperlink r:id="rId126" ref="A134"/>
    <hyperlink r:id="rId127" ref="A135"/>
    <hyperlink r:id="rId128" ref="A136"/>
    <hyperlink r:id="rId129" ref="A137"/>
    <hyperlink r:id="rId130" ref="A140"/>
    <hyperlink r:id="rId131" ref="A141"/>
    <hyperlink r:id="rId132" ref="A142"/>
    <hyperlink r:id="rId133" ref="A143"/>
    <hyperlink r:id="rId134" ref="A144"/>
    <hyperlink r:id="rId135" ref="A145"/>
    <hyperlink r:id="rId136" ref="A146"/>
    <hyperlink r:id="rId137" ref="A147"/>
    <hyperlink r:id="rId138" ref="A148"/>
    <hyperlink r:id="rId139" ref="A149"/>
    <hyperlink r:id="rId140" ref="A150"/>
    <hyperlink r:id="rId141" ref="A151"/>
    <hyperlink r:id="rId142" ref="A152"/>
    <hyperlink r:id="rId143" ref="A153"/>
    <hyperlink r:id="rId144" ref="A154"/>
    <hyperlink r:id="rId145" ref="A155"/>
    <hyperlink r:id="rId146" ref="A157"/>
    <hyperlink r:id="rId147" ref="A159"/>
    <hyperlink r:id="rId148" ref="A160"/>
    <hyperlink r:id="rId149" ref="A161"/>
    <hyperlink r:id="rId150" ref="A162"/>
    <hyperlink r:id="rId151" ref="A163"/>
    <hyperlink r:id="rId152" ref="A164"/>
    <hyperlink r:id="rId153" ref="A165"/>
    <hyperlink r:id="rId154" ref="A166"/>
    <hyperlink r:id="rId155" ref="A167"/>
    <hyperlink r:id="rId156" ref="A168"/>
    <hyperlink r:id="rId157" ref="A169"/>
    <hyperlink r:id="rId158" ref="A170"/>
    <hyperlink r:id="rId159" ref="A171"/>
    <hyperlink r:id="rId160" ref="A172"/>
    <hyperlink r:id="rId161" ref="A173"/>
    <hyperlink r:id="rId162" ref="A174"/>
    <hyperlink r:id="rId163" ref="A175"/>
    <hyperlink r:id="rId164" ref="A176"/>
    <hyperlink r:id="rId165" ref="A177"/>
    <hyperlink r:id="rId166" ref="A178"/>
    <hyperlink r:id="rId167" ref="A179"/>
    <hyperlink r:id="rId168" ref="A180"/>
    <hyperlink r:id="rId169" ref="A181"/>
    <hyperlink r:id="rId170" ref="A182"/>
    <hyperlink r:id="rId171" ref="A183"/>
    <hyperlink r:id="rId172" ref="A184"/>
    <hyperlink r:id="rId173" ref="A185"/>
    <hyperlink r:id="rId174" ref="A186"/>
    <hyperlink r:id="rId175" ref="A187"/>
    <hyperlink r:id="rId176" ref="A188"/>
    <hyperlink r:id="rId177" ref="A189"/>
    <hyperlink r:id="rId178" ref="A191"/>
    <hyperlink r:id="rId179" ref="A192"/>
    <hyperlink r:id="rId180" ref="A193"/>
    <hyperlink r:id="rId181" ref="A194"/>
    <hyperlink r:id="rId182" ref="A195"/>
    <hyperlink r:id="rId183" ref="A196"/>
    <hyperlink r:id="rId184" ref="A197"/>
    <hyperlink r:id="rId185" ref="A198"/>
    <hyperlink r:id="rId186" ref="A200"/>
    <hyperlink r:id="rId187" ref="A201"/>
    <hyperlink r:id="rId188" ref="A202"/>
    <hyperlink r:id="rId189" ref="A203"/>
    <hyperlink r:id="rId190" ref="A204"/>
    <hyperlink r:id="rId191" ref="A205"/>
    <hyperlink r:id="rId192" ref="A206"/>
    <hyperlink r:id="rId193" ref="A207"/>
    <hyperlink r:id="rId194" ref="A208"/>
    <hyperlink r:id="rId195" ref="A209"/>
    <hyperlink r:id="rId196" ref="A210"/>
    <hyperlink r:id="rId197" ref="A211"/>
    <hyperlink r:id="rId198" ref="A212"/>
    <hyperlink r:id="rId199" ref="A213"/>
    <hyperlink r:id="rId200" ref="A214"/>
    <hyperlink r:id="rId201" ref="A215"/>
    <hyperlink r:id="rId202" ref="A216"/>
    <hyperlink r:id="rId203" ref="A218"/>
    <hyperlink r:id="rId204" ref="A219"/>
    <hyperlink r:id="rId205" ref="A220"/>
    <hyperlink r:id="rId206" ref="A221"/>
    <hyperlink r:id="rId207" ref="A222"/>
    <hyperlink r:id="rId208" ref="A223"/>
    <hyperlink r:id="rId209" ref="A224"/>
    <hyperlink r:id="rId210" ref="A225"/>
    <hyperlink r:id="rId211" ref="A226"/>
    <hyperlink r:id="rId212" ref="A227"/>
    <hyperlink r:id="rId213" ref="A228"/>
    <hyperlink r:id="rId214" ref="A229"/>
    <hyperlink r:id="rId215" ref="A230"/>
    <hyperlink r:id="rId216" ref="A231"/>
    <hyperlink r:id="rId217" ref="A233"/>
    <hyperlink r:id="rId218" ref="A234"/>
    <hyperlink r:id="rId219" ref="A235"/>
    <hyperlink r:id="rId220" ref="A236"/>
    <hyperlink r:id="rId221" ref="A237"/>
    <hyperlink r:id="rId222" ref="A238"/>
    <hyperlink r:id="rId223" ref="A239"/>
    <hyperlink r:id="rId224" ref="A240"/>
    <hyperlink r:id="rId225" ref="A241"/>
    <hyperlink r:id="rId226" ref="A242"/>
    <hyperlink r:id="rId227" ref="A243"/>
    <hyperlink r:id="rId228" ref="A244"/>
    <hyperlink r:id="rId229" ref="A245"/>
    <hyperlink r:id="rId230" ref="A246"/>
    <hyperlink r:id="rId231" ref="A247"/>
    <hyperlink r:id="rId232" ref="A248"/>
    <hyperlink r:id="rId233" ref="A249"/>
    <hyperlink r:id="rId234" ref="A250"/>
    <hyperlink r:id="rId235" ref="A251"/>
    <hyperlink r:id="rId236" ref="A253"/>
    <hyperlink r:id="rId237" ref="A254"/>
    <hyperlink r:id="rId238" ref="A255"/>
    <hyperlink r:id="rId239" ref="A256"/>
    <hyperlink r:id="rId240" ref="A257"/>
    <hyperlink r:id="rId241" ref="A258"/>
    <hyperlink r:id="rId242" ref="A259"/>
    <hyperlink r:id="rId243" ref="A260"/>
    <hyperlink r:id="rId244" ref="A261"/>
    <hyperlink r:id="rId245" ref="A262"/>
    <hyperlink r:id="rId246" ref="A263"/>
    <hyperlink r:id="rId247" ref="A264"/>
    <hyperlink r:id="rId248" ref="A265"/>
    <hyperlink r:id="rId249" ref="A266"/>
    <hyperlink r:id="rId250" ref="A267"/>
    <hyperlink r:id="rId251" ref="A268"/>
    <hyperlink r:id="rId252" ref="A269"/>
    <hyperlink r:id="rId253" ref="A270"/>
    <hyperlink r:id="rId254" ref="A271"/>
    <hyperlink r:id="rId255" ref="A272"/>
    <hyperlink r:id="rId256" ref="A273"/>
    <hyperlink r:id="rId257" ref="A274"/>
    <hyperlink r:id="rId258" ref="A275"/>
    <hyperlink r:id="rId259" ref="A276"/>
    <hyperlink r:id="rId260" ref="A277"/>
    <hyperlink r:id="rId261" ref="A278"/>
    <hyperlink r:id="rId262" ref="A279"/>
    <hyperlink r:id="rId263" ref="A280"/>
    <hyperlink r:id="rId264" ref="A281"/>
    <hyperlink r:id="rId265" ref="A283"/>
    <hyperlink r:id="rId266" ref="A284"/>
    <hyperlink r:id="rId267" ref="A285"/>
    <hyperlink r:id="rId268" ref="A286"/>
    <hyperlink r:id="rId269" ref="A287"/>
    <hyperlink r:id="rId270" ref="A289"/>
    <hyperlink r:id="rId271" ref="A290"/>
    <hyperlink r:id="rId272" ref="A291"/>
    <hyperlink r:id="rId273" ref="A292"/>
    <hyperlink r:id="rId274" ref="A293"/>
    <hyperlink r:id="rId275" ref="A294"/>
    <hyperlink r:id="rId276" ref="A295"/>
    <hyperlink r:id="rId277" ref="A296"/>
    <hyperlink r:id="rId278" ref="A297"/>
    <hyperlink r:id="rId279" ref="A298"/>
    <hyperlink r:id="rId280" ref="A299"/>
    <hyperlink r:id="rId281" ref="A300"/>
    <hyperlink r:id="rId282" ref="A301"/>
    <hyperlink r:id="rId283" ref="A302"/>
    <hyperlink r:id="rId284" ref="A303"/>
    <hyperlink r:id="rId285" ref="A304"/>
    <hyperlink r:id="rId286" ref="A305"/>
    <hyperlink r:id="rId287" ref="A306"/>
    <hyperlink r:id="rId288" ref="A308"/>
    <hyperlink r:id="rId289" ref="A309"/>
    <hyperlink r:id="rId290" ref="A310"/>
    <hyperlink r:id="rId291" ref="A311"/>
    <hyperlink r:id="rId292" ref="A312"/>
    <hyperlink r:id="rId293" ref="A313"/>
    <hyperlink r:id="rId294" ref="A314"/>
    <hyperlink r:id="rId295" ref="A315"/>
    <hyperlink r:id="rId296" ref="A316"/>
    <hyperlink r:id="rId297" ref="A317"/>
    <hyperlink r:id="rId298" ref="A318"/>
    <hyperlink r:id="rId299" ref="A319"/>
    <hyperlink r:id="rId300" ref="A320"/>
    <hyperlink r:id="rId301" ref="A321"/>
    <hyperlink r:id="rId302" ref="A322"/>
    <hyperlink r:id="rId303" ref="A323"/>
    <hyperlink r:id="rId304" ref="A324"/>
    <hyperlink r:id="rId305" ref="A326"/>
    <hyperlink r:id="rId306" ref="A327"/>
    <hyperlink r:id="rId307" ref="A328"/>
    <hyperlink r:id="rId308" ref="A329"/>
    <hyperlink r:id="rId309" ref="A330"/>
    <hyperlink r:id="rId310" ref="A331"/>
    <hyperlink r:id="rId311" ref="A332"/>
    <hyperlink r:id="rId312" ref="A333"/>
    <hyperlink r:id="rId313" ref="A334"/>
    <hyperlink r:id="rId314" ref="A335"/>
    <hyperlink r:id="rId315" ref="A336"/>
    <hyperlink r:id="rId316" ref="A337"/>
    <hyperlink r:id="rId317" ref="A338"/>
    <hyperlink r:id="rId318" ref="A339"/>
    <hyperlink r:id="rId319" ref="A340"/>
    <hyperlink r:id="rId320" ref="A341"/>
    <hyperlink r:id="rId321" ref="A342"/>
    <hyperlink r:id="rId322" ref="A343"/>
    <hyperlink r:id="rId323" ref="A344"/>
    <hyperlink r:id="rId324" ref="A345"/>
    <hyperlink r:id="rId325" ref="A346"/>
    <hyperlink r:id="rId326" ref="A347"/>
    <hyperlink r:id="rId327" ref="A348"/>
    <hyperlink r:id="rId328" ref="A349"/>
    <hyperlink r:id="rId329" ref="A350"/>
    <hyperlink r:id="rId330" ref="A351"/>
    <hyperlink r:id="rId331" ref="A353"/>
    <hyperlink r:id="rId332" ref="A354"/>
    <hyperlink r:id="rId333" ref="A355"/>
    <hyperlink r:id="rId334" ref="A357"/>
    <hyperlink r:id="rId335" ref="A358"/>
    <hyperlink r:id="rId336" ref="A359"/>
    <hyperlink r:id="rId337" ref="A360"/>
    <hyperlink r:id="rId338" ref="A361"/>
    <hyperlink r:id="rId339" ref="A362"/>
    <hyperlink r:id="rId340" ref="A363"/>
    <hyperlink r:id="rId341" ref="A364"/>
    <hyperlink r:id="rId342" ref="A365"/>
    <hyperlink r:id="rId343" ref="A366"/>
    <hyperlink r:id="rId344" ref="A367"/>
    <hyperlink r:id="rId345" ref="A368"/>
    <hyperlink r:id="rId346" ref="A369"/>
    <hyperlink r:id="rId347" ref="A370"/>
    <hyperlink r:id="rId348" ref="A371"/>
    <hyperlink r:id="rId349" ref="A372"/>
    <hyperlink r:id="rId350" ref="A374"/>
    <hyperlink r:id="rId351" ref="A375"/>
    <hyperlink r:id="rId352" ref="A376"/>
    <hyperlink r:id="rId353" ref="A378"/>
    <hyperlink r:id="rId354" ref="A379"/>
    <hyperlink r:id="rId355" ref="A380"/>
    <hyperlink r:id="rId356" ref="A381"/>
    <hyperlink r:id="rId357" ref="A382"/>
    <hyperlink r:id="rId358" ref="A383"/>
    <hyperlink r:id="rId359" ref="A384"/>
    <hyperlink r:id="rId360" ref="A385"/>
    <hyperlink r:id="rId361" ref="A386"/>
    <hyperlink r:id="rId362" ref="A387"/>
    <hyperlink r:id="rId363" ref="A388"/>
    <hyperlink r:id="rId364" ref="A389"/>
    <hyperlink r:id="rId365" ref="A390"/>
    <hyperlink r:id="rId366" ref="A391"/>
    <hyperlink r:id="rId367" ref="A392"/>
    <hyperlink r:id="rId368" ref="A393"/>
    <hyperlink r:id="rId369" ref="A394"/>
    <hyperlink r:id="rId370" ref="A395"/>
    <hyperlink r:id="rId371" ref="A396"/>
    <hyperlink r:id="rId372" ref="A397"/>
    <hyperlink r:id="rId373" ref="A398"/>
    <hyperlink r:id="rId374" ref="A399"/>
    <hyperlink r:id="rId375" ref="A401"/>
    <hyperlink r:id="rId376" ref="A402"/>
    <hyperlink r:id="rId377" ref="A403"/>
    <hyperlink r:id="rId378" ref="A404"/>
    <hyperlink r:id="rId379" ref="A405"/>
    <hyperlink r:id="rId380" ref="A406"/>
    <hyperlink r:id="rId381" ref="A407"/>
    <hyperlink r:id="rId382" ref="A409"/>
    <hyperlink r:id="rId383" ref="A410"/>
    <hyperlink r:id="rId384" ref="A411"/>
    <hyperlink r:id="rId385" ref="A412"/>
    <hyperlink r:id="rId386" ref="A413"/>
    <hyperlink r:id="rId387" ref="A414"/>
    <hyperlink r:id="rId388" ref="A415"/>
    <hyperlink r:id="rId389" ref="A416"/>
    <hyperlink r:id="rId390" ref="A417"/>
    <hyperlink r:id="rId391" ref="A418"/>
    <hyperlink r:id="rId392" ref="A419"/>
    <hyperlink r:id="rId393" ref="A420"/>
    <hyperlink r:id="rId394" ref="A421"/>
    <hyperlink r:id="rId395" ref="A422"/>
    <hyperlink r:id="rId396" ref="A423"/>
    <hyperlink r:id="rId397" ref="A426"/>
    <hyperlink r:id="rId398" ref="A427"/>
    <hyperlink r:id="rId399" ref="A428"/>
    <hyperlink r:id="rId400" ref="A429"/>
    <hyperlink r:id="rId401" ref="A430"/>
    <hyperlink r:id="rId402" ref="A431"/>
    <hyperlink r:id="rId403" ref="A432"/>
    <hyperlink r:id="rId404" ref="A433"/>
    <hyperlink r:id="rId405" ref="A434"/>
    <hyperlink r:id="rId406" ref="A435"/>
    <hyperlink r:id="rId407" ref="A436"/>
    <hyperlink r:id="rId408" ref="A437"/>
    <hyperlink r:id="rId409" ref="A438"/>
    <hyperlink r:id="rId410" ref="A439"/>
    <hyperlink r:id="rId411" ref="A440"/>
    <hyperlink r:id="rId412" ref="A442"/>
    <hyperlink r:id="rId413" ref="A443"/>
    <hyperlink r:id="rId414" ref="A444"/>
    <hyperlink r:id="rId415" ref="A446"/>
    <hyperlink r:id="rId416" ref="A447"/>
    <hyperlink r:id="rId417" ref="A448"/>
    <hyperlink r:id="rId418" ref="A449"/>
    <hyperlink r:id="rId419" ref="A450"/>
    <hyperlink r:id="rId420" ref="A451"/>
    <hyperlink r:id="rId421" ref="A452"/>
    <hyperlink r:id="rId422" ref="A453"/>
    <hyperlink r:id="rId423" ref="A454"/>
    <hyperlink r:id="rId424" ref="A455"/>
    <hyperlink r:id="rId425" ref="A456"/>
    <hyperlink r:id="rId426" ref="A457"/>
    <hyperlink r:id="rId427" ref="A458"/>
    <hyperlink r:id="rId428" ref="A459"/>
    <hyperlink r:id="rId429" ref="A460"/>
    <hyperlink r:id="rId430" ref="A461"/>
    <hyperlink r:id="rId431" ref="A462"/>
    <hyperlink r:id="rId432" ref="A463"/>
    <hyperlink r:id="rId433" ref="A464"/>
    <hyperlink r:id="rId434" ref="A465"/>
    <hyperlink r:id="rId435" ref="A466"/>
    <hyperlink r:id="rId436" ref="A467"/>
    <hyperlink r:id="rId437" ref="A468"/>
    <hyperlink r:id="rId438" ref="A469"/>
    <hyperlink r:id="rId439" ref="A470"/>
    <hyperlink r:id="rId440" ref="A471"/>
    <hyperlink r:id="rId441" ref="A472"/>
    <hyperlink r:id="rId442" ref="A473"/>
    <hyperlink r:id="rId443" ref="A474"/>
    <hyperlink r:id="rId444" ref="A475"/>
    <hyperlink r:id="rId445" ref="A476"/>
    <hyperlink r:id="rId446" ref="A477"/>
    <hyperlink r:id="rId447" ref="A478"/>
    <hyperlink r:id="rId448" ref="A479"/>
    <hyperlink r:id="rId449" ref="A480"/>
    <hyperlink r:id="rId450" ref="A481"/>
    <hyperlink r:id="rId451" ref="A482"/>
    <hyperlink r:id="rId452" ref="A483"/>
    <hyperlink r:id="rId453" ref="A484"/>
    <hyperlink r:id="rId454" ref="A485"/>
    <hyperlink r:id="rId455" ref="A486"/>
    <hyperlink r:id="rId456" ref="A487"/>
    <hyperlink r:id="rId457" ref="A489"/>
    <hyperlink r:id="rId458" ref="A490"/>
    <hyperlink r:id="rId459" ref="A491"/>
    <hyperlink r:id="rId460" ref="A492"/>
    <hyperlink r:id="rId461" ref="A493"/>
    <hyperlink r:id="rId462" ref="A494"/>
    <hyperlink r:id="rId463" ref="A495"/>
    <hyperlink r:id="rId464" ref="A497"/>
    <hyperlink r:id="rId465" ref="A498"/>
    <hyperlink r:id="rId466" ref="A499"/>
    <hyperlink r:id="rId467" ref="A500"/>
    <hyperlink r:id="rId468" ref="A501"/>
    <hyperlink r:id="rId469" ref="A502"/>
    <hyperlink r:id="rId470" ref="A503"/>
    <hyperlink r:id="rId471" ref="A504"/>
    <hyperlink r:id="rId472" ref="A505"/>
    <hyperlink r:id="rId473" ref="A506"/>
    <hyperlink r:id="rId474" ref="A507"/>
    <hyperlink r:id="rId475" ref="A508"/>
    <hyperlink r:id="rId476" ref="A509"/>
    <hyperlink r:id="rId477" ref="A511"/>
    <hyperlink r:id="rId478" ref="A512"/>
    <hyperlink r:id="rId479" ref="A513"/>
    <hyperlink r:id="rId480" ref="A514"/>
    <hyperlink r:id="rId481" ref="A515"/>
    <hyperlink r:id="rId482" ref="A516"/>
    <hyperlink r:id="rId483" ref="A517"/>
    <hyperlink r:id="rId484" ref="A518"/>
    <hyperlink r:id="rId485" ref="A519"/>
    <hyperlink r:id="rId486" ref="A520"/>
    <hyperlink r:id="rId487" ref="A521"/>
    <hyperlink r:id="rId488" ref="A522"/>
    <hyperlink r:id="rId489" ref="A523"/>
    <hyperlink r:id="rId490" ref="A524"/>
    <hyperlink r:id="rId491" ref="A525"/>
    <hyperlink r:id="rId492" ref="A526"/>
    <hyperlink r:id="rId493" ref="A527"/>
    <hyperlink r:id="rId494" ref="A528"/>
    <hyperlink r:id="rId495" ref="A529"/>
    <hyperlink r:id="rId496" ref="A530"/>
    <hyperlink r:id="rId497" ref="A531"/>
    <hyperlink r:id="rId498" ref="A532"/>
    <hyperlink r:id="rId499" ref="A533"/>
    <hyperlink r:id="rId500" ref="A535"/>
    <hyperlink r:id="rId501" ref="A536"/>
    <hyperlink r:id="rId502" ref="A537"/>
    <hyperlink r:id="rId503" ref="A538"/>
    <hyperlink r:id="rId504" ref="A539"/>
    <hyperlink r:id="rId505" ref="A540"/>
    <hyperlink r:id="rId506" ref="A542"/>
    <hyperlink r:id="rId507" ref="A544"/>
    <hyperlink r:id="rId508" ref="A545"/>
    <hyperlink r:id="rId509" ref="A546"/>
    <hyperlink r:id="rId510" ref="A547"/>
    <hyperlink r:id="rId511" ref="A548"/>
    <hyperlink r:id="rId512" ref="A549"/>
    <hyperlink r:id="rId513" ref="A550"/>
    <hyperlink r:id="rId514" ref="A551"/>
    <hyperlink r:id="rId515" ref="A552"/>
    <hyperlink r:id="rId516" ref="A553"/>
    <hyperlink r:id="rId517" ref="A554"/>
    <hyperlink r:id="rId518" ref="A555"/>
    <hyperlink r:id="rId519" ref="A556"/>
    <hyperlink r:id="rId520" ref="A557"/>
    <hyperlink r:id="rId521" ref="A558"/>
    <hyperlink r:id="rId522" ref="A559"/>
    <hyperlink r:id="rId523" ref="A560"/>
    <hyperlink r:id="rId524" ref="A561"/>
    <hyperlink r:id="rId525" ref="A562"/>
    <hyperlink r:id="rId526" ref="A563"/>
    <hyperlink r:id="rId527" ref="A564"/>
    <hyperlink r:id="rId528" ref="A565"/>
    <hyperlink r:id="rId529" ref="A566"/>
    <hyperlink r:id="rId530" ref="A567"/>
    <hyperlink r:id="rId531" ref="A568"/>
    <hyperlink r:id="rId532" ref="A569"/>
    <hyperlink r:id="rId533" ref="A570"/>
    <hyperlink r:id="rId534" ref="A571"/>
    <hyperlink r:id="rId535" ref="A573"/>
    <hyperlink r:id="rId536" ref="A574"/>
    <hyperlink r:id="rId537" ref="A575"/>
    <hyperlink r:id="rId538" ref="A576"/>
    <hyperlink r:id="rId539" ref="A577"/>
    <hyperlink r:id="rId540" ref="A578"/>
    <hyperlink r:id="rId541" ref="A579"/>
    <hyperlink r:id="rId542" ref="A581"/>
    <hyperlink r:id="rId543" ref="A582"/>
    <hyperlink r:id="rId544" ref="A583"/>
    <hyperlink r:id="rId545" ref="A584"/>
    <hyperlink r:id="rId546" ref="A585"/>
    <hyperlink r:id="rId547" ref="A586"/>
    <hyperlink r:id="rId548" ref="A587"/>
    <hyperlink r:id="rId549" ref="A588"/>
    <hyperlink r:id="rId550" ref="A589"/>
    <hyperlink r:id="rId551" ref="A590"/>
    <hyperlink r:id="rId552" ref="A591"/>
    <hyperlink r:id="rId553" ref="A592"/>
    <hyperlink r:id="rId554" ref="A593"/>
    <hyperlink r:id="rId555" ref="A594"/>
    <hyperlink r:id="rId556" ref="A595"/>
    <hyperlink r:id="rId557" ref="A596"/>
    <hyperlink r:id="rId558" ref="A597"/>
    <hyperlink r:id="rId559" ref="A598"/>
    <hyperlink r:id="rId560" ref="A599"/>
    <hyperlink r:id="rId561" ref="A600"/>
    <hyperlink r:id="rId562" ref="A601"/>
    <hyperlink r:id="rId563" ref="A602"/>
    <hyperlink r:id="rId564" ref="A603"/>
    <hyperlink r:id="rId565" ref="A604"/>
    <hyperlink r:id="rId566" ref="A605"/>
    <hyperlink r:id="rId567" ref="A606"/>
    <hyperlink r:id="rId568" ref="A607"/>
    <hyperlink r:id="rId569" ref="A608"/>
    <hyperlink r:id="rId570" ref="A609"/>
    <hyperlink r:id="rId571" ref="A610"/>
    <hyperlink r:id="rId572" ref="A611"/>
    <hyperlink r:id="rId573" ref="A612"/>
    <hyperlink r:id="rId574" ref="A613"/>
    <hyperlink r:id="rId575" ref="A614"/>
    <hyperlink r:id="rId576" ref="A615"/>
    <hyperlink r:id="rId577" ref="A616"/>
    <hyperlink r:id="rId578" ref="A617"/>
    <hyperlink r:id="rId579" ref="A618"/>
    <hyperlink r:id="rId580" ref="A619"/>
    <hyperlink r:id="rId581" ref="A620"/>
    <hyperlink r:id="rId582" ref="A621"/>
    <hyperlink r:id="rId583" ref="A622"/>
    <hyperlink r:id="rId584" ref="A623"/>
    <hyperlink r:id="rId585" ref="A624"/>
    <hyperlink r:id="rId586" ref="A625"/>
    <hyperlink r:id="rId587" ref="A626"/>
    <hyperlink r:id="rId588" ref="A627"/>
    <hyperlink r:id="rId589" ref="A628"/>
    <hyperlink r:id="rId590" ref="A629"/>
    <hyperlink r:id="rId591" ref="A630"/>
    <hyperlink r:id="rId592" ref="A631"/>
    <hyperlink r:id="rId593" ref="A632"/>
    <hyperlink r:id="rId594" ref="A633"/>
    <hyperlink r:id="rId595" ref="A634"/>
    <hyperlink r:id="rId596" ref="A635"/>
    <hyperlink r:id="rId597" ref="A636"/>
    <hyperlink r:id="rId598" ref="A637"/>
    <hyperlink r:id="rId599" ref="A638"/>
    <hyperlink r:id="rId600" ref="A639"/>
    <hyperlink r:id="rId601" ref="A640"/>
    <hyperlink r:id="rId602" ref="A641"/>
    <hyperlink r:id="rId603" ref="A642"/>
    <hyperlink r:id="rId604" ref="A644"/>
    <hyperlink r:id="rId605" ref="A645"/>
    <hyperlink r:id="rId606" ref="A646"/>
    <hyperlink r:id="rId607" ref="A647"/>
    <hyperlink r:id="rId608" ref="A648"/>
    <hyperlink r:id="rId609" ref="A649"/>
    <hyperlink r:id="rId610" ref="A650"/>
    <hyperlink r:id="rId611" ref="A651"/>
    <hyperlink r:id="rId612" ref="A652"/>
    <hyperlink r:id="rId613" ref="A653"/>
    <hyperlink r:id="rId614" ref="A654"/>
    <hyperlink r:id="rId615" ref="A655"/>
    <hyperlink r:id="rId616" ref="A656"/>
    <hyperlink r:id="rId617" ref="A657"/>
    <hyperlink r:id="rId618" ref="A658"/>
    <hyperlink r:id="rId619" ref="A659"/>
    <hyperlink r:id="rId620" ref="A660"/>
    <hyperlink r:id="rId621" ref="A661"/>
    <hyperlink r:id="rId622" ref="A662"/>
    <hyperlink r:id="rId623" ref="A663"/>
    <hyperlink r:id="rId624" ref="A664"/>
    <hyperlink r:id="rId625" ref="A665"/>
    <hyperlink r:id="rId626" ref="A666"/>
    <hyperlink r:id="rId627" ref="A667"/>
    <hyperlink r:id="rId628" ref="A668"/>
    <hyperlink r:id="rId629" ref="A669"/>
    <hyperlink r:id="rId630" ref="A670"/>
    <hyperlink r:id="rId631" ref="A671"/>
    <hyperlink r:id="rId632" ref="A672"/>
    <hyperlink r:id="rId633" ref="A673"/>
    <hyperlink r:id="rId634" ref="A674"/>
    <hyperlink r:id="rId635" ref="A675"/>
    <hyperlink r:id="rId636" ref="A676"/>
    <hyperlink r:id="rId637" ref="A678"/>
    <hyperlink r:id="rId638" ref="A679"/>
    <hyperlink r:id="rId639" ref="A680"/>
    <hyperlink r:id="rId640" ref="A681"/>
    <hyperlink r:id="rId641" ref="A682"/>
    <hyperlink r:id="rId642" ref="A683"/>
    <hyperlink r:id="rId643" ref="A684"/>
    <hyperlink r:id="rId644" ref="A685"/>
    <hyperlink r:id="rId645" ref="A686"/>
    <hyperlink r:id="rId646" ref="A687"/>
    <hyperlink r:id="rId647" ref="A688"/>
    <hyperlink r:id="rId648" ref="A689"/>
    <hyperlink r:id="rId649" ref="A690"/>
    <hyperlink r:id="rId650" ref="A691"/>
    <hyperlink r:id="rId651" ref="A692"/>
    <hyperlink r:id="rId652" ref="A693"/>
    <hyperlink r:id="rId653" ref="A694"/>
    <hyperlink r:id="rId654" ref="A695"/>
    <hyperlink r:id="rId655" ref="A696"/>
    <hyperlink r:id="rId656" ref="A697"/>
    <hyperlink r:id="rId657" ref="A698"/>
    <hyperlink r:id="rId658" ref="A699"/>
    <hyperlink r:id="rId659" ref="A701"/>
    <hyperlink r:id="rId660" ref="A704"/>
    <hyperlink r:id="rId661" ref="A705"/>
    <hyperlink r:id="rId662" ref="A706"/>
    <hyperlink r:id="rId663" ref="A707"/>
    <hyperlink r:id="rId664" ref="A708"/>
    <hyperlink r:id="rId665" ref="A709"/>
    <hyperlink r:id="rId666" ref="A710"/>
    <hyperlink r:id="rId667" ref="A711"/>
    <hyperlink r:id="rId668" ref="A712"/>
    <hyperlink r:id="rId669" ref="A713"/>
    <hyperlink r:id="rId670" ref="A714"/>
    <hyperlink r:id="rId671" ref="A715"/>
    <hyperlink r:id="rId672" ref="A716"/>
    <hyperlink r:id="rId673" ref="A717"/>
    <hyperlink r:id="rId674" ref="A718"/>
    <hyperlink r:id="rId675" ref="A719"/>
    <hyperlink r:id="rId676" ref="A720"/>
    <hyperlink r:id="rId677" ref="A721"/>
    <hyperlink r:id="rId678" ref="A722"/>
    <hyperlink r:id="rId679" ref="A723"/>
    <hyperlink r:id="rId680" ref="A724"/>
    <hyperlink r:id="rId681" ref="A725"/>
    <hyperlink r:id="rId682" ref="A726"/>
    <hyperlink r:id="rId683" ref="A727"/>
    <hyperlink r:id="rId684" ref="A728"/>
    <hyperlink r:id="rId685" ref="A729"/>
    <hyperlink r:id="rId686" ref="A730"/>
    <hyperlink r:id="rId687" ref="A732"/>
    <hyperlink r:id="rId688" ref="A733"/>
    <hyperlink r:id="rId689" ref="A734"/>
    <hyperlink r:id="rId690" ref="A735"/>
    <hyperlink r:id="rId691" ref="A736"/>
    <hyperlink r:id="rId692" ref="A737"/>
    <hyperlink r:id="rId693" ref="A738"/>
    <hyperlink r:id="rId694" ref="A739"/>
    <hyperlink r:id="rId695" ref="A740"/>
    <hyperlink r:id="rId696" ref="A741"/>
    <hyperlink r:id="rId697" ref="A742"/>
    <hyperlink r:id="rId698" ref="A743"/>
    <hyperlink r:id="rId699" ref="A744"/>
    <hyperlink r:id="rId700" ref="A745"/>
    <hyperlink r:id="rId701" ref="A746"/>
    <hyperlink r:id="rId702" ref="A747"/>
    <hyperlink r:id="rId703" ref="A748"/>
    <hyperlink r:id="rId704" ref="A749"/>
    <hyperlink r:id="rId705" ref="A750"/>
    <hyperlink r:id="rId706" ref="A751"/>
    <hyperlink r:id="rId707" ref="A752"/>
    <hyperlink r:id="rId708" ref="A753"/>
    <hyperlink r:id="rId709" ref="A754"/>
    <hyperlink r:id="rId710" ref="A755"/>
    <hyperlink r:id="rId711" ref="A756"/>
    <hyperlink r:id="rId712" ref="A757"/>
    <hyperlink r:id="rId713" ref="A758"/>
    <hyperlink r:id="rId714" ref="A759"/>
    <hyperlink r:id="rId715" ref="A760"/>
    <hyperlink r:id="rId716" ref="A761"/>
    <hyperlink r:id="rId717" ref="A762"/>
    <hyperlink r:id="rId718" ref="A763"/>
    <hyperlink r:id="rId719" ref="A764"/>
    <hyperlink r:id="rId720" ref="A766"/>
    <hyperlink r:id="rId721" ref="A767"/>
    <hyperlink r:id="rId722" ref="A768"/>
    <hyperlink r:id="rId723" ref="A769"/>
    <hyperlink r:id="rId724" ref="A770"/>
    <hyperlink r:id="rId725" ref="A771"/>
    <hyperlink r:id="rId726" ref="A772"/>
    <hyperlink r:id="rId727" ref="A773"/>
    <hyperlink r:id="rId728" ref="A774"/>
    <hyperlink r:id="rId729" ref="A775"/>
    <hyperlink r:id="rId730" ref="A776"/>
    <hyperlink r:id="rId731" ref="A777"/>
    <hyperlink r:id="rId732" ref="A779"/>
    <hyperlink r:id="rId733" ref="A780"/>
    <hyperlink r:id="rId734" ref="A781"/>
    <hyperlink r:id="rId735" ref="A782"/>
    <hyperlink r:id="rId736" ref="A783"/>
    <hyperlink r:id="rId737" ref="A784"/>
    <hyperlink r:id="rId738" ref="A785"/>
    <hyperlink r:id="rId739" ref="A786"/>
    <hyperlink r:id="rId740" ref="A787"/>
    <hyperlink r:id="rId741" ref="A788"/>
    <hyperlink r:id="rId742" ref="A789"/>
    <hyperlink r:id="rId743" ref="A790"/>
    <hyperlink r:id="rId744" ref="A791"/>
    <hyperlink r:id="rId745" ref="A792"/>
    <hyperlink r:id="rId746" ref="A793"/>
    <hyperlink r:id="rId747" ref="A794"/>
    <hyperlink r:id="rId748" ref="A795"/>
    <hyperlink r:id="rId749" ref="A796"/>
    <hyperlink r:id="rId750" ref="A797"/>
    <hyperlink r:id="rId751" ref="A798"/>
    <hyperlink r:id="rId752" ref="A799"/>
    <hyperlink r:id="rId753" ref="A800"/>
    <hyperlink r:id="rId754" ref="A801"/>
    <hyperlink r:id="rId755" ref="A802"/>
    <hyperlink r:id="rId756" ref="A803"/>
    <hyperlink r:id="rId757" ref="A804"/>
    <hyperlink r:id="rId758" ref="A805"/>
    <hyperlink r:id="rId759" ref="A806"/>
    <hyperlink r:id="rId760" ref="A807"/>
    <hyperlink r:id="rId761" ref="A808"/>
    <hyperlink r:id="rId762" ref="A809"/>
    <hyperlink r:id="rId763" ref="A810"/>
    <hyperlink r:id="rId764" ref="A811"/>
    <hyperlink r:id="rId765" ref="A812"/>
    <hyperlink r:id="rId766" ref="A813"/>
    <hyperlink r:id="rId767" ref="A814"/>
    <hyperlink r:id="rId768" ref="A815"/>
    <hyperlink r:id="rId769" ref="A816"/>
    <hyperlink r:id="rId770" ref="A818"/>
    <hyperlink r:id="rId771" ref="A820"/>
    <hyperlink r:id="rId772" ref="A821"/>
    <hyperlink r:id="rId773" ref="A822"/>
    <hyperlink r:id="rId774" ref="A824"/>
    <hyperlink r:id="rId775" ref="A825"/>
    <hyperlink r:id="rId776" ref="A826"/>
    <hyperlink r:id="rId777" ref="A827"/>
    <hyperlink r:id="rId778" ref="A828"/>
    <hyperlink r:id="rId779" ref="A829"/>
    <hyperlink r:id="rId780" ref="A830"/>
    <hyperlink r:id="rId781" ref="A831"/>
    <hyperlink r:id="rId782" ref="A832"/>
    <hyperlink r:id="rId783" ref="A833"/>
    <hyperlink r:id="rId784" ref="A834"/>
    <hyperlink r:id="rId785" ref="A835"/>
    <hyperlink r:id="rId786" ref="A836"/>
  </hyperlinks>
  <drawing r:id="rId7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2" t="s">
        <v>1</v>
      </c>
      <c r="B1" s="2" t="s">
        <v>0</v>
      </c>
      <c r="C1" s="2" t="s">
        <v>8</v>
      </c>
      <c r="D1" s="2" t="s">
        <v>10</v>
      </c>
      <c r="E1" s="2" t="s">
        <v>5</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2" t="s">
        <v>16</v>
      </c>
      <c r="B2" s="13" t="s">
        <v>20</v>
      </c>
      <c r="C2" s="14" t="s">
        <v>23</v>
      </c>
      <c r="D2" s="14" t="s">
        <v>25</v>
      </c>
      <c r="E2" s="14" t="s">
        <v>26</v>
      </c>
      <c r="F2" s="9" t="s">
        <v>27</v>
      </c>
      <c r="G2" s="9" t="b">
        <v>0</v>
      </c>
      <c r="H2" s="9" t="s">
        <v>28</v>
      </c>
      <c r="I2" s="9">
        <v>97.0</v>
      </c>
      <c r="J2" s="9">
        <v>0.09</v>
      </c>
      <c r="K2" s="9">
        <v>0.05</v>
      </c>
    </row>
    <row r="3" ht="15.75" customHeight="1">
      <c r="A3" s="7" t="s">
        <v>30</v>
      </c>
      <c r="B3" s="13" t="s">
        <v>32</v>
      </c>
      <c r="C3" s="14" t="s">
        <v>34</v>
      </c>
      <c r="D3" s="14" t="s">
        <v>35</v>
      </c>
      <c r="E3" s="14" t="s">
        <v>36</v>
      </c>
      <c r="F3" s="9" t="s">
        <v>37</v>
      </c>
      <c r="G3" s="9" t="b">
        <v>0</v>
      </c>
      <c r="H3" s="9" t="s">
        <v>38</v>
      </c>
      <c r="I3" s="9">
        <v>84.0</v>
      </c>
      <c r="J3" s="9">
        <v>0.08</v>
      </c>
      <c r="K3" s="9">
        <v>1.94</v>
      </c>
    </row>
    <row r="4" ht="15.75" customHeight="1">
      <c r="A4" s="7" t="s">
        <v>41</v>
      </c>
      <c r="B4" s="13" t="s">
        <v>43</v>
      </c>
      <c r="C4" s="14" t="s">
        <v>34</v>
      </c>
      <c r="D4" s="14" t="s">
        <v>46</v>
      </c>
      <c r="E4" s="14" t="s">
        <v>47</v>
      </c>
      <c r="F4" s="9" t="s">
        <v>37</v>
      </c>
      <c r="G4" s="9" t="b">
        <v>0</v>
      </c>
      <c r="H4" s="9" t="s">
        <v>48</v>
      </c>
      <c r="I4" s="9">
        <v>84.0</v>
      </c>
      <c r="J4" s="9">
        <v>0.08</v>
      </c>
      <c r="K4" s="9">
        <v>1.11</v>
      </c>
    </row>
    <row r="5" ht="15.75" customHeight="1">
      <c r="A5" s="7" t="s">
        <v>49</v>
      </c>
      <c r="B5" s="13" t="s">
        <v>52</v>
      </c>
      <c r="C5" s="14" t="s">
        <v>34</v>
      </c>
      <c r="D5" s="14" t="s">
        <v>46</v>
      </c>
      <c r="E5" s="14" t="s">
        <v>55</v>
      </c>
      <c r="F5" s="9" t="s">
        <v>37</v>
      </c>
      <c r="G5" s="9" t="b">
        <v>0</v>
      </c>
      <c r="H5" s="9" t="s">
        <v>56</v>
      </c>
      <c r="I5" s="9">
        <v>80.0</v>
      </c>
      <c r="J5" s="9">
        <v>0.07</v>
      </c>
      <c r="K5" s="9">
        <v>1.39</v>
      </c>
    </row>
    <row r="6" ht="15.75" customHeight="1">
      <c r="A6" s="7" t="s">
        <v>57</v>
      </c>
      <c r="B6" s="13" t="s">
        <v>33</v>
      </c>
      <c r="C6" s="14" t="s">
        <v>61</v>
      </c>
      <c r="D6" s="14" t="s">
        <v>62</v>
      </c>
      <c r="E6" s="14" t="s">
        <v>63</v>
      </c>
      <c r="F6" s="9" t="s">
        <v>64</v>
      </c>
      <c r="G6" s="9" t="b">
        <v>0</v>
      </c>
      <c r="H6" s="9" t="s">
        <v>65</v>
      </c>
      <c r="I6" s="9">
        <v>66.0</v>
      </c>
      <c r="J6" s="9">
        <v>0.06</v>
      </c>
      <c r="K6" s="9">
        <v>0.14</v>
      </c>
    </row>
    <row r="7" ht="15.75" customHeight="1">
      <c r="A7" s="7" t="s">
        <v>68</v>
      </c>
      <c r="B7" s="13" t="s">
        <v>51</v>
      </c>
      <c r="C7" s="14" t="s">
        <v>34</v>
      </c>
      <c r="D7" s="14" t="s">
        <v>35</v>
      </c>
      <c r="E7" s="14" t="s">
        <v>73</v>
      </c>
      <c r="F7" s="9" t="s">
        <v>37</v>
      </c>
      <c r="G7" s="9" t="b">
        <v>0</v>
      </c>
      <c r="H7" s="9" t="s">
        <v>74</v>
      </c>
      <c r="I7" s="9">
        <v>66.0</v>
      </c>
      <c r="J7" s="9">
        <v>0.06</v>
      </c>
      <c r="K7" s="9">
        <v>1.42</v>
      </c>
    </row>
    <row r="8" ht="15.75" customHeight="1">
      <c r="A8" s="7" t="s">
        <v>76</v>
      </c>
      <c r="B8" s="13" t="s">
        <v>77</v>
      </c>
      <c r="C8" s="14" t="s">
        <v>34</v>
      </c>
      <c r="D8" s="14" t="s">
        <v>35</v>
      </c>
      <c r="E8" s="14" t="s">
        <v>80</v>
      </c>
      <c r="F8" s="9" t="s">
        <v>37</v>
      </c>
      <c r="G8" s="9" t="b">
        <v>0</v>
      </c>
      <c r="H8" s="9" t="s">
        <v>81</v>
      </c>
      <c r="I8" s="9">
        <v>66.0</v>
      </c>
      <c r="J8" s="9">
        <v>0.06</v>
      </c>
      <c r="K8" s="9">
        <v>3.74</v>
      </c>
    </row>
    <row r="9" ht="15.75" customHeight="1">
      <c r="A9" s="7" t="s">
        <v>83</v>
      </c>
      <c r="B9" s="13" t="s">
        <v>42</v>
      </c>
      <c r="C9" s="14" t="s">
        <v>34</v>
      </c>
      <c r="D9" s="14" t="s">
        <v>35</v>
      </c>
      <c r="E9" s="14" t="s">
        <v>89</v>
      </c>
      <c r="F9" s="9" t="s">
        <v>37</v>
      </c>
      <c r="G9" s="9" t="b">
        <v>0</v>
      </c>
      <c r="H9" s="9" t="s">
        <v>91</v>
      </c>
      <c r="I9" s="9">
        <v>64.0</v>
      </c>
      <c r="J9" s="9">
        <v>0.06</v>
      </c>
      <c r="K9" s="9">
        <v>1.34</v>
      </c>
    </row>
    <row r="10" ht="15.75" customHeight="1">
      <c r="A10" s="7" t="s">
        <v>92</v>
      </c>
      <c r="B10" s="13" t="s">
        <v>19</v>
      </c>
      <c r="C10" s="14" t="s">
        <v>23</v>
      </c>
      <c r="D10" s="14" t="s">
        <v>46</v>
      </c>
      <c r="E10" s="14" t="s">
        <v>96</v>
      </c>
      <c r="F10" s="9" t="s">
        <v>27</v>
      </c>
      <c r="G10" s="9" t="b">
        <v>0</v>
      </c>
      <c r="H10" s="9" t="s">
        <v>97</v>
      </c>
      <c r="I10" s="9">
        <v>60.0</v>
      </c>
      <c r="J10" s="9">
        <v>0.06</v>
      </c>
      <c r="K10" s="9">
        <v>0.85</v>
      </c>
    </row>
    <row r="11" ht="15.75" customHeight="1">
      <c r="A11" s="7" t="s">
        <v>99</v>
      </c>
      <c r="B11" s="13" t="s">
        <v>19</v>
      </c>
      <c r="C11" s="14" t="s">
        <v>23</v>
      </c>
      <c r="D11" s="14" t="s">
        <v>46</v>
      </c>
      <c r="E11" s="14" t="s">
        <v>101</v>
      </c>
      <c r="F11" s="9" t="s">
        <v>27</v>
      </c>
      <c r="G11" s="9" t="b">
        <v>0</v>
      </c>
      <c r="H11" s="9" t="s">
        <v>102</v>
      </c>
      <c r="I11" s="9">
        <v>53.0</v>
      </c>
      <c r="J11" s="9">
        <v>0.05</v>
      </c>
      <c r="K11" s="9">
        <v>1.3</v>
      </c>
    </row>
    <row r="12" ht="15.75" customHeight="1">
      <c r="A12" s="7" t="s">
        <v>104</v>
      </c>
      <c r="B12" s="14" t="s">
        <v>106</v>
      </c>
      <c r="C12" s="14" t="s">
        <v>34</v>
      </c>
      <c r="D12" s="14" t="s">
        <v>46</v>
      </c>
      <c r="E12" s="14" t="s">
        <v>107</v>
      </c>
      <c r="F12" s="9" t="s">
        <v>37</v>
      </c>
      <c r="G12" s="9" t="b">
        <v>0</v>
      </c>
      <c r="H12" s="9" t="s">
        <v>108</v>
      </c>
      <c r="I12" s="9">
        <v>52.0</v>
      </c>
      <c r="J12" s="9">
        <v>0.05</v>
      </c>
      <c r="K12" s="9">
        <v>1.35</v>
      </c>
    </row>
    <row r="13" ht="15.75" customHeight="1">
      <c r="A13" s="7" t="s">
        <v>109</v>
      </c>
      <c r="B13" s="13" t="s">
        <v>22</v>
      </c>
      <c r="C13" s="14" t="s">
        <v>61</v>
      </c>
      <c r="D13" s="14" t="s">
        <v>46</v>
      </c>
      <c r="E13" s="14" t="s">
        <v>112</v>
      </c>
      <c r="F13" s="9" t="s">
        <v>64</v>
      </c>
      <c r="G13" s="9" t="b">
        <v>0</v>
      </c>
      <c r="H13" s="9" t="s">
        <v>113</v>
      </c>
      <c r="I13" s="9">
        <v>47.0</v>
      </c>
      <c r="J13" s="9">
        <v>0.04</v>
      </c>
      <c r="K13" s="9">
        <v>0.36</v>
      </c>
    </row>
    <row r="14" ht="15.75" customHeight="1">
      <c r="A14" s="7" t="s">
        <v>114</v>
      </c>
      <c r="B14" s="13" t="s">
        <v>15</v>
      </c>
      <c r="C14" s="14" t="s">
        <v>23</v>
      </c>
      <c r="D14" s="14" t="s">
        <v>46</v>
      </c>
      <c r="E14" s="14" t="s">
        <v>119</v>
      </c>
      <c r="F14" s="9" t="s">
        <v>27</v>
      </c>
      <c r="G14" s="9" t="b">
        <v>0</v>
      </c>
      <c r="H14" s="9" t="s">
        <v>120</v>
      </c>
      <c r="I14" s="9">
        <v>47.0</v>
      </c>
      <c r="J14" s="9">
        <v>0.04</v>
      </c>
      <c r="K14" s="9">
        <v>1.0</v>
      </c>
    </row>
    <row r="15" ht="15.75" customHeight="1">
      <c r="A15" s="7" t="s">
        <v>122</v>
      </c>
      <c r="B15" s="13" t="s">
        <v>29</v>
      </c>
      <c r="C15" s="14" t="s">
        <v>34</v>
      </c>
      <c r="D15" s="14" t="s">
        <v>46</v>
      </c>
      <c r="E15" s="14" t="s">
        <v>129</v>
      </c>
      <c r="F15" s="9" t="s">
        <v>37</v>
      </c>
      <c r="G15" s="9" t="b">
        <v>0</v>
      </c>
      <c r="H15" s="9" t="s">
        <v>130</v>
      </c>
      <c r="I15" s="9">
        <v>45.0</v>
      </c>
      <c r="J15" s="9">
        <v>0.04</v>
      </c>
      <c r="K15" s="9">
        <v>1.89</v>
      </c>
    </row>
    <row r="16" ht="15.75" customHeight="1">
      <c r="A16" s="7" t="s">
        <v>132</v>
      </c>
      <c r="B16" s="13" t="s">
        <v>15</v>
      </c>
      <c r="C16" s="14" t="s">
        <v>23</v>
      </c>
      <c r="D16" s="14" t="s">
        <v>46</v>
      </c>
      <c r="E16" s="14" t="s">
        <v>136</v>
      </c>
      <c r="F16" s="9" t="s">
        <v>27</v>
      </c>
      <c r="G16" s="9" t="b">
        <v>0</v>
      </c>
      <c r="H16" s="9" t="s">
        <v>138</v>
      </c>
      <c r="I16" s="9">
        <v>43.0</v>
      </c>
      <c r="J16" s="9">
        <v>0.04</v>
      </c>
      <c r="K16" s="9">
        <v>0.93</v>
      </c>
    </row>
    <row r="17" ht="15.75" customHeight="1">
      <c r="A17" s="7" t="s">
        <v>140</v>
      </c>
      <c r="B17" s="13" t="s">
        <v>67</v>
      </c>
      <c r="C17" s="14" t="s">
        <v>144</v>
      </c>
      <c r="D17" s="14" t="s">
        <v>46</v>
      </c>
      <c r="E17" s="14" t="s">
        <v>146</v>
      </c>
      <c r="F17" s="9" t="s">
        <v>147</v>
      </c>
      <c r="G17" s="9" t="b">
        <v>0</v>
      </c>
      <c r="H17" s="9" t="s">
        <v>148</v>
      </c>
      <c r="I17" s="9">
        <v>41.0</v>
      </c>
      <c r="J17" s="9">
        <v>0.04</v>
      </c>
      <c r="K17" s="9">
        <v>0.85</v>
      </c>
    </row>
    <row r="18" ht="15.75" customHeight="1">
      <c r="A18" s="7" t="s">
        <v>149</v>
      </c>
      <c r="B18" s="13" t="s">
        <v>29</v>
      </c>
      <c r="C18" s="14" t="s">
        <v>34</v>
      </c>
      <c r="D18" s="14" t="s">
        <v>46</v>
      </c>
      <c r="E18" s="14" t="s">
        <v>152</v>
      </c>
      <c r="F18" s="9" t="s">
        <v>37</v>
      </c>
      <c r="G18" s="9" t="b">
        <v>0</v>
      </c>
      <c r="H18" s="9" t="s">
        <v>153</v>
      </c>
      <c r="I18" s="9">
        <v>40.0</v>
      </c>
      <c r="J18" s="9">
        <v>0.04</v>
      </c>
      <c r="K18" s="9">
        <v>0.78</v>
      </c>
    </row>
    <row r="19" ht="15.75" customHeight="1">
      <c r="A19" s="7" t="s">
        <v>154</v>
      </c>
      <c r="B19" s="13" t="s">
        <v>33</v>
      </c>
      <c r="C19" s="14" t="s">
        <v>23</v>
      </c>
      <c r="D19" s="14" t="s">
        <v>62</v>
      </c>
      <c r="E19" s="14" t="s">
        <v>156</v>
      </c>
      <c r="F19" s="9" t="s">
        <v>27</v>
      </c>
      <c r="G19" s="9" t="b">
        <v>0</v>
      </c>
      <c r="H19" s="9" t="s">
        <v>157</v>
      </c>
      <c r="I19" s="9">
        <v>40.0</v>
      </c>
      <c r="J19" s="9">
        <v>0.04</v>
      </c>
      <c r="K19" s="9">
        <v>0.28</v>
      </c>
    </row>
    <row r="20" ht="15.75" customHeight="1">
      <c r="A20" s="7" t="s">
        <v>159</v>
      </c>
      <c r="B20" s="13" t="s">
        <v>15</v>
      </c>
      <c r="C20" s="14" t="s">
        <v>23</v>
      </c>
      <c r="D20" s="14" t="s">
        <v>46</v>
      </c>
      <c r="E20" s="14" t="s">
        <v>163</v>
      </c>
      <c r="F20" s="9" t="s">
        <v>27</v>
      </c>
      <c r="G20" s="9" t="b">
        <v>0</v>
      </c>
      <c r="H20" s="9" t="s">
        <v>138</v>
      </c>
      <c r="I20" s="9">
        <v>40.0</v>
      </c>
      <c r="J20" s="9">
        <v>0.04</v>
      </c>
      <c r="K20" s="9">
        <v>0.63</v>
      </c>
    </row>
    <row r="21" ht="15.75" customHeight="1">
      <c r="A21" s="7" t="s">
        <v>164</v>
      </c>
      <c r="B21" s="13" t="s">
        <v>151</v>
      </c>
      <c r="C21" s="14" t="s">
        <v>169</v>
      </c>
      <c r="D21" s="14" t="s">
        <v>46</v>
      </c>
      <c r="E21" s="15"/>
      <c r="F21" s="9" t="s">
        <v>94</v>
      </c>
      <c r="H21" s="9" t="s">
        <v>172</v>
      </c>
      <c r="I21" s="9">
        <v>39.0</v>
      </c>
      <c r="J21" s="9">
        <v>0.04</v>
      </c>
      <c r="K21" s="9">
        <v>0.69</v>
      </c>
    </row>
    <row r="22" ht="15.75" customHeight="1">
      <c r="A22" s="7" t="s">
        <v>173</v>
      </c>
      <c r="B22" s="13" t="s">
        <v>67</v>
      </c>
      <c r="C22" s="14" t="s">
        <v>34</v>
      </c>
      <c r="D22" s="14" t="s">
        <v>46</v>
      </c>
      <c r="E22" s="14" t="s">
        <v>176</v>
      </c>
      <c r="F22" s="9" t="s">
        <v>37</v>
      </c>
      <c r="G22" s="9" t="b">
        <v>0</v>
      </c>
      <c r="H22" s="9" t="s">
        <v>177</v>
      </c>
      <c r="I22" s="9">
        <v>37.0</v>
      </c>
      <c r="J22" s="9">
        <v>0.03</v>
      </c>
      <c r="K22" s="9">
        <v>0.76</v>
      </c>
    </row>
    <row r="23" ht="15.75" customHeight="1">
      <c r="A23" s="7" t="s">
        <v>178</v>
      </c>
      <c r="B23" s="13" t="s">
        <v>70</v>
      </c>
      <c r="C23" s="14" t="s">
        <v>34</v>
      </c>
      <c r="D23" s="14" t="s">
        <v>46</v>
      </c>
      <c r="E23" s="14" t="s">
        <v>184</v>
      </c>
      <c r="F23" s="9" t="s">
        <v>37</v>
      </c>
      <c r="G23" s="9" t="b">
        <v>0</v>
      </c>
      <c r="H23" s="9" t="s">
        <v>186</v>
      </c>
      <c r="I23" s="9">
        <v>37.0</v>
      </c>
      <c r="J23" s="9">
        <v>0.03</v>
      </c>
      <c r="K23" s="9">
        <v>0.84</v>
      </c>
    </row>
    <row r="24" ht="15.75" customHeight="1">
      <c r="A24" s="7" t="s">
        <v>187</v>
      </c>
      <c r="B24" s="13" t="s">
        <v>51</v>
      </c>
      <c r="C24" s="14" t="s">
        <v>34</v>
      </c>
      <c r="D24" s="14" t="s">
        <v>35</v>
      </c>
      <c r="E24" s="14" t="s">
        <v>190</v>
      </c>
      <c r="F24" s="9" t="s">
        <v>37</v>
      </c>
      <c r="G24" s="9" t="b">
        <v>0</v>
      </c>
      <c r="H24" s="9" t="s">
        <v>191</v>
      </c>
      <c r="I24" s="9">
        <v>37.0</v>
      </c>
      <c r="J24" s="9">
        <v>0.03</v>
      </c>
      <c r="K24" s="9">
        <v>1.49</v>
      </c>
    </row>
    <row r="25" ht="15.75" customHeight="1">
      <c r="A25" s="7" t="s">
        <v>192</v>
      </c>
      <c r="B25" s="13" t="s">
        <v>103</v>
      </c>
      <c r="C25" s="14" t="s">
        <v>34</v>
      </c>
      <c r="D25" s="14" t="s">
        <v>46</v>
      </c>
      <c r="E25" s="14" t="s">
        <v>196</v>
      </c>
      <c r="F25" s="9" t="s">
        <v>37</v>
      </c>
      <c r="G25" s="9" t="b">
        <v>0</v>
      </c>
      <c r="H25" s="9" t="s">
        <v>197</v>
      </c>
      <c r="I25" s="9">
        <v>37.0</v>
      </c>
      <c r="J25" s="9">
        <v>0.03</v>
      </c>
      <c r="K25" s="9">
        <v>0.92</v>
      </c>
    </row>
    <row r="26" ht="15.75" customHeight="1">
      <c r="A26" s="7" t="s">
        <v>198</v>
      </c>
      <c r="B26" s="13" t="s">
        <v>155</v>
      </c>
      <c r="C26" s="14" t="s">
        <v>34</v>
      </c>
      <c r="D26" s="14" t="s">
        <v>46</v>
      </c>
      <c r="E26" s="14" t="s">
        <v>204</v>
      </c>
      <c r="F26" s="9" t="s">
        <v>37</v>
      </c>
      <c r="G26" s="9" t="b">
        <v>0</v>
      </c>
      <c r="H26" s="9" t="s">
        <v>205</v>
      </c>
      <c r="I26" s="9">
        <v>37.0</v>
      </c>
      <c r="J26" s="9">
        <v>0.03</v>
      </c>
      <c r="K26" s="9">
        <v>1.54</v>
      </c>
    </row>
    <row r="27" ht="15.75" customHeight="1">
      <c r="A27" s="7" t="s">
        <v>207</v>
      </c>
      <c r="B27" s="13" t="s">
        <v>79</v>
      </c>
      <c r="C27" s="14" t="s">
        <v>34</v>
      </c>
      <c r="D27" s="14" t="s">
        <v>35</v>
      </c>
      <c r="E27" s="14" t="s">
        <v>212</v>
      </c>
      <c r="F27" s="9" t="s">
        <v>37</v>
      </c>
      <c r="G27" s="9" t="b">
        <v>0</v>
      </c>
      <c r="H27" s="9" t="s">
        <v>214</v>
      </c>
      <c r="I27" s="9">
        <v>36.0</v>
      </c>
      <c r="J27" s="9">
        <v>0.03</v>
      </c>
      <c r="K27" s="9">
        <v>1.11</v>
      </c>
    </row>
    <row r="28" ht="15.75" customHeight="1">
      <c r="A28" s="7" t="s">
        <v>216</v>
      </c>
      <c r="B28" s="13" t="s">
        <v>93</v>
      </c>
      <c r="C28" s="14" t="s">
        <v>34</v>
      </c>
      <c r="D28" s="14" t="s">
        <v>169</v>
      </c>
      <c r="E28" s="14" t="s">
        <v>222</v>
      </c>
      <c r="F28" s="9" t="s">
        <v>37</v>
      </c>
      <c r="G28" s="9" t="b">
        <v>0</v>
      </c>
      <c r="H28" s="9" t="s">
        <v>223</v>
      </c>
      <c r="I28" s="9">
        <v>36.0</v>
      </c>
      <c r="J28" s="9">
        <v>0.03</v>
      </c>
      <c r="K28" s="9">
        <v>1.42</v>
      </c>
    </row>
    <row r="29" ht="15.75" customHeight="1">
      <c r="A29" s="7" t="s">
        <v>225</v>
      </c>
      <c r="B29" s="13" t="s">
        <v>77</v>
      </c>
      <c r="C29" s="14" t="s">
        <v>34</v>
      </c>
      <c r="D29" s="14" t="s">
        <v>35</v>
      </c>
      <c r="E29" s="14" t="s">
        <v>228</v>
      </c>
      <c r="F29" s="9" t="s">
        <v>37</v>
      </c>
      <c r="G29" s="9" t="b">
        <v>0</v>
      </c>
      <c r="H29" s="9" t="s">
        <v>230</v>
      </c>
      <c r="I29" s="9">
        <v>35.0</v>
      </c>
      <c r="J29" s="9">
        <v>0.03</v>
      </c>
      <c r="K29" s="9">
        <v>1.77</v>
      </c>
    </row>
    <row r="30" ht="15.75" customHeight="1">
      <c r="A30" s="7" t="s">
        <v>231</v>
      </c>
      <c r="B30" s="13" t="s">
        <v>88</v>
      </c>
      <c r="C30" s="14" t="s">
        <v>235</v>
      </c>
      <c r="D30" s="14" t="s">
        <v>25</v>
      </c>
      <c r="E30" s="14" t="s">
        <v>236</v>
      </c>
      <c r="F30" s="9" t="s">
        <v>237</v>
      </c>
      <c r="G30" s="9" t="b">
        <v>0</v>
      </c>
      <c r="H30" s="9" t="s">
        <v>238</v>
      </c>
      <c r="I30" s="9">
        <v>35.0</v>
      </c>
      <c r="J30" s="9">
        <v>0.03</v>
      </c>
      <c r="K30" s="9">
        <v>1.09</v>
      </c>
    </row>
    <row r="31" ht="15.75" customHeight="1">
      <c r="A31" s="7" t="s">
        <v>239</v>
      </c>
      <c r="B31" s="13" t="s">
        <v>15</v>
      </c>
      <c r="C31" s="14" t="s">
        <v>23</v>
      </c>
      <c r="D31" s="14" t="s">
        <v>46</v>
      </c>
      <c r="E31" s="14" t="s">
        <v>242</v>
      </c>
      <c r="F31" s="9" t="s">
        <v>27</v>
      </c>
      <c r="G31" s="9" t="b">
        <v>0</v>
      </c>
      <c r="H31" s="9" t="s">
        <v>243</v>
      </c>
      <c r="I31" s="9">
        <v>35.0</v>
      </c>
      <c r="J31" s="9">
        <v>0.03</v>
      </c>
      <c r="K31" s="9">
        <v>0.86</v>
      </c>
    </row>
    <row r="32" ht="15.75" customHeight="1">
      <c r="A32" s="7" t="s">
        <v>245</v>
      </c>
      <c r="B32" s="13" t="s">
        <v>15</v>
      </c>
      <c r="C32" s="14" t="s">
        <v>23</v>
      </c>
      <c r="D32" s="14" t="s">
        <v>46</v>
      </c>
      <c r="E32" s="14" t="s">
        <v>248</v>
      </c>
      <c r="F32" s="9" t="s">
        <v>27</v>
      </c>
      <c r="G32" s="9" t="b">
        <v>0</v>
      </c>
      <c r="H32" s="9" t="s">
        <v>250</v>
      </c>
      <c r="I32" s="9">
        <v>34.0</v>
      </c>
      <c r="J32" s="9">
        <v>0.03</v>
      </c>
      <c r="K32" s="9">
        <v>0.94</v>
      </c>
    </row>
    <row r="33" ht="15.75" customHeight="1">
      <c r="A33" s="7" t="s">
        <v>251</v>
      </c>
      <c r="B33" s="13" t="s">
        <v>42</v>
      </c>
      <c r="C33" s="14" t="s">
        <v>34</v>
      </c>
      <c r="D33" s="14" t="s">
        <v>35</v>
      </c>
      <c r="E33" s="14" t="s">
        <v>255</v>
      </c>
      <c r="F33" s="9" t="s">
        <v>37</v>
      </c>
      <c r="G33" s="9" t="b">
        <v>0</v>
      </c>
      <c r="H33" s="9" t="s">
        <v>256</v>
      </c>
      <c r="I33" s="9">
        <v>33.0</v>
      </c>
      <c r="J33" s="9">
        <v>0.03</v>
      </c>
      <c r="K33" s="9">
        <v>0.94</v>
      </c>
    </row>
    <row r="34" ht="15.75" customHeight="1">
      <c r="A34" s="7" t="s">
        <v>257</v>
      </c>
      <c r="B34" s="13" t="s">
        <v>116</v>
      </c>
      <c r="C34" s="14" t="s">
        <v>34</v>
      </c>
      <c r="D34" s="14" t="s">
        <v>46</v>
      </c>
      <c r="E34" s="14" t="s">
        <v>263</v>
      </c>
      <c r="F34" s="9" t="s">
        <v>37</v>
      </c>
      <c r="G34" s="9" t="b">
        <v>0</v>
      </c>
      <c r="H34" s="9" t="s">
        <v>265</v>
      </c>
      <c r="I34" s="9">
        <v>33.0</v>
      </c>
      <c r="J34" s="9">
        <v>0.03</v>
      </c>
      <c r="K34" s="9">
        <v>1.61</v>
      </c>
    </row>
    <row r="35" ht="15.75" customHeight="1">
      <c r="A35" s="7" t="s">
        <v>266</v>
      </c>
      <c r="B35" s="13" t="s">
        <v>123</v>
      </c>
      <c r="C35" s="14" t="s">
        <v>34</v>
      </c>
      <c r="D35" s="14" t="s">
        <v>270</v>
      </c>
      <c r="E35" s="14" t="s">
        <v>271</v>
      </c>
      <c r="F35" s="9" t="s">
        <v>37</v>
      </c>
      <c r="G35" s="9" t="b">
        <v>0</v>
      </c>
      <c r="H35" s="9" t="s">
        <v>272</v>
      </c>
      <c r="I35" s="9">
        <v>33.0</v>
      </c>
      <c r="J35" s="9">
        <v>0.03</v>
      </c>
      <c r="K35" s="9">
        <v>1.33</v>
      </c>
    </row>
    <row r="36" ht="15.75" customHeight="1">
      <c r="A36" s="7" t="s">
        <v>275</v>
      </c>
      <c r="B36" s="13" t="s">
        <v>22</v>
      </c>
      <c r="C36" s="14" t="s">
        <v>23</v>
      </c>
      <c r="D36" s="14" t="s">
        <v>46</v>
      </c>
      <c r="E36" s="14" t="s">
        <v>278</v>
      </c>
      <c r="F36" s="9" t="s">
        <v>27</v>
      </c>
      <c r="G36" s="9" t="b">
        <v>0</v>
      </c>
      <c r="H36" s="9" t="s">
        <v>279</v>
      </c>
      <c r="I36" s="9">
        <v>32.0</v>
      </c>
      <c r="J36" s="9">
        <v>0.03</v>
      </c>
      <c r="K36" s="9">
        <v>0.69</v>
      </c>
    </row>
    <row r="37" ht="15.75" customHeight="1">
      <c r="A37" s="7" t="s">
        <v>280</v>
      </c>
      <c r="B37" s="13" t="s">
        <v>224</v>
      </c>
      <c r="C37" s="14" t="s">
        <v>144</v>
      </c>
      <c r="D37" s="14" t="s">
        <v>46</v>
      </c>
      <c r="E37" s="14" t="s">
        <v>285</v>
      </c>
      <c r="F37" s="9" t="s">
        <v>147</v>
      </c>
      <c r="G37" s="9" t="b">
        <v>0</v>
      </c>
      <c r="H37" s="9" t="s">
        <v>287</v>
      </c>
      <c r="I37" s="9">
        <v>32.0</v>
      </c>
      <c r="J37" s="9">
        <v>0.03</v>
      </c>
      <c r="K37" s="9">
        <v>0.34</v>
      </c>
    </row>
    <row r="38" ht="15.75" customHeight="1">
      <c r="A38" s="7" t="s">
        <v>288</v>
      </c>
      <c r="B38" s="13" t="s">
        <v>29</v>
      </c>
      <c r="C38" s="14" t="s">
        <v>34</v>
      </c>
      <c r="D38" s="14" t="s">
        <v>46</v>
      </c>
      <c r="E38" s="14" t="s">
        <v>292</v>
      </c>
      <c r="F38" s="9" t="s">
        <v>37</v>
      </c>
      <c r="G38" s="9" t="b">
        <v>0</v>
      </c>
      <c r="H38" s="9" t="s">
        <v>293</v>
      </c>
      <c r="I38" s="9">
        <v>32.0</v>
      </c>
      <c r="J38" s="9">
        <v>0.03</v>
      </c>
      <c r="K38" s="9">
        <v>2.53</v>
      </c>
    </row>
    <row r="39" ht="15.75" customHeight="1">
      <c r="A39" s="7" t="s">
        <v>294</v>
      </c>
      <c r="B39" s="13" t="s">
        <v>185</v>
      </c>
      <c r="C39" s="14" t="s">
        <v>144</v>
      </c>
      <c r="D39" s="14" t="s">
        <v>46</v>
      </c>
      <c r="E39" s="14" t="s">
        <v>297</v>
      </c>
      <c r="F39" s="9" t="s">
        <v>147</v>
      </c>
      <c r="G39" s="9" t="b">
        <v>0</v>
      </c>
      <c r="H39" s="9" t="s">
        <v>188</v>
      </c>
      <c r="I39" s="9">
        <v>32.0</v>
      </c>
      <c r="J39" s="9">
        <v>0.03</v>
      </c>
      <c r="K39" s="9">
        <v>0.41</v>
      </c>
    </row>
    <row r="40" ht="15.75" customHeight="1">
      <c r="A40" s="7" t="s">
        <v>299</v>
      </c>
      <c r="B40" s="13" t="s">
        <v>175</v>
      </c>
      <c r="C40" s="14" t="s">
        <v>34</v>
      </c>
      <c r="D40" s="14" t="s">
        <v>270</v>
      </c>
      <c r="E40" s="14" t="s">
        <v>302</v>
      </c>
      <c r="F40" s="9" t="s">
        <v>37</v>
      </c>
      <c r="G40" s="9" t="b">
        <v>0</v>
      </c>
      <c r="H40" s="9" t="s">
        <v>303</v>
      </c>
      <c r="I40" s="9">
        <v>32.0</v>
      </c>
      <c r="J40" s="9">
        <v>0.03</v>
      </c>
      <c r="K40" s="9">
        <v>3.16</v>
      </c>
    </row>
    <row r="41" ht="15.75" customHeight="1">
      <c r="A41" s="7" t="s">
        <v>304</v>
      </c>
      <c r="B41" s="13" t="s">
        <v>220</v>
      </c>
      <c r="C41" s="14" t="s">
        <v>309</v>
      </c>
      <c r="D41" s="14" t="s">
        <v>25</v>
      </c>
      <c r="E41" s="14" t="s">
        <v>310</v>
      </c>
      <c r="F41" s="9" t="s">
        <v>311</v>
      </c>
      <c r="G41" s="9" t="b">
        <v>0</v>
      </c>
      <c r="H41" s="9" t="s">
        <v>312</v>
      </c>
      <c r="I41" s="9">
        <v>31.0</v>
      </c>
      <c r="J41" s="9">
        <v>0.03</v>
      </c>
      <c r="K41" s="9">
        <v>0.42</v>
      </c>
    </row>
    <row r="42" ht="15.75" customHeight="1">
      <c r="A42" s="7" t="s">
        <v>313</v>
      </c>
      <c r="B42" s="13" t="s">
        <v>195</v>
      </c>
      <c r="C42" s="14" t="s">
        <v>34</v>
      </c>
      <c r="D42" s="14" t="s">
        <v>46</v>
      </c>
      <c r="E42" s="14" t="s">
        <v>317</v>
      </c>
      <c r="F42" s="9" t="s">
        <v>37</v>
      </c>
      <c r="G42" s="9" t="b">
        <v>0</v>
      </c>
      <c r="H42" s="9" t="s">
        <v>318</v>
      </c>
      <c r="I42" s="9">
        <v>31.0</v>
      </c>
      <c r="J42" s="9">
        <v>0.03</v>
      </c>
      <c r="K42" s="9">
        <v>2.29</v>
      </c>
    </row>
    <row r="43" ht="15.75" customHeight="1">
      <c r="A43" s="7" t="s">
        <v>320</v>
      </c>
      <c r="B43" s="13" t="s">
        <v>234</v>
      </c>
      <c r="C43" s="14" t="s">
        <v>34</v>
      </c>
      <c r="D43" s="14" t="s">
        <v>46</v>
      </c>
      <c r="E43" s="14" t="s">
        <v>323</v>
      </c>
      <c r="F43" s="9" t="s">
        <v>37</v>
      </c>
      <c r="G43" s="9" t="b">
        <v>0</v>
      </c>
      <c r="H43" s="9" t="s">
        <v>324</v>
      </c>
      <c r="I43" s="9">
        <v>31.0</v>
      </c>
      <c r="J43" s="9">
        <v>0.03</v>
      </c>
      <c r="K43" s="9">
        <v>0.55</v>
      </c>
    </row>
    <row r="44" ht="15.75" customHeight="1">
      <c r="A44" s="7" t="s">
        <v>325</v>
      </c>
      <c r="B44" s="13" t="s">
        <v>194</v>
      </c>
      <c r="C44" s="14" t="s">
        <v>144</v>
      </c>
      <c r="D44" s="14" t="s">
        <v>46</v>
      </c>
      <c r="E44" s="14" t="s">
        <v>329</v>
      </c>
      <c r="F44" s="9" t="s">
        <v>147</v>
      </c>
      <c r="G44" s="9" t="b">
        <v>0</v>
      </c>
      <c r="H44" s="9" t="s">
        <v>188</v>
      </c>
      <c r="I44" s="9">
        <v>31.0</v>
      </c>
      <c r="J44" s="9">
        <v>0.03</v>
      </c>
      <c r="K44" s="9">
        <v>1.77</v>
      </c>
    </row>
    <row r="45" ht="15.75" customHeight="1">
      <c r="A45" s="7" t="s">
        <v>331</v>
      </c>
      <c r="B45" s="13" t="s">
        <v>202</v>
      </c>
      <c r="C45" s="14" t="s">
        <v>61</v>
      </c>
      <c r="D45" s="14" t="s">
        <v>35</v>
      </c>
      <c r="E45" s="14" t="s">
        <v>335</v>
      </c>
      <c r="F45" s="9" t="s">
        <v>64</v>
      </c>
      <c r="G45" s="9" t="b">
        <v>0</v>
      </c>
      <c r="H45" s="9" t="s">
        <v>336</v>
      </c>
      <c r="I45" s="9">
        <v>31.0</v>
      </c>
      <c r="J45" s="9">
        <v>0.03</v>
      </c>
      <c r="K45" s="9">
        <v>1.13</v>
      </c>
    </row>
    <row r="46" ht="15.75" customHeight="1">
      <c r="A46" s="7" t="s">
        <v>338</v>
      </c>
      <c r="B46" s="13" t="s">
        <v>126</v>
      </c>
      <c r="C46" s="14" t="s">
        <v>34</v>
      </c>
      <c r="D46" s="14" t="s">
        <v>35</v>
      </c>
      <c r="E46" s="14" t="s">
        <v>343</v>
      </c>
      <c r="F46" s="9" t="s">
        <v>37</v>
      </c>
      <c r="G46" s="9" t="b">
        <v>0</v>
      </c>
      <c r="H46" s="9" t="s">
        <v>344</v>
      </c>
      <c r="I46" s="9">
        <v>31.0</v>
      </c>
      <c r="J46" s="9">
        <v>0.03</v>
      </c>
      <c r="K46" s="9">
        <v>2.68</v>
      </c>
    </row>
    <row r="47" ht="15.75" customHeight="1">
      <c r="A47" s="7" t="s">
        <v>346</v>
      </c>
      <c r="B47" s="13" t="s">
        <v>22</v>
      </c>
      <c r="C47" s="14" t="s">
        <v>23</v>
      </c>
      <c r="D47" s="14" t="s">
        <v>46</v>
      </c>
      <c r="E47" s="14" t="s">
        <v>348</v>
      </c>
      <c r="F47" s="9" t="s">
        <v>27</v>
      </c>
      <c r="G47" s="9" t="b">
        <v>0</v>
      </c>
      <c r="H47" s="9" t="s">
        <v>350</v>
      </c>
      <c r="I47" s="9">
        <v>30.0</v>
      </c>
      <c r="J47" s="9">
        <v>0.03</v>
      </c>
      <c r="K47" s="9">
        <v>0.97</v>
      </c>
    </row>
    <row r="48" ht="15.75" customHeight="1">
      <c r="A48" s="7" t="s">
        <v>351</v>
      </c>
      <c r="B48" s="13" t="s">
        <v>128</v>
      </c>
      <c r="C48" s="14" t="s">
        <v>144</v>
      </c>
      <c r="D48" s="14" t="s">
        <v>169</v>
      </c>
      <c r="E48" s="14" t="s">
        <v>357</v>
      </c>
      <c r="F48" s="9" t="s">
        <v>147</v>
      </c>
      <c r="G48" s="9" t="b">
        <v>0</v>
      </c>
      <c r="H48" s="9" t="s">
        <v>358</v>
      </c>
      <c r="I48" s="9">
        <v>30.0</v>
      </c>
      <c r="J48" s="9">
        <v>0.03</v>
      </c>
      <c r="K48" s="9">
        <v>1.7</v>
      </c>
    </row>
    <row r="49" ht="15.75" customHeight="1">
      <c r="A49" s="7" t="s">
        <v>359</v>
      </c>
      <c r="B49" s="14" t="s">
        <v>133</v>
      </c>
      <c r="C49" s="14" t="s">
        <v>34</v>
      </c>
      <c r="D49" s="14" t="s">
        <v>169</v>
      </c>
      <c r="E49" s="14" t="s">
        <v>365</v>
      </c>
      <c r="F49" s="9" t="s">
        <v>37</v>
      </c>
      <c r="G49" s="9" t="b">
        <v>1</v>
      </c>
      <c r="H49" s="9" t="s">
        <v>366</v>
      </c>
      <c r="I49" s="9">
        <v>30.0</v>
      </c>
      <c r="J49" s="9">
        <v>0.03</v>
      </c>
      <c r="K49" s="9">
        <v>1.03</v>
      </c>
    </row>
    <row r="50" ht="15.75" customHeight="1">
      <c r="A50" s="7" t="s">
        <v>367</v>
      </c>
      <c r="B50" s="13" t="s">
        <v>215</v>
      </c>
      <c r="C50" s="14" t="s">
        <v>34</v>
      </c>
      <c r="D50" s="14" t="s">
        <v>46</v>
      </c>
      <c r="E50" s="14" t="s">
        <v>370</v>
      </c>
      <c r="F50" s="9" t="s">
        <v>37</v>
      </c>
      <c r="G50" s="9" t="b">
        <v>0</v>
      </c>
      <c r="H50" s="9" t="s">
        <v>371</v>
      </c>
      <c r="I50" s="9">
        <v>30.0</v>
      </c>
      <c r="J50" s="9">
        <v>0.03</v>
      </c>
      <c r="K50" s="9">
        <v>1.37</v>
      </c>
    </row>
    <row r="51" ht="15.75" customHeight="1">
      <c r="A51" s="7" t="s">
        <v>373</v>
      </c>
      <c r="B51" s="13" t="s">
        <v>29</v>
      </c>
      <c r="C51" s="14" t="s">
        <v>34</v>
      </c>
      <c r="D51" s="14" t="s">
        <v>46</v>
      </c>
      <c r="E51" s="14" t="s">
        <v>376</v>
      </c>
      <c r="F51" s="9" t="s">
        <v>37</v>
      </c>
      <c r="G51" s="9" t="b">
        <v>0</v>
      </c>
      <c r="H51" s="9" t="s">
        <v>377</v>
      </c>
      <c r="I51" s="9">
        <v>29.0</v>
      </c>
      <c r="J51" s="9">
        <v>0.03</v>
      </c>
      <c r="K51" s="9">
        <v>1.1</v>
      </c>
    </row>
    <row r="52" ht="15.75" customHeight="1">
      <c r="A52" s="7" t="s">
        <v>378</v>
      </c>
      <c r="B52" s="13" t="s">
        <v>19</v>
      </c>
      <c r="C52" s="14" t="s">
        <v>23</v>
      </c>
      <c r="D52" s="14" t="s">
        <v>46</v>
      </c>
      <c r="E52" s="14" t="s">
        <v>381</v>
      </c>
      <c r="F52" s="9" t="s">
        <v>27</v>
      </c>
      <c r="G52" s="9" t="b">
        <v>0</v>
      </c>
      <c r="H52" s="9" t="s">
        <v>382</v>
      </c>
      <c r="I52" s="9">
        <v>29.0</v>
      </c>
      <c r="J52" s="9">
        <v>0.03</v>
      </c>
      <c r="K52" s="9">
        <v>1.1</v>
      </c>
    </row>
    <row r="53" ht="15.75" customHeight="1">
      <c r="A53" s="7" t="s">
        <v>383</v>
      </c>
      <c r="B53" s="13" t="s">
        <v>209</v>
      </c>
      <c r="C53" s="14" t="s">
        <v>34</v>
      </c>
      <c r="D53" s="14" t="s">
        <v>62</v>
      </c>
      <c r="E53" s="14" t="s">
        <v>389</v>
      </c>
      <c r="F53" s="9" t="s">
        <v>37</v>
      </c>
      <c r="G53" s="9" t="b">
        <v>0</v>
      </c>
      <c r="H53" s="9" t="s">
        <v>391</v>
      </c>
      <c r="I53" s="9">
        <v>29.0</v>
      </c>
      <c r="J53" s="9">
        <v>0.03</v>
      </c>
      <c r="K53" s="9">
        <v>0.31</v>
      </c>
    </row>
    <row r="54" ht="15.75" customHeight="1">
      <c r="A54" s="7" t="s">
        <v>392</v>
      </c>
      <c r="B54" s="13" t="s">
        <v>162</v>
      </c>
      <c r="C54" s="14" t="s">
        <v>169</v>
      </c>
      <c r="D54" s="14" t="s">
        <v>35</v>
      </c>
      <c r="E54" s="14" t="s">
        <v>397</v>
      </c>
      <c r="F54" s="9" t="s">
        <v>94</v>
      </c>
      <c r="G54" s="9" t="b">
        <v>0</v>
      </c>
      <c r="H54" s="9" t="s">
        <v>398</v>
      </c>
      <c r="I54" s="9">
        <v>29.0</v>
      </c>
      <c r="J54" s="9">
        <v>0.03</v>
      </c>
      <c r="K54" s="9">
        <v>0.59</v>
      </c>
    </row>
    <row r="55" ht="15.75" customHeight="1">
      <c r="A55" s="7" t="s">
        <v>399</v>
      </c>
      <c r="B55" s="13" t="s">
        <v>72</v>
      </c>
      <c r="C55" s="14" t="s">
        <v>34</v>
      </c>
      <c r="D55" s="14" t="s">
        <v>35</v>
      </c>
      <c r="E55" s="14" t="s">
        <v>402</v>
      </c>
      <c r="F55" s="9" t="s">
        <v>37</v>
      </c>
      <c r="G55" s="9" t="b">
        <v>0</v>
      </c>
      <c r="H55" s="9" t="s">
        <v>403</v>
      </c>
      <c r="I55" s="9">
        <v>29.0</v>
      </c>
      <c r="J55" s="9">
        <v>0.03</v>
      </c>
      <c r="K55" s="9">
        <v>0.83</v>
      </c>
    </row>
    <row r="56" ht="15.75" customHeight="1">
      <c r="A56" s="7" t="s">
        <v>404</v>
      </c>
      <c r="B56" s="13" t="s">
        <v>19</v>
      </c>
      <c r="C56" s="14" t="s">
        <v>23</v>
      </c>
      <c r="D56" s="14" t="s">
        <v>46</v>
      </c>
      <c r="E56" s="14" t="s">
        <v>407</v>
      </c>
      <c r="F56" s="9" t="s">
        <v>27</v>
      </c>
      <c r="G56" s="9" t="b">
        <v>0</v>
      </c>
      <c r="H56" s="9" t="s">
        <v>409</v>
      </c>
      <c r="I56" s="9">
        <v>28.0</v>
      </c>
      <c r="J56" s="9">
        <v>0.03</v>
      </c>
      <c r="K56" s="9">
        <v>0.07</v>
      </c>
    </row>
    <row r="57" ht="15.75" customHeight="1">
      <c r="A57" s="7" t="s">
        <v>410</v>
      </c>
      <c r="B57" s="13" t="s">
        <v>70</v>
      </c>
      <c r="C57" s="14" t="s">
        <v>23</v>
      </c>
      <c r="D57" s="14" t="s">
        <v>46</v>
      </c>
      <c r="E57" s="14" t="s">
        <v>413</v>
      </c>
      <c r="F57" s="9" t="s">
        <v>27</v>
      </c>
      <c r="G57" s="9" t="b">
        <v>0</v>
      </c>
      <c r="H57" s="9" t="s">
        <v>414</v>
      </c>
      <c r="I57" s="9">
        <v>28.0</v>
      </c>
      <c r="J57" s="9">
        <v>0.03</v>
      </c>
      <c r="K57" s="9">
        <v>0.29</v>
      </c>
    </row>
    <row r="58" ht="15.75" customHeight="1">
      <c r="A58" s="7" t="s">
        <v>416</v>
      </c>
      <c r="B58" s="13" t="s">
        <v>15</v>
      </c>
      <c r="C58" s="14" t="s">
        <v>23</v>
      </c>
      <c r="D58" s="14" t="s">
        <v>46</v>
      </c>
      <c r="E58" s="14" t="s">
        <v>418</v>
      </c>
      <c r="F58" s="9" t="s">
        <v>27</v>
      </c>
      <c r="G58" s="9" t="b">
        <v>0</v>
      </c>
      <c r="H58" s="9" t="s">
        <v>420</v>
      </c>
      <c r="I58" s="9">
        <v>28.0</v>
      </c>
      <c r="J58" s="9">
        <v>0.03</v>
      </c>
      <c r="K58" s="9">
        <v>0.54</v>
      </c>
    </row>
    <row r="59" ht="15.75" customHeight="1">
      <c r="A59" s="7" t="s">
        <v>421</v>
      </c>
      <c r="B59" s="13" t="s">
        <v>15</v>
      </c>
      <c r="C59" s="14" t="s">
        <v>23</v>
      </c>
      <c r="D59" s="14" t="s">
        <v>46</v>
      </c>
      <c r="E59" s="14" t="s">
        <v>424</v>
      </c>
      <c r="F59" s="9" t="s">
        <v>27</v>
      </c>
      <c r="G59" s="9" t="b">
        <v>0</v>
      </c>
      <c r="H59" s="9" t="s">
        <v>425</v>
      </c>
      <c r="I59" s="9">
        <v>28.0</v>
      </c>
      <c r="J59" s="9">
        <v>0.03</v>
      </c>
      <c r="K59" s="9">
        <v>0.04</v>
      </c>
    </row>
    <row r="60" ht="15.75" customHeight="1">
      <c r="A60" s="7" t="s">
        <v>426</v>
      </c>
      <c r="B60" s="13" t="s">
        <v>232</v>
      </c>
      <c r="C60" s="14" t="s">
        <v>431</v>
      </c>
      <c r="D60" s="14" t="s">
        <v>46</v>
      </c>
      <c r="E60" s="14" t="s">
        <v>432</v>
      </c>
      <c r="F60" s="9" t="s">
        <v>433</v>
      </c>
      <c r="G60" s="9" t="b">
        <v>0</v>
      </c>
      <c r="H60" s="9" t="s">
        <v>434</v>
      </c>
      <c r="I60" s="9">
        <v>28.0</v>
      </c>
      <c r="J60" s="9">
        <v>0.03</v>
      </c>
      <c r="K60" s="9">
        <v>0.54</v>
      </c>
    </row>
    <row r="61" ht="15.75" customHeight="1">
      <c r="A61" s="7" t="s">
        <v>435</v>
      </c>
      <c r="B61" s="13" t="s">
        <v>171</v>
      </c>
      <c r="C61" s="14" t="s">
        <v>34</v>
      </c>
      <c r="D61" s="14" t="s">
        <v>46</v>
      </c>
      <c r="E61" s="14" t="s">
        <v>442</v>
      </c>
      <c r="F61" s="9" t="s">
        <v>37</v>
      </c>
      <c r="G61" s="9" t="b">
        <v>0</v>
      </c>
      <c r="H61" s="9" t="s">
        <v>444</v>
      </c>
      <c r="I61" s="9">
        <v>28.0</v>
      </c>
      <c r="J61" s="9">
        <v>0.03</v>
      </c>
      <c r="K61" s="9">
        <v>1.57</v>
      </c>
    </row>
    <row r="62" ht="15.75" customHeight="1">
      <c r="A62" s="7" t="s">
        <v>445</v>
      </c>
      <c r="B62" s="13" t="s">
        <v>29</v>
      </c>
      <c r="C62" s="14" t="s">
        <v>34</v>
      </c>
      <c r="D62" s="14" t="s">
        <v>46</v>
      </c>
      <c r="E62" s="14" t="s">
        <v>450</v>
      </c>
      <c r="F62" s="9" t="s">
        <v>37</v>
      </c>
      <c r="G62" s="9" t="b">
        <v>0</v>
      </c>
      <c r="H62" s="9" t="s">
        <v>451</v>
      </c>
      <c r="I62" s="9">
        <v>27.0</v>
      </c>
      <c r="J62" s="9">
        <v>0.02</v>
      </c>
      <c r="K62" s="9">
        <v>0.15</v>
      </c>
    </row>
    <row r="63" ht="15.75" customHeight="1">
      <c r="A63" s="7" t="s">
        <v>452</v>
      </c>
      <c r="B63" s="13" t="s">
        <v>259</v>
      </c>
      <c r="C63" s="14" t="s">
        <v>144</v>
      </c>
      <c r="D63" s="14" t="s">
        <v>35</v>
      </c>
      <c r="E63" s="14" t="s">
        <v>458</v>
      </c>
      <c r="F63" s="9" t="s">
        <v>147</v>
      </c>
      <c r="G63" s="9" t="b">
        <v>0</v>
      </c>
      <c r="H63" s="9" t="s">
        <v>260</v>
      </c>
      <c r="I63" s="9">
        <v>27.0</v>
      </c>
      <c r="J63" s="9">
        <v>0.02</v>
      </c>
      <c r="K63" s="9">
        <v>1.41</v>
      </c>
    </row>
    <row r="64" ht="15.75" customHeight="1">
      <c r="A64" s="7" t="s">
        <v>459</v>
      </c>
      <c r="B64" s="13" t="s">
        <v>72</v>
      </c>
      <c r="C64" s="14" t="s">
        <v>34</v>
      </c>
      <c r="D64" s="14" t="s">
        <v>35</v>
      </c>
      <c r="E64" s="14" t="s">
        <v>463</v>
      </c>
      <c r="F64" s="9" t="s">
        <v>37</v>
      </c>
      <c r="G64" s="9" t="b">
        <v>0</v>
      </c>
      <c r="H64" s="9" t="s">
        <v>464</v>
      </c>
      <c r="I64" s="9">
        <v>27.0</v>
      </c>
      <c r="J64" s="9">
        <v>0.02</v>
      </c>
      <c r="K64" s="9">
        <v>0.19</v>
      </c>
    </row>
    <row r="65" ht="15.75" customHeight="1">
      <c r="A65" s="7" t="s">
        <v>465</v>
      </c>
      <c r="B65" s="13" t="s">
        <v>22</v>
      </c>
      <c r="C65" s="14" t="s">
        <v>23</v>
      </c>
      <c r="D65" s="14" t="s">
        <v>46</v>
      </c>
      <c r="E65" s="14" t="s">
        <v>468</v>
      </c>
      <c r="F65" s="9" t="s">
        <v>27</v>
      </c>
      <c r="G65" s="9" t="b">
        <v>0</v>
      </c>
      <c r="H65" s="9" t="s">
        <v>350</v>
      </c>
      <c r="I65" s="9">
        <v>26.0</v>
      </c>
      <c r="J65" s="9">
        <v>0.02</v>
      </c>
      <c r="K65" s="9">
        <v>1.81</v>
      </c>
    </row>
    <row r="66" ht="15.75" customHeight="1">
      <c r="A66" s="7" t="s">
        <v>470</v>
      </c>
      <c r="B66" s="13" t="s">
        <v>261</v>
      </c>
      <c r="C66" s="14" t="s">
        <v>34</v>
      </c>
      <c r="D66" s="14" t="s">
        <v>169</v>
      </c>
      <c r="E66" s="14" t="s">
        <v>473</v>
      </c>
      <c r="F66" s="9" t="s">
        <v>37</v>
      </c>
      <c r="G66" s="9" t="b">
        <v>0</v>
      </c>
      <c r="H66" s="9" t="s">
        <v>474</v>
      </c>
      <c r="I66" s="9">
        <v>26.0</v>
      </c>
      <c r="J66" s="9">
        <v>0.02</v>
      </c>
      <c r="K66" s="9">
        <v>1.12</v>
      </c>
    </row>
    <row r="67" ht="15.75" customHeight="1">
      <c r="A67" s="7" t="s">
        <v>475</v>
      </c>
      <c r="B67" s="13" t="s">
        <v>42</v>
      </c>
      <c r="C67" s="14" t="s">
        <v>34</v>
      </c>
      <c r="D67" s="14" t="s">
        <v>35</v>
      </c>
      <c r="E67" s="14" t="s">
        <v>479</v>
      </c>
      <c r="F67" s="9" t="s">
        <v>37</v>
      </c>
      <c r="G67" s="9" t="b">
        <v>0</v>
      </c>
      <c r="H67" s="9" t="s">
        <v>480</v>
      </c>
      <c r="I67" s="9">
        <v>26.0</v>
      </c>
      <c r="J67" s="9">
        <v>0.02</v>
      </c>
      <c r="K67" s="9">
        <v>1.04</v>
      </c>
    </row>
    <row r="68" ht="15.75" customHeight="1">
      <c r="A68" s="7" t="s">
        <v>481</v>
      </c>
      <c r="B68" s="13" t="s">
        <v>84</v>
      </c>
      <c r="C68" s="14" t="s">
        <v>34</v>
      </c>
      <c r="D68" s="14" t="s">
        <v>46</v>
      </c>
      <c r="E68" s="14" t="s">
        <v>484</v>
      </c>
      <c r="F68" s="9" t="s">
        <v>37</v>
      </c>
      <c r="G68" s="9" t="b">
        <v>0</v>
      </c>
      <c r="H68" s="9" t="s">
        <v>485</v>
      </c>
      <c r="I68" s="9">
        <v>26.0</v>
      </c>
      <c r="J68" s="9">
        <v>0.02</v>
      </c>
      <c r="K68" s="9">
        <v>0.38</v>
      </c>
    </row>
    <row r="69" ht="15.75" customHeight="1">
      <c r="A69" s="7" t="s">
        <v>487</v>
      </c>
      <c r="B69" s="13" t="s">
        <v>84</v>
      </c>
      <c r="C69" s="14" t="s">
        <v>34</v>
      </c>
      <c r="D69" s="14" t="s">
        <v>46</v>
      </c>
      <c r="E69" s="14" t="s">
        <v>492</v>
      </c>
      <c r="F69" s="9" t="s">
        <v>37</v>
      </c>
      <c r="G69" s="9" t="b">
        <v>0</v>
      </c>
      <c r="H69" s="9" t="s">
        <v>493</v>
      </c>
      <c r="I69" s="9">
        <v>26.0</v>
      </c>
      <c r="J69" s="9">
        <v>0.02</v>
      </c>
      <c r="K69" s="9">
        <v>0.85</v>
      </c>
    </row>
    <row r="70" ht="15.75" customHeight="1">
      <c r="A70" s="7" t="s">
        <v>494</v>
      </c>
      <c r="B70" s="13" t="s">
        <v>227</v>
      </c>
      <c r="C70" s="14" t="s">
        <v>34</v>
      </c>
      <c r="D70" s="14" t="s">
        <v>169</v>
      </c>
      <c r="E70" s="14" t="s">
        <v>498</v>
      </c>
      <c r="F70" s="9" t="s">
        <v>37</v>
      </c>
      <c r="G70" s="9" t="b">
        <v>0</v>
      </c>
      <c r="H70" s="9" t="s">
        <v>499</v>
      </c>
      <c r="I70" s="9">
        <v>26.0</v>
      </c>
      <c r="J70" s="9">
        <v>0.02</v>
      </c>
      <c r="K70" s="9">
        <v>0.42</v>
      </c>
    </row>
    <row r="71" ht="15.75" customHeight="1">
      <c r="A71" s="7" t="s">
        <v>501</v>
      </c>
      <c r="B71" s="13" t="s">
        <v>274</v>
      </c>
      <c r="C71" s="14" t="s">
        <v>34</v>
      </c>
      <c r="D71" s="14" t="s">
        <v>270</v>
      </c>
      <c r="E71" s="14" t="s">
        <v>505</v>
      </c>
      <c r="F71" s="9" t="s">
        <v>37</v>
      </c>
      <c r="G71" s="9" t="b">
        <v>0</v>
      </c>
      <c r="H71" s="9" t="s">
        <v>276</v>
      </c>
      <c r="I71" s="9">
        <v>26.0</v>
      </c>
      <c r="J71" s="9">
        <v>0.02</v>
      </c>
      <c r="K71" s="9">
        <v>1.15</v>
      </c>
    </row>
    <row r="72" ht="15.75" customHeight="1">
      <c r="A72" s="7" t="s">
        <v>507</v>
      </c>
      <c r="B72" s="13" t="s">
        <v>54</v>
      </c>
      <c r="C72" s="14" t="s">
        <v>61</v>
      </c>
      <c r="D72" s="14" t="s">
        <v>25</v>
      </c>
      <c r="E72" s="14" t="s">
        <v>512</v>
      </c>
      <c r="F72" s="9" t="s">
        <v>64</v>
      </c>
      <c r="G72" s="9" t="b">
        <v>0</v>
      </c>
      <c r="H72" s="9" t="s">
        <v>513</v>
      </c>
      <c r="I72" s="9">
        <v>25.0</v>
      </c>
      <c r="J72" s="9">
        <v>0.02</v>
      </c>
      <c r="K72" s="9">
        <v>0.08</v>
      </c>
    </row>
    <row r="73" ht="15.75" customHeight="1">
      <c r="A73" s="7" t="s">
        <v>514</v>
      </c>
      <c r="B73" s="13" t="s">
        <v>54</v>
      </c>
      <c r="C73" s="14" t="s">
        <v>23</v>
      </c>
      <c r="D73" s="14" t="s">
        <v>25</v>
      </c>
      <c r="E73" s="14" t="s">
        <v>517</v>
      </c>
      <c r="F73" s="9" t="s">
        <v>27</v>
      </c>
      <c r="G73" s="9" t="b">
        <v>0</v>
      </c>
      <c r="H73" s="9" t="s">
        <v>518</v>
      </c>
      <c r="I73" s="9">
        <v>25.0</v>
      </c>
      <c r="J73" s="9">
        <v>0.02</v>
      </c>
      <c r="K73" s="9">
        <v>0.4</v>
      </c>
    </row>
    <row r="74" ht="15.75" customHeight="1">
      <c r="A74" s="7" t="s">
        <v>520</v>
      </c>
      <c r="B74" s="14" t="s">
        <v>218</v>
      </c>
      <c r="C74" s="14" t="s">
        <v>521</v>
      </c>
      <c r="D74" s="14" t="s">
        <v>35</v>
      </c>
      <c r="E74" s="14" t="s">
        <v>522</v>
      </c>
      <c r="F74" s="9" t="s">
        <v>523</v>
      </c>
      <c r="G74" s="9" t="b">
        <v>0</v>
      </c>
      <c r="H74" s="9" t="s">
        <v>219</v>
      </c>
      <c r="I74" s="9">
        <v>25.0</v>
      </c>
      <c r="J74" s="9">
        <v>0.02</v>
      </c>
      <c r="K74" s="9">
        <v>1.44</v>
      </c>
    </row>
    <row r="75" ht="15.75" customHeight="1">
      <c r="A75" s="7" t="s">
        <v>524</v>
      </c>
      <c r="B75" s="13" t="s">
        <v>145</v>
      </c>
      <c r="C75" s="14" t="s">
        <v>144</v>
      </c>
      <c r="D75" s="14" t="s">
        <v>169</v>
      </c>
      <c r="E75" s="14" t="s">
        <v>528</v>
      </c>
      <c r="F75" s="9" t="s">
        <v>147</v>
      </c>
      <c r="G75" s="9" t="b">
        <v>0</v>
      </c>
      <c r="H75" s="9" t="s">
        <v>529</v>
      </c>
      <c r="I75" s="9">
        <v>25.0</v>
      </c>
      <c r="J75" s="9">
        <v>0.02</v>
      </c>
      <c r="K75" s="9">
        <v>1.16</v>
      </c>
    </row>
    <row r="76" ht="15.75" customHeight="1">
      <c r="A76" s="7" t="s">
        <v>531</v>
      </c>
      <c r="B76" s="13" t="s">
        <v>93</v>
      </c>
      <c r="C76" s="14" t="s">
        <v>144</v>
      </c>
      <c r="D76" s="14" t="s">
        <v>169</v>
      </c>
      <c r="E76" s="14" t="s">
        <v>534</v>
      </c>
      <c r="F76" s="9" t="s">
        <v>147</v>
      </c>
      <c r="G76" s="9" t="b">
        <v>0</v>
      </c>
      <c r="H76" s="9" t="s">
        <v>535</v>
      </c>
      <c r="I76" s="9">
        <v>25.0</v>
      </c>
      <c r="J76" s="9">
        <v>0.02</v>
      </c>
      <c r="K76" s="9">
        <v>1.4</v>
      </c>
    </row>
    <row r="77" ht="15.75" customHeight="1">
      <c r="A77" s="7" t="s">
        <v>537</v>
      </c>
      <c r="B77" s="13" t="s">
        <v>284</v>
      </c>
      <c r="C77" s="14" t="s">
        <v>34</v>
      </c>
      <c r="D77" s="14" t="s">
        <v>46</v>
      </c>
      <c r="E77" s="14" t="s">
        <v>543</v>
      </c>
      <c r="F77" s="9" t="s">
        <v>37</v>
      </c>
      <c r="G77" s="9" t="b">
        <v>0</v>
      </c>
      <c r="H77" s="9" t="s">
        <v>544</v>
      </c>
      <c r="I77" s="9">
        <v>24.0</v>
      </c>
      <c r="J77" s="9">
        <v>0.02</v>
      </c>
      <c r="K77" s="9">
        <v>0.71</v>
      </c>
    </row>
    <row r="78" ht="15.75" customHeight="1">
      <c r="A78" s="7" t="s">
        <v>545</v>
      </c>
      <c r="B78" s="13" t="s">
        <v>67</v>
      </c>
      <c r="C78" s="14" t="s">
        <v>34</v>
      </c>
      <c r="D78" s="14" t="s">
        <v>46</v>
      </c>
      <c r="E78" s="14" t="s">
        <v>548</v>
      </c>
      <c r="F78" s="9" t="s">
        <v>37</v>
      </c>
      <c r="G78" s="9" t="b">
        <v>0</v>
      </c>
      <c r="H78" s="9" t="s">
        <v>549</v>
      </c>
      <c r="I78" s="9">
        <v>24.0</v>
      </c>
      <c r="J78" s="9">
        <v>0.02</v>
      </c>
      <c r="K78" s="9">
        <v>0.04</v>
      </c>
    </row>
    <row r="79" ht="15.75" customHeight="1">
      <c r="A79" s="7" t="s">
        <v>551</v>
      </c>
      <c r="B79" s="13" t="s">
        <v>118</v>
      </c>
      <c r="C79" s="14" t="s">
        <v>235</v>
      </c>
      <c r="D79" s="14" t="s">
        <v>62</v>
      </c>
      <c r="E79" s="14" t="s">
        <v>555</v>
      </c>
      <c r="F79" s="9" t="s">
        <v>237</v>
      </c>
      <c r="G79" s="9" t="b">
        <v>0</v>
      </c>
      <c r="H79" s="9" t="s">
        <v>556</v>
      </c>
      <c r="I79" s="9">
        <v>24.0</v>
      </c>
      <c r="J79" s="9">
        <v>0.02</v>
      </c>
      <c r="K79" s="9">
        <v>0.63</v>
      </c>
    </row>
    <row r="80" ht="15.75" customHeight="1">
      <c r="A80" s="7" t="s">
        <v>558</v>
      </c>
      <c r="B80" s="13" t="s">
        <v>118</v>
      </c>
      <c r="C80" s="14" t="s">
        <v>235</v>
      </c>
      <c r="D80" s="14" t="s">
        <v>62</v>
      </c>
      <c r="E80" s="14" t="s">
        <v>561</v>
      </c>
      <c r="F80" s="9" t="s">
        <v>237</v>
      </c>
      <c r="G80" s="9" t="b">
        <v>0</v>
      </c>
      <c r="H80" s="9" t="s">
        <v>562</v>
      </c>
      <c r="I80" s="9">
        <v>24.0</v>
      </c>
      <c r="J80" s="9">
        <v>0.02</v>
      </c>
      <c r="K80" s="9">
        <v>0.0</v>
      </c>
    </row>
    <row r="81" ht="15.75" customHeight="1">
      <c r="A81" s="7" t="s">
        <v>563</v>
      </c>
      <c r="B81" s="13" t="s">
        <v>135</v>
      </c>
      <c r="C81" s="14" t="s">
        <v>144</v>
      </c>
      <c r="D81" s="14" t="s">
        <v>35</v>
      </c>
      <c r="E81" s="14" t="s">
        <v>567</v>
      </c>
      <c r="F81" s="9" t="s">
        <v>147</v>
      </c>
      <c r="G81" s="9" t="b">
        <v>0</v>
      </c>
      <c r="H81" s="9" t="s">
        <v>568</v>
      </c>
      <c r="I81" s="9">
        <v>24.0</v>
      </c>
      <c r="J81" s="9">
        <v>0.02</v>
      </c>
      <c r="K81" s="9">
        <v>0.79</v>
      </c>
    </row>
    <row r="82" ht="15.75" customHeight="1">
      <c r="A82" s="7" t="s">
        <v>569</v>
      </c>
      <c r="B82" s="13" t="s">
        <v>254</v>
      </c>
      <c r="C82" s="14" t="s">
        <v>61</v>
      </c>
      <c r="D82" s="14" t="s">
        <v>35</v>
      </c>
      <c r="E82" s="14" t="s">
        <v>572</v>
      </c>
      <c r="F82" s="9" t="s">
        <v>64</v>
      </c>
      <c r="G82" s="9" t="b">
        <v>0</v>
      </c>
      <c r="H82" s="9" t="s">
        <v>573</v>
      </c>
      <c r="I82" s="9">
        <v>24.0</v>
      </c>
      <c r="J82" s="9">
        <v>0.02</v>
      </c>
      <c r="K82" s="9">
        <v>0.92</v>
      </c>
    </row>
    <row r="83" ht="15.75" customHeight="1">
      <c r="A83" s="7" t="s">
        <v>574</v>
      </c>
      <c r="B83" s="13" t="s">
        <v>15</v>
      </c>
      <c r="C83" s="14" t="s">
        <v>23</v>
      </c>
      <c r="D83" s="14" t="s">
        <v>46</v>
      </c>
      <c r="E83" s="14" t="s">
        <v>577</v>
      </c>
      <c r="F83" s="9" t="s">
        <v>27</v>
      </c>
      <c r="G83" s="9" t="b">
        <v>0</v>
      </c>
      <c r="H83" s="9" t="s">
        <v>578</v>
      </c>
      <c r="I83" s="9">
        <v>24.0</v>
      </c>
      <c r="J83" s="9">
        <v>0.02</v>
      </c>
      <c r="K83" s="9">
        <v>0.0</v>
      </c>
    </row>
    <row r="84" ht="15.75" customHeight="1">
      <c r="A84" s="7" t="s">
        <v>580</v>
      </c>
      <c r="B84" s="13" t="s">
        <v>166</v>
      </c>
      <c r="C84" s="14" t="s">
        <v>169</v>
      </c>
      <c r="D84" s="14" t="s">
        <v>62</v>
      </c>
      <c r="E84" s="14" t="s">
        <v>583</v>
      </c>
      <c r="F84" s="9" t="s">
        <v>94</v>
      </c>
      <c r="G84" s="9" t="b">
        <v>0</v>
      </c>
      <c r="H84" s="9" t="s">
        <v>585</v>
      </c>
      <c r="I84" s="9">
        <v>23.0</v>
      </c>
      <c r="J84" s="9">
        <v>0.02</v>
      </c>
      <c r="K84" s="9">
        <v>0.09</v>
      </c>
    </row>
    <row r="85" ht="15.75" customHeight="1">
      <c r="A85" s="7" t="s">
        <v>586</v>
      </c>
      <c r="B85" s="13" t="s">
        <v>168</v>
      </c>
      <c r="C85" s="14" t="s">
        <v>521</v>
      </c>
      <c r="D85" s="14" t="s">
        <v>46</v>
      </c>
      <c r="E85" s="14" t="s">
        <v>588</v>
      </c>
      <c r="F85" s="9" t="s">
        <v>523</v>
      </c>
      <c r="G85" s="9" t="b">
        <v>0</v>
      </c>
      <c r="H85" s="9" t="s">
        <v>170</v>
      </c>
      <c r="I85" s="9">
        <v>23.0</v>
      </c>
      <c r="J85" s="9">
        <v>0.02</v>
      </c>
      <c r="K85" s="9">
        <v>0.83</v>
      </c>
    </row>
    <row r="86" ht="15.75" customHeight="1">
      <c r="A86" s="7" t="s">
        <v>590</v>
      </c>
      <c r="B86" s="13" t="s">
        <v>180</v>
      </c>
      <c r="C86" s="14" t="s">
        <v>144</v>
      </c>
      <c r="D86" s="14" t="s">
        <v>35</v>
      </c>
      <c r="E86" s="14" t="s">
        <v>594</v>
      </c>
      <c r="F86" s="9" t="s">
        <v>147</v>
      </c>
      <c r="G86" s="9" t="b">
        <v>0</v>
      </c>
      <c r="H86" s="9" t="s">
        <v>181</v>
      </c>
      <c r="I86" s="9">
        <v>23.0</v>
      </c>
      <c r="J86" s="9">
        <v>0.02</v>
      </c>
      <c r="K86" s="9">
        <v>1.43</v>
      </c>
    </row>
    <row r="87" ht="15.75" customHeight="1">
      <c r="A87" s="7" t="s">
        <v>595</v>
      </c>
      <c r="B87" s="13" t="s">
        <v>79</v>
      </c>
      <c r="C87" s="14" t="s">
        <v>144</v>
      </c>
      <c r="D87" s="14" t="s">
        <v>35</v>
      </c>
      <c r="E87" s="14" t="s">
        <v>598</v>
      </c>
      <c r="F87" s="9" t="s">
        <v>147</v>
      </c>
      <c r="G87" s="9" t="b">
        <v>0</v>
      </c>
      <c r="H87" s="9" t="s">
        <v>599</v>
      </c>
      <c r="I87" s="9">
        <v>23.0</v>
      </c>
      <c r="J87" s="9">
        <v>0.02</v>
      </c>
      <c r="K87" s="9">
        <v>1.52</v>
      </c>
    </row>
    <row r="88" ht="15.75" customHeight="1">
      <c r="A88" s="7" t="s">
        <v>600</v>
      </c>
      <c r="B88" s="13" t="s">
        <v>32</v>
      </c>
      <c r="C88" s="14" t="s">
        <v>34</v>
      </c>
      <c r="D88" s="14" t="s">
        <v>35</v>
      </c>
      <c r="E88" s="14" t="s">
        <v>602</v>
      </c>
      <c r="F88" s="9" t="s">
        <v>37</v>
      </c>
      <c r="G88" s="9" t="b">
        <v>0</v>
      </c>
      <c r="H88" s="9" t="s">
        <v>603</v>
      </c>
      <c r="I88" s="9">
        <v>23.0</v>
      </c>
      <c r="J88" s="9">
        <v>0.02</v>
      </c>
      <c r="K88" s="9">
        <v>1.35</v>
      </c>
    </row>
    <row r="89" ht="15.75" customHeight="1">
      <c r="A89" s="7" t="s">
        <v>605</v>
      </c>
      <c r="B89" s="13" t="s">
        <v>19</v>
      </c>
      <c r="C89" s="14" t="s">
        <v>23</v>
      </c>
      <c r="D89" s="14" t="s">
        <v>46</v>
      </c>
      <c r="E89" s="14" t="s">
        <v>607</v>
      </c>
      <c r="F89" s="9" t="s">
        <v>27</v>
      </c>
      <c r="G89" s="9" t="b">
        <v>0</v>
      </c>
      <c r="H89" s="9" t="s">
        <v>608</v>
      </c>
      <c r="I89" s="9">
        <v>22.0</v>
      </c>
      <c r="J89" s="9">
        <v>0.02</v>
      </c>
      <c r="K89" s="9">
        <v>0.05</v>
      </c>
    </row>
    <row r="90" ht="15.75" customHeight="1">
      <c r="A90" s="7" t="s">
        <v>610</v>
      </c>
      <c r="B90" s="13" t="s">
        <v>54</v>
      </c>
      <c r="C90" s="14" t="s">
        <v>169</v>
      </c>
      <c r="D90" s="14" t="s">
        <v>25</v>
      </c>
      <c r="E90" s="14" t="s">
        <v>612</v>
      </c>
      <c r="F90" s="9" t="s">
        <v>94</v>
      </c>
      <c r="G90" s="9" t="b">
        <v>0</v>
      </c>
      <c r="H90" s="9" t="s">
        <v>613</v>
      </c>
      <c r="I90" s="9">
        <v>22.0</v>
      </c>
      <c r="J90" s="9">
        <v>0.02</v>
      </c>
      <c r="K90" s="9">
        <v>0.0</v>
      </c>
    </row>
    <row r="91" ht="15.75" customHeight="1">
      <c r="A91" s="7" t="s">
        <v>614</v>
      </c>
      <c r="B91" s="13" t="s">
        <v>139</v>
      </c>
      <c r="C91" s="14" t="s">
        <v>34</v>
      </c>
      <c r="D91" s="14" t="s">
        <v>35</v>
      </c>
      <c r="E91" s="14" t="s">
        <v>618</v>
      </c>
      <c r="F91" s="9" t="s">
        <v>37</v>
      </c>
      <c r="G91" s="9" t="b">
        <v>0</v>
      </c>
      <c r="H91" s="9" t="s">
        <v>619</v>
      </c>
      <c r="I91" s="9">
        <v>22.0</v>
      </c>
      <c r="J91" s="9">
        <v>0.02</v>
      </c>
      <c r="K91" s="9">
        <v>1.14</v>
      </c>
    </row>
    <row r="92" ht="15.75" customHeight="1">
      <c r="A92" s="7" t="s">
        <v>620</v>
      </c>
      <c r="B92" s="13" t="s">
        <v>15</v>
      </c>
      <c r="C92" s="14" t="s">
        <v>23</v>
      </c>
      <c r="D92" s="14" t="s">
        <v>46</v>
      </c>
      <c r="E92" s="14" t="s">
        <v>622</v>
      </c>
      <c r="F92" s="9" t="s">
        <v>27</v>
      </c>
      <c r="G92" s="9" t="b">
        <v>0</v>
      </c>
      <c r="H92" s="9" t="s">
        <v>138</v>
      </c>
      <c r="I92" s="9">
        <v>22.0</v>
      </c>
      <c r="J92" s="9">
        <v>0.02</v>
      </c>
      <c r="K92" s="9">
        <v>0.55</v>
      </c>
    </row>
    <row r="93" ht="15.75" customHeight="1">
      <c r="A93" s="7" t="s">
        <v>623</v>
      </c>
      <c r="B93" s="13" t="s">
        <v>72</v>
      </c>
      <c r="C93" s="14" t="s">
        <v>34</v>
      </c>
      <c r="D93" s="14" t="s">
        <v>35</v>
      </c>
      <c r="E93" s="14" t="s">
        <v>625</v>
      </c>
      <c r="F93" s="9" t="s">
        <v>37</v>
      </c>
      <c r="G93" s="9" t="b">
        <v>0</v>
      </c>
      <c r="H93" s="9" t="s">
        <v>626</v>
      </c>
      <c r="I93" s="9">
        <v>22.0</v>
      </c>
      <c r="J93" s="9">
        <v>0.02</v>
      </c>
      <c r="K93" s="9">
        <v>1.14</v>
      </c>
    </row>
    <row r="94" ht="15.75" customHeight="1">
      <c r="A94" s="7" t="s">
        <v>627</v>
      </c>
      <c r="B94" s="13" t="s">
        <v>322</v>
      </c>
      <c r="C94" s="14" t="s">
        <v>144</v>
      </c>
      <c r="D94" s="14" t="s">
        <v>46</v>
      </c>
      <c r="E94" s="14" t="s">
        <v>631</v>
      </c>
      <c r="F94" s="9" t="s">
        <v>147</v>
      </c>
      <c r="G94" s="9" t="b">
        <v>0</v>
      </c>
      <c r="I94" s="9">
        <v>22.0</v>
      </c>
      <c r="J94" s="9">
        <v>0.02</v>
      </c>
      <c r="K94" s="9">
        <v>1.14</v>
      </c>
    </row>
    <row r="95" ht="15.75" customHeight="1">
      <c r="A95" s="7" t="s">
        <v>632</v>
      </c>
      <c r="B95" s="13" t="s">
        <v>98</v>
      </c>
      <c r="C95" s="14" t="s">
        <v>34</v>
      </c>
      <c r="D95" s="14" t="s">
        <v>35</v>
      </c>
      <c r="E95" s="14" t="s">
        <v>635</v>
      </c>
      <c r="F95" s="9" t="s">
        <v>37</v>
      </c>
      <c r="G95" s="9" t="b">
        <v>0</v>
      </c>
      <c r="H95" s="9" t="s">
        <v>636</v>
      </c>
      <c r="I95" s="9">
        <v>22.0</v>
      </c>
      <c r="J95" s="9">
        <v>0.02</v>
      </c>
      <c r="K95" s="9">
        <v>1.77</v>
      </c>
    </row>
    <row r="96" ht="15.75" customHeight="1">
      <c r="A96" s="7" t="s">
        <v>638</v>
      </c>
      <c r="B96" s="13" t="s">
        <v>22</v>
      </c>
      <c r="C96" s="14" t="s">
        <v>23</v>
      </c>
      <c r="D96" s="14" t="s">
        <v>46</v>
      </c>
      <c r="E96" s="14" t="s">
        <v>640</v>
      </c>
      <c r="F96" s="9" t="s">
        <v>27</v>
      </c>
      <c r="G96" s="9" t="b">
        <v>0</v>
      </c>
      <c r="H96" s="9" t="s">
        <v>642</v>
      </c>
      <c r="I96" s="9">
        <v>21.0</v>
      </c>
      <c r="J96" s="9">
        <v>0.02</v>
      </c>
      <c r="K96" s="9">
        <v>0.38</v>
      </c>
    </row>
    <row r="97" ht="15.75" customHeight="1">
      <c r="A97" s="7" t="s">
        <v>644</v>
      </c>
      <c r="B97" s="13" t="s">
        <v>29</v>
      </c>
      <c r="C97" s="14" t="s">
        <v>34</v>
      </c>
      <c r="D97" s="14" t="s">
        <v>46</v>
      </c>
      <c r="E97" s="14" t="s">
        <v>646</v>
      </c>
      <c r="F97" s="9" t="s">
        <v>37</v>
      </c>
      <c r="G97" s="9" t="b">
        <v>0</v>
      </c>
      <c r="H97" s="9" t="s">
        <v>647</v>
      </c>
      <c r="I97" s="9">
        <v>21.0</v>
      </c>
      <c r="J97" s="9">
        <v>0.02</v>
      </c>
      <c r="K97" s="9">
        <v>0.86</v>
      </c>
    </row>
    <row r="98" ht="15.75" customHeight="1">
      <c r="A98" s="7" t="s">
        <v>650</v>
      </c>
      <c r="B98" s="13" t="s">
        <v>300</v>
      </c>
      <c r="C98" s="14" t="s">
        <v>144</v>
      </c>
      <c r="D98" s="14" t="s">
        <v>46</v>
      </c>
      <c r="E98" s="14" t="s">
        <v>654</v>
      </c>
      <c r="F98" s="9" t="s">
        <v>147</v>
      </c>
      <c r="G98" s="9" t="b">
        <v>0</v>
      </c>
      <c r="I98" s="9">
        <v>21.0</v>
      </c>
      <c r="J98" s="9">
        <v>0.02</v>
      </c>
      <c r="K98" s="9">
        <v>0.33</v>
      </c>
    </row>
    <row r="99" ht="15.75" customHeight="1">
      <c r="A99" s="7" t="s">
        <v>656</v>
      </c>
      <c r="B99" s="13" t="s">
        <v>332</v>
      </c>
      <c r="C99" s="14" t="s">
        <v>144</v>
      </c>
      <c r="D99" s="14" t="s">
        <v>46</v>
      </c>
      <c r="E99" s="14" t="s">
        <v>663</v>
      </c>
      <c r="F99" s="9" t="s">
        <v>147</v>
      </c>
      <c r="G99" s="9" t="b">
        <v>0</v>
      </c>
      <c r="H99" s="9" t="s">
        <v>188</v>
      </c>
      <c r="I99" s="9">
        <v>21.0</v>
      </c>
      <c r="J99" s="9">
        <v>0.02</v>
      </c>
      <c r="K99" s="9">
        <v>1.05</v>
      </c>
    </row>
    <row r="100" ht="15.75" customHeight="1">
      <c r="A100" s="7" t="s">
        <v>665</v>
      </c>
      <c r="B100" s="13" t="s">
        <v>247</v>
      </c>
      <c r="C100" s="14" t="s">
        <v>144</v>
      </c>
      <c r="D100" s="14" t="s">
        <v>46</v>
      </c>
      <c r="E100" s="14" t="s">
        <v>669</v>
      </c>
      <c r="F100" s="9" t="s">
        <v>147</v>
      </c>
      <c r="G100" s="9" t="b">
        <v>0</v>
      </c>
      <c r="I100" s="9">
        <v>21.0</v>
      </c>
      <c r="J100" s="9">
        <v>0.02</v>
      </c>
      <c r="K100" s="9">
        <v>1.43</v>
      </c>
    </row>
    <row r="101" ht="15.75" customHeight="1">
      <c r="A101" s="7" t="s">
        <v>670</v>
      </c>
      <c r="B101" s="13" t="s">
        <v>126</v>
      </c>
      <c r="C101" s="14" t="s">
        <v>34</v>
      </c>
      <c r="D101" s="14" t="s">
        <v>35</v>
      </c>
      <c r="E101" s="14" t="s">
        <v>343</v>
      </c>
      <c r="F101" s="9" t="s">
        <v>37</v>
      </c>
      <c r="G101" s="9" t="b">
        <v>0</v>
      </c>
      <c r="H101" s="9" t="s">
        <v>344</v>
      </c>
      <c r="I101" s="9">
        <v>21.0</v>
      </c>
      <c r="J101" s="9">
        <v>0.02</v>
      </c>
      <c r="K101" s="9">
        <v>2.33</v>
      </c>
    </row>
    <row r="102" ht="15.75" customHeight="1">
      <c r="A102" s="7" t="s">
        <v>674</v>
      </c>
      <c r="B102" s="13" t="s">
        <v>301</v>
      </c>
      <c r="C102" s="14" t="s">
        <v>144</v>
      </c>
      <c r="D102" s="14" t="s">
        <v>35</v>
      </c>
      <c r="E102" s="14" t="s">
        <v>678</v>
      </c>
      <c r="F102" s="9" t="s">
        <v>147</v>
      </c>
      <c r="G102" s="9" t="b">
        <v>0</v>
      </c>
      <c r="H102" s="9" t="s">
        <v>679</v>
      </c>
      <c r="I102" s="9">
        <v>21.0</v>
      </c>
      <c r="J102" s="9">
        <v>0.02</v>
      </c>
      <c r="K102" s="9">
        <v>0.95</v>
      </c>
    </row>
    <row r="103" ht="15.75" customHeight="1">
      <c r="A103" s="7" t="s">
        <v>680</v>
      </c>
      <c r="B103" s="13" t="s">
        <v>22</v>
      </c>
      <c r="C103" s="14" t="s">
        <v>169</v>
      </c>
      <c r="D103" s="14" t="s">
        <v>46</v>
      </c>
      <c r="E103" s="14" t="s">
        <v>681</v>
      </c>
      <c r="F103" s="9" t="s">
        <v>94</v>
      </c>
      <c r="G103" s="9" t="b">
        <v>0</v>
      </c>
      <c r="H103" s="9" t="s">
        <v>683</v>
      </c>
      <c r="I103" s="9">
        <v>20.0</v>
      </c>
      <c r="J103" s="9">
        <v>0.02</v>
      </c>
      <c r="K103" s="9">
        <v>0.6</v>
      </c>
    </row>
    <row r="104" ht="15.75" customHeight="1">
      <c r="A104" s="7" t="s">
        <v>684</v>
      </c>
      <c r="B104" s="13" t="s">
        <v>22</v>
      </c>
      <c r="C104" s="14" t="s">
        <v>23</v>
      </c>
      <c r="D104" s="14" t="s">
        <v>46</v>
      </c>
      <c r="E104" s="14" t="s">
        <v>687</v>
      </c>
      <c r="F104" s="9" t="s">
        <v>27</v>
      </c>
      <c r="G104" s="9" t="b">
        <v>0</v>
      </c>
      <c r="H104" s="9" t="s">
        <v>688</v>
      </c>
      <c r="I104" s="9">
        <v>20.0</v>
      </c>
      <c r="J104" s="9">
        <v>0.02</v>
      </c>
      <c r="K104" s="9">
        <v>0.55</v>
      </c>
    </row>
    <row r="105" ht="15.75" customHeight="1">
      <c r="A105" s="7" t="s">
        <v>689</v>
      </c>
      <c r="B105" s="13" t="s">
        <v>29</v>
      </c>
      <c r="C105" s="14" t="s">
        <v>34</v>
      </c>
      <c r="D105" s="14" t="s">
        <v>46</v>
      </c>
      <c r="E105" s="14" t="s">
        <v>693</v>
      </c>
      <c r="F105" s="9" t="s">
        <v>37</v>
      </c>
      <c r="G105" s="9" t="b">
        <v>0</v>
      </c>
      <c r="H105" s="9" t="s">
        <v>694</v>
      </c>
      <c r="I105" s="9">
        <v>20.0</v>
      </c>
      <c r="J105" s="9">
        <v>0.02</v>
      </c>
      <c r="K105" s="9">
        <v>0.65</v>
      </c>
    </row>
    <row r="106" ht="15.75" customHeight="1">
      <c r="A106" s="7" t="s">
        <v>695</v>
      </c>
      <c r="B106" s="13" t="s">
        <v>67</v>
      </c>
      <c r="C106" s="14" t="s">
        <v>34</v>
      </c>
      <c r="D106" s="14" t="s">
        <v>46</v>
      </c>
      <c r="E106" s="14" t="s">
        <v>699</v>
      </c>
      <c r="F106" s="9" t="s">
        <v>37</v>
      </c>
      <c r="G106" s="9" t="b">
        <v>1</v>
      </c>
      <c r="H106" s="9" t="s">
        <v>700</v>
      </c>
      <c r="I106" s="9">
        <v>20.0</v>
      </c>
      <c r="J106" s="9">
        <v>0.02</v>
      </c>
      <c r="K106" s="9">
        <v>1.7</v>
      </c>
    </row>
    <row r="107" ht="15.75" customHeight="1">
      <c r="A107" s="7" t="s">
        <v>702</v>
      </c>
      <c r="B107" s="13" t="s">
        <v>160</v>
      </c>
      <c r="C107" s="14" t="s">
        <v>34</v>
      </c>
      <c r="D107" s="14" t="s">
        <v>46</v>
      </c>
      <c r="E107" s="14" t="s">
        <v>706</v>
      </c>
      <c r="F107" s="9" t="s">
        <v>37</v>
      </c>
      <c r="G107" s="9" t="b">
        <v>0</v>
      </c>
      <c r="H107" s="9" t="s">
        <v>707</v>
      </c>
      <c r="I107" s="9">
        <v>20.0</v>
      </c>
      <c r="J107" s="9">
        <v>0.02</v>
      </c>
      <c r="K107" s="9">
        <v>0.9</v>
      </c>
    </row>
    <row r="108" ht="15.75" customHeight="1">
      <c r="A108" s="7" t="s">
        <v>708</v>
      </c>
      <c r="B108" s="13" t="s">
        <v>339</v>
      </c>
      <c r="C108" s="14" t="s">
        <v>521</v>
      </c>
      <c r="D108" s="14" t="s">
        <v>46</v>
      </c>
      <c r="E108" s="14" t="s">
        <v>713</v>
      </c>
      <c r="F108" s="9" t="s">
        <v>523</v>
      </c>
      <c r="G108" s="9" t="b">
        <v>0</v>
      </c>
      <c r="H108" s="9" t="s">
        <v>340</v>
      </c>
      <c r="I108" s="9">
        <v>20.0</v>
      </c>
      <c r="J108" s="9">
        <v>0.02</v>
      </c>
      <c r="K108" s="9">
        <v>1.0</v>
      </c>
    </row>
    <row r="109" ht="15.75" customHeight="1">
      <c r="A109" s="7" t="s">
        <v>715</v>
      </c>
      <c r="B109" s="13" t="s">
        <v>296</v>
      </c>
      <c r="C109" s="14" t="s">
        <v>34</v>
      </c>
      <c r="D109" s="14" t="s">
        <v>35</v>
      </c>
      <c r="E109" s="14" t="s">
        <v>718</v>
      </c>
      <c r="F109" s="9" t="s">
        <v>37</v>
      </c>
      <c r="G109" s="9" t="b">
        <v>0</v>
      </c>
      <c r="H109" s="9" t="s">
        <v>719</v>
      </c>
      <c r="I109" s="9">
        <v>20.0</v>
      </c>
      <c r="J109" s="9">
        <v>0.02</v>
      </c>
      <c r="K109" s="9">
        <v>1.9</v>
      </c>
    </row>
    <row r="110" ht="15.75" customHeight="1">
      <c r="A110" s="7" t="s">
        <v>721</v>
      </c>
      <c r="B110" s="13" t="s">
        <v>189</v>
      </c>
      <c r="C110" s="14" t="s">
        <v>169</v>
      </c>
      <c r="D110" s="14" t="s">
        <v>46</v>
      </c>
      <c r="E110" s="15"/>
      <c r="F110" s="9" t="s">
        <v>94</v>
      </c>
      <c r="H110" s="9" t="s">
        <v>172</v>
      </c>
      <c r="I110" s="9">
        <v>20.0</v>
      </c>
      <c r="J110" s="9">
        <v>0.02</v>
      </c>
      <c r="K110" s="9">
        <v>0.55</v>
      </c>
    </row>
    <row r="111" ht="15.75" customHeight="1">
      <c r="A111" s="7" t="s">
        <v>729</v>
      </c>
      <c r="B111" s="13" t="s">
        <v>306</v>
      </c>
      <c r="C111" s="14" t="s">
        <v>34</v>
      </c>
      <c r="D111" s="14" t="s">
        <v>46</v>
      </c>
      <c r="E111" s="14" t="s">
        <v>733</v>
      </c>
      <c r="F111" s="9" t="s">
        <v>37</v>
      </c>
      <c r="G111" s="9" t="b">
        <v>0</v>
      </c>
      <c r="H111" s="9" t="s">
        <v>735</v>
      </c>
      <c r="I111" s="9">
        <v>20.0</v>
      </c>
      <c r="J111" s="9">
        <v>0.02</v>
      </c>
      <c r="K111" s="9">
        <v>1.85</v>
      </c>
    </row>
    <row r="112" ht="15.75" customHeight="1">
      <c r="A112" s="7" t="s">
        <v>736</v>
      </c>
      <c r="B112" s="13" t="s">
        <v>22</v>
      </c>
      <c r="C112" s="14" t="s">
        <v>23</v>
      </c>
      <c r="D112" s="14" t="s">
        <v>46</v>
      </c>
      <c r="E112" s="14" t="s">
        <v>738</v>
      </c>
      <c r="F112" s="9" t="s">
        <v>27</v>
      </c>
      <c r="G112" s="9" t="b">
        <v>0</v>
      </c>
      <c r="H112" s="9" t="s">
        <v>739</v>
      </c>
      <c r="I112" s="9">
        <v>19.0</v>
      </c>
      <c r="J112" s="9">
        <v>0.02</v>
      </c>
      <c r="K112" s="9">
        <v>0.42</v>
      </c>
    </row>
    <row r="113" ht="15.75" customHeight="1">
      <c r="A113" s="7" t="s">
        <v>741</v>
      </c>
      <c r="B113" s="13" t="s">
        <v>135</v>
      </c>
      <c r="C113" s="14" t="s">
        <v>169</v>
      </c>
      <c r="D113" s="14" t="s">
        <v>35</v>
      </c>
      <c r="E113" s="14" t="s">
        <v>743</v>
      </c>
      <c r="F113" s="9" t="s">
        <v>94</v>
      </c>
      <c r="G113" s="9" t="b">
        <v>0</v>
      </c>
      <c r="H113" s="9" t="s">
        <v>137</v>
      </c>
      <c r="I113" s="9">
        <v>19.0</v>
      </c>
      <c r="J113" s="9">
        <v>0.02</v>
      </c>
      <c r="K113" s="9">
        <v>1.0</v>
      </c>
    </row>
    <row r="114" ht="15.75" customHeight="1">
      <c r="A114" s="7" t="s">
        <v>745</v>
      </c>
      <c r="B114" s="13" t="s">
        <v>182</v>
      </c>
      <c r="C114" s="14" t="s">
        <v>23</v>
      </c>
      <c r="D114" s="14" t="s">
        <v>46</v>
      </c>
      <c r="E114" s="14" t="s">
        <v>747</v>
      </c>
      <c r="F114" s="9" t="s">
        <v>27</v>
      </c>
      <c r="G114" s="9" t="b">
        <v>0</v>
      </c>
      <c r="H114" s="9" t="s">
        <v>748</v>
      </c>
      <c r="I114" s="9">
        <v>19.0</v>
      </c>
      <c r="J114" s="9">
        <v>0.02</v>
      </c>
      <c r="K114" s="9">
        <v>0.0</v>
      </c>
    </row>
    <row r="115" ht="15.75" customHeight="1">
      <c r="A115" s="7" t="s">
        <v>750</v>
      </c>
      <c r="B115" s="13" t="s">
        <v>342</v>
      </c>
      <c r="C115" s="14" t="s">
        <v>34</v>
      </c>
      <c r="D115" s="14" t="s">
        <v>46</v>
      </c>
      <c r="E115" s="14" t="s">
        <v>754</v>
      </c>
      <c r="F115" s="9" t="s">
        <v>37</v>
      </c>
      <c r="G115" s="9" t="b">
        <v>0</v>
      </c>
      <c r="H115" s="9" t="s">
        <v>345</v>
      </c>
      <c r="I115" s="9">
        <v>19.0</v>
      </c>
      <c r="J115" s="9">
        <v>0.02</v>
      </c>
      <c r="K115" s="9">
        <v>1.68</v>
      </c>
    </row>
    <row r="116" ht="15.75" customHeight="1">
      <c r="A116" s="7" t="s">
        <v>755</v>
      </c>
      <c r="B116" s="13" t="s">
        <v>341</v>
      </c>
      <c r="C116" s="14" t="s">
        <v>521</v>
      </c>
      <c r="D116" s="14" t="s">
        <v>46</v>
      </c>
      <c r="E116" s="14" t="s">
        <v>759</v>
      </c>
      <c r="F116" s="9" t="s">
        <v>523</v>
      </c>
      <c r="G116" s="9" t="b">
        <v>0</v>
      </c>
      <c r="I116" s="9">
        <v>19.0</v>
      </c>
      <c r="J116" s="9">
        <v>0.02</v>
      </c>
      <c r="K116" s="9">
        <v>2.11</v>
      </c>
    </row>
    <row r="117" ht="15.75" customHeight="1">
      <c r="A117" s="7" t="s">
        <v>761</v>
      </c>
      <c r="B117" s="13" t="s">
        <v>15</v>
      </c>
      <c r="C117" s="14" t="s">
        <v>23</v>
      </c>
      <c r="D117" s="14" t="s">
        <v>46</v>
      </c>
      <c r="E117" s="14" t="s">
        <v>764</v>
      </c>
      <c r="F117" s="9" t="s">
        <v>27</v>
      </c>
      <c r="G117" s="9" t="b">
        <v>0</v>
      </c>
      <c r="H117" s="9" t="s">
        <v>765</v>
      </c>
      <c r="I117" s="9">
        <v>19.0</v>
      </c>
      <c r="J117" s="9">
        <v>0.02</v>
      </c>
      <c r="K117" s="9">
        <v>0.32</v>
      </c>
    </row>
    <row r="118" ht="15.75" customHeight="1">
      <c r="A118" s="7" t="s">
        <v>766</v>
      </c>
      <c r="B118" s="13" t="s">
        <v>43</v>
      </c>
      <c r="C118" s="14" t="s">
        <v>34</v>
      </c>
      <c r="D118" s="14" t="s">
        <v>46</v>
      </c>
      <c r="E118" s="14" t="s">
        <v>768</v>
      </c>
      <c r="F118" s="9" t="s">
        <v>37</v>
      </c>
      <c r="G118" s="9" t="b">
        <v>0</v>
      </c>
      <c r="H118" s="9" t="s">
        <v>769</v>
      </c>
      <c r="I118" s="9">
        <v>19.0</v>
      </c>
      <c r="J118" s="9">
        <v>0.02</v>
      </c>
      <c r="K118" s="9">
        <v>0.32</v>
      </c>
    </row>
    <row r="119" ht="15.75" customHeight="1">
      <c r="A119" s="7" t="s">
        <v>770</v>
      </c>
      <c r="B119" s="13" t="s">
        <v>43</v>
      </c>
      <c r="C119" s="14" t="s">
        <v>34</v>
      </c>
      <c r="D119" s="14" t="s">
        <v>46</v>
      </c>
      <c r="E119" s="14" t="s">
        <v>772</v>
      </c>
      <c r="F119" s="9" t="s">
        <v>37</v>
      </c>
      <c r="G119" s="9" t="b">
        <v>0</v>
      </c>
      <c r="H119" s="9" t="s">
        <v>773</v>
      </c>
      <c r="I119" s="9">
        <v>19.0</v>
      </c>
      <c r="J119" s="9">
        <v>0.02</v>
      </c>
      <c r="K119" s="9">
        <v>1.53</v>
      </c>
    </row>
    <row r="120" ht="15.75" customHeight="1">
      <c r="A120" s="7" t="s">
        <v>774</v>
      </c>
      <c r="B120" s="13" t="s">
        <v>29</v>
      </c>
      <c r="C120" s="14" t="s">
        <v>34</v>
      </c>
      <c r="D120" s="14" t="s">
        <v>46</v>
      </c>
      <c r="E120" s="14" t="s">
        <v>776</v>
      </c>
      <c r="F120" s="9" t="s">
        <v>37</v>
      </c>
      <c r="G120" s="9" t="b">
        <v>0</v>
      </c>
      <c r="H120" s="9" t="s">
        <v>778</v>
      </c>
      <c r="I120" s="9">
        <v>18.0</v>
      </c>
      <c r="J120" s="9">
        <v>0.02</v>
      </c>
      <c r="K120" s="9">
        <v>1.61</v>
      </c>
    </row>
    <row r="121" ht="15.75" customHeight="1">
      <c r="A121" s="7" t="s">
        <v>779</v>
      </c>
      <c r="B121" s="13" t="s">
        <v>42</v>
      </c>
      <c r="C121" s="14" t="s">
        <v>34</v>
      </c>
      <c r="D121" s="14" t="s">
        <v>35</v>
      </c>
      <c r="E121" s="14" t="s">
        <v>781</v>
      </c>
      <c r="F121" s="9" t="s">
        <v>37</v>
      </c>
      <c r="G121" s="9" t="b">
        <v>0</v>
      </c>
      <c r="H121" s="9" t="s">
        <v>782</v>
      </c>
      <c r="I121" s="9">
        <v>18.0</v>
      </c>
      <c r="J121" s="9">
        <v>0.02</v>
      </c>
      <c r="K121" s="9">
        <v>0.44</v>
      </c>
    </row>
    <row r="122" ht="15.75" customHeight="1">
      <c r="A122" s="7" t="s">
        <v>784</v>
      </c>
      <c r="B122" s="13" t="s">
        <v>111</v>
      </c>
      <c r="C122" s="14" t="s">
        <v>34</v>
      </c>
      <c r="D122" s="14" t="s">
        <v>46</v>
      </c>
      <c r="E122" s="14" t="s">
        <v>787</v>
      </c>
      <c r="F122" s="9" t="s">
        <v>37</v>
      </c>
      <c r="G122" s="9" t="b">
        <v>0</v>
      </c>
      <c r="H122" s="9" t="s">
        <v>788</v>
      </c>
      <c r="I122" s="9">
        <v>18.0</v>
      </c>
      <c r="J122" s="9">
        <v>0.02</v>
      </c>
      <c r="K122" s="9">
        <v>0.61</v>
      </c>
    </row>
    <row r="123" ht="15.75" customHeight="1">
      <c r="A123" s="7" t="s">
        <v>790</v>
      </c>
      <c r="B123" s="13" t="s">
        <v>15</v>
      </c>
      <c r="C123" s="14" t="s">
        <v>23</v>
      </c>
      <c r="D123" s="14" t="s">
        <v>46</v>
      </c>
      <c r="E123" s="14" t="s">
        <v>791</v>
      </c>
      <c r="F123" s="9" t="s">
        <v>27</v>
      </c>
      <c r="G123" s="9" t="b">
        <v>0</v>
      </c>
      <c r="H123" s="9" t="s">
        <v>792</v>
      </c>
      <c r="I123" s="9">
        <v>18.0</v>
      </c>
      <c r="J123" s="9">
        <v>0.02</v>
      </c>
      <c r="K123" s="9">
        <v>0.06</v>
      </c>
    </row>
    <row r="124" ht="15.75" customHeight="1">
      <c r="A124" s="7" t="s">
        <v>794</v>
      </c>
      <c r="B124" s="13" t="s">
        <v>22</v>
      </c>
      <c r="C124" s="14" t="s">
        <v>23</v>
      </c>
      <c r="D124" s="14" t="s">
        <v>46</v>
      </c>
      <c r="E124" s="14" t="s">
        <v>797</v>
      </c>
      <c r="F124" s="9" t="s">
        <v>27</v>
      </c>
      <c r="G124" s="9" t="b">
        <v>0</v>
      </c>
      <c r="H124" s="9" t="s">
        <v>683</v>
      </c>
      <c r="I124" s="9">
        <v>17.0</v>
      </c>
      <c r="J124" s="9">
        <v>0.02</v>
      </c>
      <c r="K124" s="9">
        <v>0.18</v>
      </c>
    </row>
    <row r="125" ht="15.75" customHeight="1">
      <c r="A125" s="7" t="s">
        <v>798</v>
      </c>
      <c r="B125" s="13" t="s">
        <v>206</v>
      </c>
      <c r="C125" s="14" t="s">
        <v>144</v>
      </c>
      <c r="D125" s="14" t="s">
        <v>35</v>
      </c>
      <c r="E125" s="14" t="s">
        <v>801</v>
      </c>
      <c r="F125" s="9" t="s">
        <v>147</v>
      </c>
      <c r="G125" s="9" t="b">
        <v>0</v>
      </c>
      <c r="H125" s="9" t="s">
        <v>803</v>
      </c>
      <c r="I125" s="9">
        <v>17.0</v>
      </c>
      <c r="J125" s="9">
        <v>0.02</v>
      </c>
      <c r="K125" s="9">
        <v>1.12</v>
      </c>
    </row>
    <row r="126" ht="15.75" customHeight="1">
      <c r="A126" s="7" t="s">
        <v>804</v>
      </c>
      <c r="B126" s="13" t="s">
        <v>390</v>
      </c>
      <c r="C126" s="14" t="s">
        <v>521</v>
      </c>
      <c r="D126" s="14" t="s">
        <v>46</v>
      </c>
      <c r="E126" s="14" t="s">
        <v>809</v>
      </c>
      <c r="F126" s="9" t="s">
        <v>523</v>
      </c>
      <c r="G126" s="9" t="b">
        <v>0</v>
      </c>
      <c r="H126" s="9" t="s">
        <v>810</v>
      </c>
      <c r="I126" s="9">
        <v>17.0</v>
      </c>
      <c r="J126" s="9">
        <v>0.02</v>
      </c>
      <c r="K126" s="9">
        <v>0.24</v>
      </c>
    </row>
    <row r="127" ht="15.75" customHeight="1">
      <c r="A127" s="7" t="s">
        <v>811</v>
      </c>
      <c r="B127" s="13" t="s">
        <v>362</v>
      </c>
      <c r="C127" s="14" t="s">
        <v>34</v>
      </c>
      <c r="D127" s="14" t="s">
        <v>46</v>
      </c>
      <c r="E127" s="14" t="s">
        <v>820</v>
      </c>
      <c r="F127" s="9" t="s">
        <v>37</v>
      </c>
      <c r="G127" s="9" t="b">
        <v>0</v>
      </c>
      <c r="H127" s="9" t="s">
        <v>821</v>
      </c>
      <c r="I127" s="9">
        <v>17.0</v>
      </c>
      <c r="J127" s="9">
        <v>0.02</v>
      </c>
      <c r="K127" s="9">
        <v>0.53</v>
      </c>
    </row>
    <row r="128" ht="15.75" customHeight="1">
      <c r="A128" s="7" t="s">
        <v>822</v>
      </c>
      <c r="B128" s="13" t="s">
        <v>33</v>
      </c>
      <c r="C128" s="14" t="s">
        <v>61</v>
      </c>
      <c r="D128" s="14" t="s">
        <v>62</v>
      </c>
      <c r="E128" s="14" t="s">
        <v>824</v>
      </c>
      <c r="F128" s="9" t="s">
        <v>64</v>
      </c>
      <c r="G128" s="9" t="b">
        <v>0</v>
      </c>
      <c r="H128" s="9" t="s">
        <v>825</v>
      </c>
      <c r="I128" s="9">
        <v>17.0</v>
      </c>
      <c r="J128" s="9">
        <v>0.02</v>
      </c>
      <c r="K128" s="9">
        <v>0.35</v>
      </c>
    </row>
    <row r="129" ht="15.75" customHeight="1">
      <c r="A129" s="7" t="s">
        <v>827</v>
      </c>
      <c r="B129" s="13" t="s">
        <v>268</v>
      </c>
      <c r="C129" s="14" t="s">
        <v>23</v>
      </c>
      <c r="D129" s="14" t="s">
        <v>169</v>
      </c>
      <c r="E129" s="14" t="s">
        <v>829</v>
      </c>
      <c r="F129" s="9" t="s">
        <v>27</v>
      </c>
      <c r="G129" s="9" t="b">
        <v>0</v>
      </c>
      <c r="I129" s="9">
        <v>17.0</v>
      </c>
      <c r="J129" s="9">
        <v>0.02</v>
      </c>
      <c r="K129" s="9">
        <v>0.47</v>
      </c>
    </row>
    <row r="130" ht="15.75" customHeight="1">
      <c r="A130" s="7" t="s">
        <v>830</v>
      </c>
      <c r="B130" s="13" t="s">
        <v>241</v>
      </c>
      <c r="C130" s="14" t="s">
        <v>144</v>
      </c>
      <c r="D130" s="14" t="s">
        <v>46</v>
      </c>
      <c r="E130" s="14" t="s">
        <v>834</v>
      </c>
      <c r="F130" s="9" t="s">
        <v>147</v>
      </c>
      <c r="G130" s="9" t="b">
        <v>0</v>
      </c>
      <c r="I130" s="9">
        <v>17.0</v>
      </c>
      <c r="J130" s="9">
        <v>0.02</v>
      </c>
      <c r="K130" s="9">
        <v>0.82</v>
      </c>
    </row>
    <row r="131" ht="15.75" customHeight="1">
      <c r="A131" s="7" t="s">
        <v>836</v>
      </c>
      <c r="B131" s="13" t="s">
        <v>308</v>
      </c>
      <c r="C131" s="14" t="s">
        <v>169</v>
      </c>
      <c r="D131" s="14" t="s">
        <v>169</v>
      </c>
      <c r="E131" s="14" t="s">
        <v>841</v>
      </c>
      <c r="F131" s="9" t="s">
        <v>94</v>
      </c>
      <c r="G131" s="9" t="b">
        <v>0</v>
      </c>
      <c r="H131" s="9" t="s">
        <v>843</v>
      </c>
      <c r="I131" s="9">
        <v>17.0</v>
      </c>
      <c r="J131" s="9">
        <v>0.02</v>
      </c>
      <c r="K131" s="9">
        <v>1.29</v>
      </c>
    </row>
    <row r="132" ht="15.75" customHeight="1">
      <c r="A132" s="7" t="s">
        <v>845</v>
      </c>
      <c r="B132" s="13" t="s">
        <v>145</v>
      </c>
      <c r="C132" s="14" t="s">
        <v>521</v>
      </c>
      <c r="D132" s="14" t="s">
        <v>169</v>
      </c>
      <c r="E132" s="14" t="s">
        <v>849</v>
      </c>
      <c r="F132" s="9" t="s">
        <v>523</v>
      </c>
      <c r="G132" s="9" t="b">
        <v>0</v>
      </c>
      <c r="H132" s="9" t="s">
        <v>850</v>
      </c>
      <c r="I132" s="9">
        <v>17.0</v>
      </c>
      <c r="J132" s="9">
        <v>0.02</v>
      </c>
      <c r="K132" s="9">
        <v>1.06</v>
      </c>
    </row>
    <row r="133" ht="15.75" customHeight="1">
      <c r="A133" s="7" t="s">
        <v>851</v>
      </c>
      <c r="B133" s="13" t="s">
        <v>15</v>
      </c>
      <c r="C133" s="14" t="s">
        <v>23</v>
      </c>
      <c r="D133" s="14" t="s">
        <v>46</v>
      </c>
      <c r="E133" s="14" t="s">
        <v>856</v>
      </c>
      <c r="F133" s="9" t="s">
        <v>27</v>
      </c>
      <c r="G133" s="9" t="b">
        <v>0</v>
      </c>
      <c r="H133" s="9" t="s">
        <v>857</v>
      </c>
      <c r="I133" s="9">
        <v>17.0</v>
      </c>
      <c r="J133" s="9">
        <v>0.02</v>
      </c>
      <c r="K133" s="9">
        <v>0.94</v>
      </c>
    </row>
    <row r="134" ht="15.75" customHeight="1">
      <c r="A134" s="7" t="s">
        <v>859</v>
      </c>
      <c r="B134" s="14" t="s">
        <v>355</v>
      </c>
      <c r="C134" s="14" t="s">
        <v>61</v>
      </c>
      <c r="D134" s="14" t="s">
        <v>46</v>
      </c>
      <c r="E134" s="14" t="s">
        <v>863</v>
      </c>
      <c r="F134" s="9" t="s">
        <v>64</v>
      </c>
      <c r="G134" s="9" t="b">
        <v>0</v>
      </c>
      <c r="I134" s="9">
        <v>17.0</v>
      </c>
      <c r="J134" s="9">
        <v>0.02</v>
      </c>
      <c r="K134" s="9">
        <v>0.0</v>
      </c>
    </row>
    <row r="135" ht="15.75" customHeight="1">
      <c r="A135" s="7" t="s">
        <v>864</v>
      </c>
      <c r="B135" s="13" t="s">
        <v>347</v>
      </c>
      <c r="C135" s="14" t="s">
        <v>144</v>
      </c>
      <c r="D135" s="14" t="s">
        <v>46</v>
      </c>
      <c r="E135" s="14" t="s">
        <v>872</v>
      </c>
      <c r="F135" s="9" t="s">
        <v>147</v>
      </c>
      <c r="G135" s="9" t="b">
        <v>0</v>
      </c>
      <c r="I135" s="9">
        <v>17.0</v>
      </c>
      <c r="J135" s="9">
        <v>0.02</v>
      </c>
      <c r="K135" s="9">
        <v>1.35</v>
      </c>
    </row>
    <row r="136" ht="15.75" customHeight="1">
      <c r="A136" s="7" t="s">
        <v>873</v>
      </c>
      <c r="B136" s="13" t="s">
        <v>328</v>
      </c>
      <c r="C136" s="14" t="s">
        <v>521</v>
      </c>
      <c r="D136" s="14" t="s">
        <v>46</v>
      </c>
      <c r="E136" s="14" t="s">
        <v>877</v>
      </c>
      <c r="F136" s="9" t="s">
        <v>523</v>
      </c>
      <c r="G136" s="9" t="b">
        <v>0</v>
      </c>
      <c r="H136" s="9" t="s">
        <v>878</v>
      </c>
      <c r="I136" s="9">
        <v>16.0</v>
      </c>
      <c r="J136" s="9">
        <v>0.01</v>
      </c>
      <c r="K136" s="9">
        <v>0.63</v>
      </c>
    </row>
    <row r="137" ht="15.75" customHeight="1">
      <c r="A137" s="7" t="s">
        <v>880</v>
      </c>
      <c r="B137" s="13" t="s">
        <v>428</v>
      </c>
      <c r="C137" s="14" t="s">
        <v>34</v>
      </c>
      <c r="D137" s="14" t="s">
        <v>46</v>
      </c>
      <c r="E137" s="14" t="s">
        <v>883</v>
      </c>
      <c r="F137" s="9" t="s">
        <v>37</v>
      </c>
      <c r="G137" s="9" t="b">
        <v>0</v>
      </c>
      <c r="H137" s="9" t="s">
        <v>884</v>
      </c>
      <c r="I137" s="9">
        <v>16.0</v>
      </c>
      <c r="J137" s="9">
        <v>0.01</v>
      </c>
      <c r="K137" s="9">
        <v>0.56</v>
      </c>
    </row>
    <row r="138" ht="15.75" customHeight="1">
      <c r="A138" s="7" t="s">
        <v>885</v>
      </c>
      <c r="B138" s="13" t="s">
        <v>33</v>
      </c>
      <c r="C138" s="14" t="s">
        <v>23</v>
      </c>
      <c r="D138" s="14" t="s">
        <v>62</v>
      </c>
      <c r="E138" s="14" t="s">
        <v>888</v>
      </c>
      <c r="F138" s="9" t="s">
        <v>27</v>
      </c>
      <c r="G138" s="9" t="b">
        <v>0</v>
      </c>
      <c r="H138" s="9" t="s">
        <v>889</v>
      </c>
      <c r="I138" s="9">
        <v>16.0</v>
      </c>
      <c r="J138" s="9">
        <v>0.01</v>
      </c>
      <c r="K138" s="9">
        <v>0.69</v>
      </c>
    </row>
    <row r="139" ht="15.75" customHeight="1">
      <c r="A139" s="7" t="s">
        <v>890</v>
      </c>
      <c r="B139" s="13" t="s">
        <v>372</v>
      </c>
      <c r="C139" s="14" t="s">
        <v>144</v>
      </c>
      <c r="D139" s="14" t="s">
        <v>35</v>
      </c>
      <c r="E139" s="14" t="s">
        <v>896</v>
      </c>
      <c r="F139" s="9" t="s">
        <v>147</v>
      </c>
      <c r="G139" s="9" t="b">
        <v>0</v>
      </c>
      <c r="H139" s="9" t="s">
        <v>374</v>
      </c>
      <c r="I139" s="9">
        <v>16.0</v>
      </c>
      <c r="J139" s="9">
        <v>0.01</v>
      </c>
      <c r="K139" s="9">
        <v>0.94</v>
      </c>
    </row>
    <row r="140" ht="15.75" customHeight="1">
      <c r="A140" s="7" t="s">
        <v>897</v>
      </c>
      <c r="B140" s="13" t="s">
        <v>401</v>
      </c>
      <c r="C140" s="14" t="s">
        <v>521</v>
      </c>
      <c r="D140" s="14" t="s">
        <v>46</v>
      </c>
      <c r="E140" s="14" t="s">
        <v>901</v>
      </c>
      <c r="F140" s="9" t="s">
        <v>523</v>
      </c>
      <c r="G140" s="9" t="b">
        <v>0</v>
      </c>
      <c r="I140" s="9">
        <v>16.0</v>
      </c>
      <c r="J140" s="9">
        <v>0.01</v>
      </c>
      <c r="K140" s="9">
        <v>1.13</v>
      </c>
    </row>
    <row r="141" ht="15.75" customHeight="1">
      <c r="A141" s="7" t="s">
        <v>902</v>
      </c>
      <c r="B141" s="13" t="s">
        <v>15</v>
      </c>
      <c r="C141" s="14" t="s">
        <v>23</v>
      </c>
      <c r="D141" s="14" t="s">
        <v>46</v>
      </c>
      <c r="E141" s="14" t="s">
        <v>904</v>
      </c>
      <c r="F141" s="9" t="s">
        <v>27</v>
      </c>
      <c r="G141" s="9" t="b">
        <v>0</v>
      </c>
      <c r="H141" s="9" t="s">
        <v>906</v>
      </c>
      <c r="I141" s="9">
        <v>16.0</v>
      </c>
      <c r="J141" s="9">
        <v>0.01</v>
      </c>
      <c r="K141" s="9">
        <v>2.38</v>
      </c>
    </row>
    <row r="142" ht="15.75" customHeight="1">
      <c r="A142" s="7" t="s">
        <v>908</v>
      </c>
      <c r="B142" s="13" t="s">
        <v>15</v>
      </c>
      <c r="C142" s="14" t="s">
        <v>23</v>
      </c>
      <c r="D142" s="14" t="s">
        <v>46</v>
      </c>
      <c r="E142" s="14" t="s">
        <v>910</v>
      </c>
      <c r="F142" s="9" t="s">
        <v>27</v>
      </c>
      <c r="G142" s="9" t="b">
        <v>0</v>
      </c>
      <c r="H142" s="9" t="s">
        <v>911</v>
      </c>
      <c r="I142" s="9">
        <v>16.0</v>
      </c>
      <c r="J142" s="9">
        <v>0.01</v>
      </c>
      <c r="K142" s="9">
        <v>0.19</v>
      </c>
    </row>
    <row r="143" ht="15.75" customHeight="1">
      <c r="A143" s="7" t="s">
        <v>913</v>
      </c>
      <c r="B143" s="13" t="s">
        <v>412</v>
      </c>
      <c r="C143" s="14" t="s">
        <v>34</v>
      </c>
      <c r="D143" s="14" t="s">
        <v>46</v>
      </c>
      <c r="E143" s="14" t="s">
        <v>917</v>
      </c>
      <c r="F143" s="9" t="s">
        <v>37</v>
      </c>
      <c r="G143" s="9" t="b">
        <v>0</v>
      </c>
      <c r="H143" s="9" t="s">
        <v>918</v>
      </c>
      <c r="I143" s="9">
        <v>15.0</v>
      </c>
      <c r="J143" s="9">
        <v>0.01</v>
      </c>
      <c r="K143" s="9">
        <v>0.07</v>
      </c>
    </row>
    <row r="144" ht="15.75" customHeight="1">
      <c r="A144" s="7" t="s">
        <v>921</v>
      </c>
      <c r="B144" s="13" t="s">
        <v>244</v>
      </c>
      <c r="C144" s="14" t="s">
        <v>144</v>
      </c>
      <c r="D144" s="14" t="s">
        <v>35</v>
      </c>
      <c r="E144" s="14" t="s">
        <v>926</v>
      </c>
      <c r="F144" s="9" t="s">
        <v>147</v>
      </c>
      <c r="G144" s="9" t="b">
        <v>0</v>
      </c>
      <c r="H144" s="9" t="s">
        <v>927</v>
      </c>
      <c r="I144" s="9">
        <v>15.0</v>
      </c>
      <c r="J144" s="9">
        <v>0.01</v>
      </c>
      <c r="K144" s="9">
        <v>0.07</v>
      </c>
    </row>
    <row r="145" ht="15.75" customHeight="1">
      <c r="A145" s="7" t="s">
        <v>928</v>
      </c>
      <c r="B145" s="13" t="s">
        <v>19</v>
      </c>
      <c r="C145" s="14" t="s">
        <v>23</v>
      </c>
      <c r="D145" s="14" t="s">
        <v>46</v>
      </c>
      <c r="E145" s="14" t="s">
        <v>931</v>
      </c>
      <c r="F145" s="9" t="s">
        <v>27</v>
      </c>
      <c r="G145" s="9" t="b">
        <v>0</v>
      </c>
      <c r="H145" s="9" t="s">
        <v>932</v>
      </c>
      <c r="I145" s="9">
        <v>15.0</v>
      </c>
      <c r="J145" s="9">
        <v>0.01</v>
      </c>
      <c r="K145" s="9">
        <v>1.33</v>
      </c>
    </row>
    <row r="146" ht="15.75" customHeight="1">
      <c r="A146" s="7" t="s">
        <v>933</v>
      </c>
      <c r="B146" s="13" t="s">
        <v>289</v>
      </c>
      <c r="C146" s="14" t="s">
        <v>144</v>
      </c>
      <c r="D146" s="14" t="s">
        <v>46</v>
      </c>
      <c r="E146" s="14" t="s">
        <v>936</v>
      </c>
      <c r="F146" s="9" t="s">
        <v>147</v>
      </c>
      <c r="G146" s="9" t="b">
        <v>0</v>
      </c>
      <c r="H146" s="9" t="s">
        <v>666</v>
      </c>
      <c r="I146" s="9">
        <v>15.0</v>
      </c>
      <c r="J146" s="9">
        <v>0.01</v>
      </c>
      <c r="K146" s="9">
        <v>1.4</v>
      </c>
    </row>
    <row r="147" ht="15.75" customHeight="1">
      <c r="A147" s="7" t="s">
        <v>938</v>
      </c>
      <c r="B147" s="14" t="s">
        <v>200</v>
      </c>
      <c r="C147" s="14" t="s">
        <v>144</v>
      </c>
      <c r="D147" s="14" t="s">
        <v>46</v>
      </c>
      <c r="E147" s="14" t="s">
        <v>941</v>
      </c>
      <c r="F147" s="9" t="s">
        <v>147</v>
      </c>
      <c r="G147" s="9" t="b">
        <v>0</v>
      </c>
      <c r="H147" s="9" t="s">
        <v>201</v>
      </c>
      <c r="I147" s="9">
        <v>15.0</v>
      </c>
      <c r="J147" s="9">
        <v>0.01</v>
      </c>
      <c r="K147" s="9">
        <v>1.0</v>
      </c>
    </row>
    <row r="148" ht="15.75" customHeight="1">
      <c r="A148" s="7" t="s">
        <v>942</v>
      </c>
      <c r="B148" s="14" t="s">
        <v>133</v>
      </c>
      <c r="C148" s="14" t="s">
        <v>34</v>
      </c>
      <c r="D148" s="14" t="s">
        <v>169</v>
      </c>
      <c r="E148" s="14" t="s">
        <v>944</v>
      </c>
      <c r="F148" s="9" t="s">
        <v>37</v>
      </c>
      <c r="G148" s="9" t="b">
        <v>0</v>
      </c>
      <c r="H148" s="9" t="s">
        <v>188</v>
      </c>
      <c r="I148" s="9">
        <v>15.0</v>
      </c>
      <c r="J148" s="9">
        <v>0.01</v>
      </c>
      <c r="K148" s="9">
        <v>0.2</v>
      </c>
    </row>
    <row r="149" ht="15.75" customHeight="1">
      <c r="A149" s="7" t="s">
        <v>945</v>
      </c>
      <c r="B149" s="13" t="s">
        <v>438</v>
      </c>
      <c r="C149" s="14" t="s">
        <v>34</v>
      </c>
      <c r="D149" s="14" t="s">
        <v>270</v>
      </c>
      <c r="E149" s="14" t="s">
        <v>948</v>
      </c>
      <c r="F149" s="9" t="s">
        <v>37</v>
      </c>
      <c r="G149" s="9" t="b">
        <v>0</v>
      </c>
      <c r="H149" s="9" t="s">
        <v>949</v>
      </c>
      <c r="I149" s="9">
        <v>15.0</v>
      </c>
      <c r="J149" s="9">
        <v>0.01</v>
      </c>
      <c r="K149" s="9">
        <v>1.73</v>
      </c>
    </row>
    <row r="150" ht="15.75" customHeight="1">
      <c r="A150" s="7" t="s">
        <v>950</v>
      </c>
      <c r="B150" s="13" t="s">
        <v>356</v>
      </c>
      <c r="C150" s="14" t="s">
        <v>34</v>
      </c>
      <c r="D150" s="14" t="s">
        <v>953</v>
      </c>
      <c r="E150" s="14" t="s">
        <v>954</v>
      </c>
      <c r="F150" s="9" t="s">
        <v>37</v>
      </c>
      <c r="G150" s="9" t="b">
        <v>0</v>
      </c>
      <c r="H150" s="9" t="s">
        <v>955</v>
      </c>
      <c r="I150" s="9">
        <v>15.0</v>
      </c>
      <c r="J150" s="9">
        <v>0.01</v>
      </c>
      <c r="K150" s="9">
        <v>0.27</v>
      </c>
    </row>
    <row r="151" ht="15.75" customHeight="1">
      <c r="A151" s="7" t="s">
        <v>957</v>
      </c>
      <c r="B151" s="13" t="s">
        <v>166</v>
      </c>
      <c r="C151" s="14" t="s">
        <v>169</v>
      </c>
      <c r="D151" s="14" t="s">
        <v>62</v>
      </c>
      <c r="E151" s="14" t="s">
        <v>583</v>
      </c>
      <c r="F151" s="9" t="s">
        <v>94</v>
      </c>
      <c r="G151" s="9" t="b">
        <v>0</v>
      </c>
      <c r="H151" s="9" t="s">
        <v>959</v>
      </c>
      <c r="I151" s="9">
        <v>14.0</v>
      </c>
      <c r="J151" s="9">
        <v>0.01</v>
      </c>
      <c r="K151" s="9">
        <v>0.0</v>
      </c>
    </row>
    <row r="152" ht="15.75" customHeight="1">
      <c r="A152" s="7" t="s">
        <v>960</v>
      </c>
      <c r="B152" s="13" t="s">
        <v>417</v>
      </c>
      <c r="C152" s="14" t="s">
        <v>144</v>
      </c>
      <c r="D152" s="14" t="s">
        <v>46</v>
      </c>
      <c r="E152" s="14" t="s">
        <v>963</v>
      </c>
      <c r="F152" s="9" t="s">
        <v>147</v>
      </c>
      <c r="G152" s="9" t="b">
        <v>0</v>
      </c>
      <c r="H152" s="9" t="s">
        <v>188</v>
      </c>
      <c r="I152" s="9">
        <v>14.0</v>
      </c>
      <c r="J152" s="9">
        <v>0.01</v>
      </c>
      <c r="K152" s="9">
        <v>1.0</v>
      </c>
    </row>
    <row r="153" ht="15.75" customHeight="1">
      <c r="A153" s="7" t="s">
        <v>964</v>
      </c>
      <c r="B153" s="13" t="s">
        <v>412</v>
      </c>
      <c r="C153" s="14" t="s">
        <v>34</v>
      </c>
      <c r="D153" s="14" t="s">
        <v>46</v>
      </c>
      <c r="E153" s="14" t="s">
        <v>968</v>
      </c>
      <c r="F153" s="9" t="s">
        <v>37</v>
      </c>
      <c r="G153" s="9" t="b">
        <v>0</v>
      </c>
      <c r="H153" s="9" t="s">
        <v>969</v>
      </c>
      <c r="I153" s="9">
        <v>14.0</v>
      </c>
      <c r="J153" s="9">
        <v>0.01</v>
      </c>
      <c r="K153" s="9">
        <v>0.07</v>
      </c>
    </row>
    <row r="154" ht="15.75" customHeight="1">
      <c r="A154" s="7" t="s">
        <v>970</v>
      </c>
      <c r="B154" s="13" t="s">
        <v>349</v>
      </c>
      <c r="C154" s="14" t="s">
        <v>34</v>
      </c>
      <c r="D154" s="14" t="s">
        <v>270</v>
      </c>
      <c r="E154" s="14" t="s">
        <v>974</v>
      </c>
      <c r="F154" s="9" t="s">
        <v>37</v>
      </c>
      <c r="G154" s="9" t="b">
        <v>0</v>
      </c>
      <c r="H154" s="9" t="s">
        <v>975</v>
      </c>
      <c r="I154" s="9">
        <v>14.0</v>
      </c>
      <c r="J154" s="9">
        <v>0.01</v>
      </c>
      <c r="K154" s="9">
        <v>1.86</v>
      </c>
    </row>
    <row r="155" ht="15.75" customHeight="1">
      <c r="A155" s="7" t="s">
        <v>976</v>
      </c>
      <c r="B155" s="13" t="s">
        <v>447</v>
      </c>
      <c r="C155" s="14" t="s">
        <v>34</v>
      </c>
      <c r="D155" s="14" t="s">
        <v>46</v>
      </c>
      <c r="E155" s="14" t="s">
        <v>980</v>
      </c>
      <c r="F155" s="9" t="s">
        <v>37</v>
      </c>
      <c r="G155" s="9" t="b">
        <v>0</v>
      </c>
      <c r="H155" s="9" t="s">
        <v>981</v>
      </c>
      <c r="I155" s="9">
        <v>14.0</v>
      </c>
      <c r="J155" s="9">
        <v>0.01</v>
      </c>
      <c r="K155" s="9">
        <v>0.36</v>
      </c>
    </row>
    <row r="156" ht="15.75" customHeight="1">
      <c r="A156" s="7" t="s">
        <v>982</v>
      </c>
      <c r="B156" s="13" t="s">
        <v>282</v>
      </c>
      <c r="C156" s="14" t="s">
        <v>169</v>
      </c>
      <c r="D156" s="14" t="s">
        <v>46</v>
      </c>
      <c r="E156" s="14" t="s">
        <v>987</v>
      </c>
      <c r="F156" s="9" t="s">
        <v>94</v>
      </c>
      <c r="G156" s="9" t="b">
        <v>0</v>
      </c>
      <c r="H156" s="9" t="s">
        <v>988</v>
      </c>
      <c r="I156" s="9">
        <v>14.0</v>
      </c>
      <c r="J156" s="9">
        <v>0.01</v>
      </c>
      <c r="K156" s="9">
        <v>0.36</v>
      </c>
    </row>
    <row r="157" ht="15.75" customHeight="1">
      <c r="A157" s="7" t="s">
        <v>989</v>
      </c>
      <c r="B157" s="13" t="s">
        <v>19</v>
      </c>
      <c r="C157" s="14" t="s">
        <v>23</v>
      </c>
      <c r="D157" s="14" t="s">
        <v>46</v>
      </c>
      <c r="E157" s="14" t="s">
        <v>991</v>
      </c>
      <c r="F157" s="9" t="s">
        <v>27</v>
      </c>
      <c r="G157" s="9" t="b">
        <v>0</v>
      </c>
      <c r="H157" s="9" t="s">
        <v>992</v>
      </c>
      <c r="I157" s="9">
        <v>14.0</v>
      </c>
      <c r="J157" s="9">
        <v>0.01</v>
      </c>
      <c r="K157" s="9">
        <v>0.0</v>
      </c>
    </row>
    <row r="158" ht="15.75" customHeight="1">
      <c r="A158" s="7" t="s">
        <v>994</v>
      </c>
      <c r="B158" s="13" t="s">
        <v>19</v>
      </c>
      <c r="C158" s="14" t="s">
        <v>23</v>
      </c>
      <c r="D158" s="14" t="s">
        <v>46</v>
      </c>
      <c r="E158" s="14" t="s">
        <v>995</v>
      </c>
      <c r="F158" s="9" t="s">
        <v>27</v>
      </c>
      <c r="G158" s="9" t="b">
        <v>0</v>
      </c>
      <c r="H158" s="9" t="s">
        <v>996</v>
      </c>
      <c r="I158" s="9">
        <v>14.0</v>
      </c>
      <c r="J158" s="9">
        <v>0.01</v>
      </c>
      <c r="K158" s="9">
        <v>3.43</v>
      </c>
    </row>
    <row r="159" ht="15.75" customHeight="1">
      <c r="A159" s="7" t="s">
        <v>997</v>
      </c>
      <c r="B159" s="13" t="s">
        <v>19</v>
      </c>
      <c r="C159" s="14" t="s">
        <v>23</v>
      </c>
      <c r="D159" s="14" t="s">
        <v>46</v>
      </c>
      <c r="E159" s="14" t="s">
        <v>999</v>
      </c>
      <c r="F159" s="9" t="s">
        <v>27</v>
      </c>
      <c r="G159" s="9" t="b">
        <v>0</v>
      </c>
      <c r="H159" s="9" t="s">
        <v>1000</v>
      </c>
      <c r="I159" s="9">
        <v>14.0</v>
      </c>
      <c r="J159" s="9">
        <v>0.01</v>
      </c>
      <c r="K159" s="9">
        <v>3.14</v>
      </c>
    </row>
    <row r="160" ht="15.75" customHeight="1">
      <c r="A160" s="7" t="s">
        <v>1002</v>
      </c>
      <c r="B160" s="13" t="s">
        <v>19</v>
      </c>
      <c r="C160" s="14" t="s">
        <v>23</v>
      </c>
      <c r="D160" s="14" t="s">
        <v>46</v>
      </c>
      <c r="E160" s="14" t="s">
        <v>1004</v>
      </c>
      <c r="F160" s="9" t="s">
        <v>27</v>
      </c>
      <c r="G160" s="9" t="b">
        <v>0</v>
      </c>
      <c r="H160" s="9" t="s">
        <v>1005</v>
      </c>
      <c r="I160" s="9">
        <v>14.0</v>
      </c>
      <c r="J160" s="9">
        <v>0.01</v>
      </c>
      <c r="K160" s="9">
        <v>1.5</v>
      </c>
    </row>
    <row r="161" ht="15.75" customHeight="1">
      <c r="A161" s="7" t="s">
        <v>1006</v>
      </c>
      <c r="B161" s="13" t="s">
        <v>454</v>
      </c>
      <c r="C161" s="14" t="s">
        <v>34</v>
      </c>
      <c r="D161" s="14" t="s">
        <v>46</v>
      </c>
      <c r="E161" s="14" t="s">
        <v>1010</v>
      </c>
      <c r="F161" s="9" t="s">
        <v>37</v>
      </c>
      <c r="G161" s="9" t="b">
        <v>0</v>
      </c>
      <c r="H161" s="9" t="s">
        <v>455</v>
      </c>
      <c r="I161" s="9">
        <v>14.0</v>
      </c>
      <c r="J161" s="9">
        <v>0.01</v>
      </c>
      <c r="K161" s="9">
        <v>1.0</v>
      </c>
    </row>
    <row r="162" ht="15.75" customHeight="1">
      <c r="A162" s="7" t="s">
        <v>1011</v>
      </c>
      <c r="B162" s="13" t="s">
        <v>385</v>
      </c>
      <c r="C162" s="14" t="s">
        <v>521</v>
      </c>
      <c r="D162" s="14" t="s">
        <v>46</v>
      </c>
      <c r="E162" s="14" t="s">
        <v>1015</v>
      </c>
      <c r="F162" s="9" t="s">
        <v>523</v>
      </c>
      <c r="G162" s="9" t="b">
        <v>0</v>
      </c>
      <c r="H162" s="9" t="s">
        <v>386</v>
      </c>
      <c r="I162" s="9">
        <v>14.0</v>
      </c>
      <c r="J162" s="9">
        <v>0.01</v>
      </c>
      <c r="K162" s="9">
        <v>1.07</v>
      </c>
    </row>
    <row r="163" ht="15.75" customHeight="1">
      <c r="A163" s="7" t="s">
        <v>1017</v>
      </c>
      <c r="B163" s="13" t="s">
        <v>269</v>
      </c>
      <c r="C163" s="14" t="s">
        <v>169</v>
      </c>
      <c r="D163" s="14" t="s">
        <v>46</v>
      </c>
      <c r="E163" s="15"/>
      <c r="F163" s="9" t="s">
        <v>94</v>
      </c>
      <c r="H163" s="9" t="s">
        <v>172</v>
      </c>
      <c r="I163" s="9">
        <v>14.0</v>
      </c>
      <c r="J163" s="9">
        <v>0.01</v>
      </c>
      <c r="K163" s="9">
        <v>0.36</v>
      </c>
    </row>
    <row r="164" ht="15.75" customHeight="1">
      <c r="A164" s="7" t="s">
        <v>1021</v>
      </c>
      <c r="B164" s="13" t="s">
        <v>54</v>
      </c>
      <c r="C164" s="14" t="s">
        <v>169</v>
      </c>
      <c r="D164" s="14" t="s">
        <v>25</v>
      </c>
      <c r="E164" s="14" t="s">
        <v>1023</v>
      </c>
      <c r="F164" s="9" t="s">
        <v>94</v>
      </c>
      <c r="G164" s="9" t="b">
        <v>0</v>
      </c>
      <c r="H164" s="9" t="s">
        <v>1024</v>
      </c>
      <c r="I164" s="9">
        <v>14.0</v>
      </c>
      <c r="J164" s="9">
        <v>0.01</v>
      </c>
      <c r="K164" s="9">
        <v>0.0</v>
      </c>
    </row>
    <row r="165" ht="15.75" customHeight="1">
      <c r="A165" s="7" t="s">
        <v>1025</v>
      </c>
      <c r="B165" s="13" t="s">
        <v>54</v>
      </c>
      <c r="C165" s="14" t="s">
        <v>61</v>
      </c>
      <c r="D165" s="14" t="s">
        <v>25</v>
      </c>
      <c r="E165" s="14" t="s">
        <v>1027</v>
      </c>
      <c r="F165" s="9" t="s">
        <v>64</v>
      </c>
      <c r="G165" s="9" t="b">
        <v>0</v>
      </c>
      <c r="H165" s="9" t="s">
        <v>188</v>
      </c>
      <c r="I165" s="9">
        <v>14.0</v>
      </c>
      <c r="J165" s="9">
        <v>0.01</v>
      </c>
      <c r="K165" s="9">
        <v>0.0</v>
      </c>
    </row>
    <row r="166" ht="15.75" customHeight="1">
      <c r="A166" s="7" t="s">
        <v>1028</v>
      </c>
      <c r="B166" s="13" t="s">
        <v>241</v>
      </c>
      <c r="C166" s="14" t="s">
        <v>144</v>
      </c>
      <c r="D166" s="14" t="s">
        <v>46</v>
      </c>
      <c r="E166" s="14" t="s">
        <v>1031</v>
      </c>
      <c r="F166" s="9" t="s">
        <v>147</v>
      </c>
      <c r="G166" s="9" t="b">
        <v>0</v>
      </c>
      <c r="I166" s="9">
        <v>14.0</v>
      </c>
      <c r="J166" s="9">
        <v>0.01</v>
      </c>
      <c r="K166" s="9">
        <v>0.5</v>
      </c>
    </row>
    <row r="167" ht="15.75" customHeight="1">
      <c r="A167" s="7" t="s">
        <v>1032</v>
      </c>
      <c r="B167" s="13" t="s">
        <v>211</v>
      </c>
      <c r="C167" s="14" t="s">
        <v>169</v>
      </c>
      <c r="D167" s="14" t="s">
        <v>46</v>
      </c>
      <c r="E167" s="14" t="s">
        <v>1035</v>
      </c>
      <c r="F167" s="9" t="s">
        <v>94</v>
      </c>
      <c r="G167" s="9" t="b">
        <v>0</v>
      </c>
      <c r="H167" s="9" t="s">
        <v>1037</v>
      </c>
      <c r="I167" s="9">
        <v>14.0</v>
      </c>
      <c r="J167" s="9">
        <v>0.01</v>
      </c>
      <c r="K167" s="9">
        <v>1.5</v>
      </c>
    </row>
    <row r="168" ht="15.75" customHeight="1">
      <c r="A168" s="7" t="s">
        <v>1038</v>
      </c>
      <c r="B168" s="13" t="s">
        <v>142</v>
      </c>
      <c r="C168" s="14" t="s">
        <v>34</v>
      </c>
      <c r="D168" s="14" t="s">
        <v>25</v>
      </c>
      <c r="E168" s="14" t="s">
        <v>1041</v>
      </c>
      <c r="F168" s="9" t="s">
        <v>37</v>
      </c>
      <c r="G168" s="9" t="b">
        <v>0</v>
      </c>
      <c r="H168" s="9" t="s">
        <v>1042</v>
      </c>
      <c r="I168" s="9">
        <v>14.0</v>
      </c>
      <c r="J168" s="9">
        <v>0.01</v>
      </c>
      <c r="K168" s="9">
        <v>0.36</v>
      </c>
    </row>
    <row r="169" ht="15.75" customHeight="1">
      <c r="A169" s="7" t="s">
        <v>1043</v>
      </c>
      <c r="B169" s="13" t="s">
        <v>430</v>
      </c>
      <c r="C169" s="14" t="s">
        <v>169</v>
      </c>
      <c r="D169" s="14" t="s">
        <v>62</v>
      </c>
      <c r="E169" s="15"/>
      <c r="F169" s="9" t="s">
        <v>94</v>
      </c>
      <c r="H169" s="9" t="s">
        <v>172</v>
      </c>
      <c r="I169" s="9">
        <v>14.0</v>
      </c>
      <c r="J169" s="9">
        <v>0.01</v>
      </c>
      <c r="K169" s="9">
        <v>0.43</v>
      </c>
    </row>
    <row r="170" ht="15.75" customHeight="1">
      <c r="A170" s="7" t="s">
        <v>1046</v>
      </c>
      <c r="B170" s="13" t="s">
        <v>462</v>
      </c>
      <c r="C170" s="14" t="s">
        <v>309</v>
      </c>
      <c r="D170" s="14" t="s">
        <v>46</v>
      </c>
      <c r="E170" s="14" t="s">
        <v>1049</v>
      </c>
      <c r="F170" s="9" t="s">
        <v>311</v>
      </c>
      <c r="G170" s="9" t="b">
        <v>0</v>
      </c>
      <c r="H170" s="9" t="s">
        <v>434</v>
      </c>
      <c r="I170" s="9">
        <v>14.0</v>
      </c>
      <c r="J170" s="9">
        <v>0.01</v>
      </c>
      <c r="K170" s="9">
        <v>0.64</v>
      </c>
    </row>
    <row r="171" ht="15.75" customHeight="1">
      <c r="A171" s="7" t="s">
        <v>1050</v>
      </c>
      <c r="B171" s="13" t="s">
        <v>264</v>
      </c>
      <c r="C171" s="14" t="s">
        <v>431</v>
      </c>
      <c r="D171" s="14" t="s">
        <v>35</v>
      </c>
      <c r="E171" s="14" t="s">
        <v>1052</v>
      </c>
      <c r="F171" s="9" t="s">
        <v>433</v>
      </c>
      <c r="G171" s="9" t="b">
        <v>0</v>
      </c>
      <c r="H171" s="9" t="s">
        <v>1054</v>
      </c>
      <c r="I171" s="9">
        <v>14.0</v>
      </c>
      <c r="J171" s="9">
        <v>0.01</v>
      </c>
      <c r="K171" s="9">
        <v>1.14</v>
      </c>
    </row>
    <row r="172" ht="15.75" customHeight="1">
      <c r="A172" s="7" t="s">
        <v>1056</v>
      </c>
      <c r="B172" s="13" t="s">
        <v>22</v>
      </c>
      <c r="C172" s="14" t="s">
        <v>61</v>
      </c>
      <c r="D172" s="14" t="s">
        <v>46</v>
      </c>
      <c r="E172" s="14" t="s">
        <v>1057</v>
      </c>
      <c r="F172" s="9" t="s">
        <v>64</v>
      </c>
      <c r="G172" s="9" t="b">
        <v>0</v>
      </c>
      <c r="H172" s="9" t="s">
        <v>1058</v>
      </c>
      <c r="I172" s="9">
        <v>14.0</v>
      </c>
      <c r="J172" s="9">
        <v>0.01</v>
      </c>
      <c r="K172" s="9">
        <v>2.21</v>
      </c>
    </row>
    <row r="173" ht="15.75" customHeight="1">
      <c r="A173" s="7" t="s">
        <v>1060</v>
      </c>
      <c r="B173" s="13" t="s">
        <v>15</v>
      </c>
      <c r="C173" s="14" t="s">
        <v>23</v>
      </c>
      <c r="D173" s="14" t="s">
        <v>46</v>
      </c>
      <c r="E173" s="14" t="s">
        <v>1062</v>
      </c>
      <c r="F173" s="9" t="s">
        <v>27</v>
      </c>
      <c r="G173" s="9" t="b">
        <v>0</v>
      </c>
      <c r="H173" s="9" t="s">
        <v>1063</v>
      </c>
      <c r="I173" s="9">
        <v>14.0</v>
      </c>
      <c r="J173" s="9">
        <v>0.01</v>
      </c>
      <c r="K173" s="9">
        <v>2.29</v>
      </c>
    </row>
    <row r="174" ht="15.75" customHeight="1">
      <c r="A174" s="7" t="s">
        <v>1064</v>
      </c>
      <c r="B174" s="13" t="s">
        <v>15</v>
      </c>
      <c r="C174" s="14" t="s">
        <v>23</v>
      </c>
      <c r="D174" s="14" t="s">
        <v>46</v>
      </c>
      <c r="E174" s="14" t="s">
        <v>1066</v>
      </c>
      <c r="F174" s="9" t="s">
        <v>27</v>
      </c>
      <c r="G174" s="9" t="b">
        <v>0</v>
      </c>
      <c r="H174" s="9" t="s">
        <v>1068</v>
      </c>
      <c r="I174" s="9">
        <v>14.0</v>
      </c>
      <c r="J174" s="9">
        <v>0.01</v>
      </c>
      <c r="K174" s="9">
        <v>0.14</v>
      </c>
    </row>
    <row r="175" ht="15.75" customHeight="1">
      <c r="A175" s="7" t="s">
        <v>1069</v>
      </c>
      <c r="B175" s="13" t="s">
        <v>408</v>
      </c>
      <c r="C175" s="14" t="s">
        <v>144</v>
      </c>
      <c r="D175" s="14" t="s">
        <v>46</v>
      </c>
      <c r="E175" s="14" t="s">
        <v>1072</v>
      </c>
      <c r="F175" s="9" t="s">
        <v>147</v>
      </c>
      <c r="G175" s="9" t="b">
        <v>0</v>
      </c>
      <c r="I175" s="9">
        <v>14.0</v>
      </c>
      <c r="J175" s="9">
        <v>0.01</v>
      </c>
      <c r="K175" s="9">
        <v>0.5</v>
      </c>
    </row>
    <row r="176" ht="15.75" customHeight="1">
      <c r="A176" s="7" t="s">
        <v>1074</v>
      </c>
      <c r="B176" s="13" t="s">
        <v>440</v>
      </c>
      <c r="C176" s="14" t="s">
        <v>61</v>
      </c>
      <c r="D176" s="14" t="s">
        <v>35</v>
      </c>
      <c r="E176" s="14" t="s">
        <v>1076</v>
      </c>
      <c r="F176" s="9" t="s">
        <v>64</v>
      </c>
      <c r="G176" s="9" t="b">
        <v>0</v>
      </c>
      <c r="H176" s="9" t="s">
        <v>441</v>
      </c>
      <c r="I176" s="9">
        <v>14.0</v>
      </c>
      <c r="J176" s="9">
        <v>0.01</v>
      </c>
      <c r="K176" s="9">
        <v>1.36</v>
      </c>
    </row>
    <row r="177" ht="15.75" customHeight="1">
      <c r="A177" s="7" t="s">
        <v>1078</v>
      </c>
      <c r="B177" s="13" t="s">
        <v>423</v>
      </c>
      <c r="C177" s="14" t="s">
        <v>34</v>
      </c>
      <c r="D177" s="14" t="s">
        <v>169</v>
      </c>
      <c r="E177" s="14" t="s">
        <v>1082</v>
      </c>
      <c r="F177" s="9" t="s">
        <v>37</v>
      </c>
      <c r="G177" s="9" t="b">
        <v>0</v>
      </c>
      <c r="H177" s="9" t="s">
        <v>1083</v>
      </c>
      <c r="I177" s="9">
        <v>13.0</v>
      </c>
      <c r="J177" s="9">
        <v>0.01</v>
      </c>
      <c r="K177" s="9">
        <v>1.31</v>
      </c>
    </row>
    <row r="178" ht="15.75" customHeight="1">
      <c r="A178" s="7" t="s">
        <v>1085</v>
      </c>
      <c r="B178" s="13" t="s">
        <v>160</v>
      </c>
      <c r="C178" s="14" t="s">
        <v>34</v>
      </c>
      <c r="D178" s="14" t="s">
        <v>46</v>
      </c>
      <c r="E178" s="14" t="s">
        <v>1086</v>
      </c>
      <c r="F178" s="9" t="s">
        <v>37</v>
      </c>
      <c r="G178" s="9" t="b">
        <v>0</v>
      </c>
      <c r="H178" s="9" t="s">
        <v>969</v>
      </c>
      <c r="I178" s="9">
        <v>13.0</v>
      </c>
      <c r="J178" s="9">
        <v>0.01</v>
      </c>
      <c r="K178" s="9">
        <v>0.0</v>
      </c>
    </row>
    <row r="179" ht="15.75" customHeight="1">
      <c r="A179" s="7" t="s">
        <v>1088</v>
      </c>
      <c r="B179" s="13" t="s">
        <v>70</v>
      </c>
      <c r="C179" s="14" t="s">
        <v>34</v>
      </c>
      <c r="D179" s="14" t="s">
        <v>46</v>
      </c>
      <c r="E179" s="14" t="s">
        <v>1090</v>
      </c>
      <c r="F179" s="9" t="s">
        <v>37</v>
      </c>
      <c r="G179" s="9" t="b">
        <v>0</v>
      </c>
      <c r="H179" s="9" t="s">
        <v>1091</v>
      </c>
      <c r="I179" s="9">
        <v>13.0</v>
      </c>
      <c r="J179" s="9">
        <v>0.01</v>
      </c>
      <c r="K179" s="9">
        <v>0.38</v>
      </c>
    </row>
    <row r="180" ht="15.75" customHeight="1">
      <c r="A180" s="7" t="s">
        <v>1092</v>
      </c>
      <c r="B180" s="13" t="s">
        <v>70</v>
      </c>
      <c r="C180" s="14" t="s">
        <v>169</v>
      </c>
      <c r="D180" s="14" t="s">
        <v>46</v>
      </c>
      <c r="E180" s="14" t="s">
        <v>1095</v>
      </c>
      <c r="F180" s="9" t="s">
        <v>94</v>
      </c>
      <c r="G180" s="9" t="b">
        <v>0</v>
      </c>
      <c r="H180" s="9" t="s">
        <v>1096</v>
      </c>
      <c r="I180" s="9">
        <v>13.0</v>
      </c>
      <c r="J180" s="9">
        <v>0.01</v>
      </c>
      <c r="K180" s="9">
        <v>0.08</v>
      </c>
    </row>
    <row r="181" ht="15.75" customHeight="1">
      <c r="A181" s="7" t="s">
        <v>1097</v>
      </c>
      <c r="B181" s="13" t="s">
        <v>118</v>
      </c>
      <c r="C181" s="14" t="s">
        <v>34</v>
      </c>
      <c r="D181" s="14" t="s">
        <v>62</v>
      </c>
      <c r="E181" s="14" t="s">
        <v>1100</v>
      </c>
      <c r="F181" s="9" t="s">
        <v>37</v>
      </c>
      <c r="G181" s="9" t="b">
        <v>0</v>
      </c>
      <c r="H181" s="9" t="s">
        <v>1101</v>
      </c>
      <c r="I181" s="9">
        <v>13.0</v>
      </c>
      <c r="J181" s="9">
        <v>0.01</v>
      </c>
      <c r="K181" s="9">
        <v>0.0</v>
      </c>
    </row>
    <row r="182" ht="15.75" customHeight="1">
      <c r="A182" s="7" t="s">
        <v>1102</v>
      </c>
      <c r="B182" s="13" t="s">
        <v>491</v>
      </c>
      <c r="C182" s="14" t="s">
        <v>521</v>
      </c>
      <c r="D182" s="14" t="s">
        <v>46</v>
      </c>
      <c r="E182" s="14" t="s">
        <v>1106</v>
      </c>
      <c r="F182" s="9" t="s">
        <v>523</v>
      </c>
      <c r="G182" s="9" t="b">
        <v>0</v>
      </c>
      <c r="H182" s="9" t="s">
        <v>188</v>
      </c>
      <c r="I182" s="9">
        <v>13.0</v>
      </c>
      <c r="J182" s="9">
        <v>0.01</v>
      </c>
      <c r="K182" s="9">
        <v>0.0</v>
      </c>
    </row>
    <row r="183" ht="15.75" customHeight="1">
      <c r="A183" s="7" t="s">
        <v>1108</v>
      </c>
      <c r="B183" s="13" t="s">
        <v>477</v>
      </c>
      <c r="C183" s="14" t="s">
        <v>521</v>
      </c>
      <c r="D183" s="14" t="s">
        <v>46</v>
      </c>
      <c r="E183" s="14" t="s">
        <v>1111</v>
      </c>
      <c r="F183" s="9" t="s">
        <v>523</v>
      </c>
      <c r="G183" s="9" t="b">
        <v>0</v>
      </c>
      <c r="I183" s="9">
        <v>13.0</v>
      </c>
      <c r="J183" s="9">
        <v>0.01</v>
      </c>
      <c r="K183" s="9">
        <v>1.69</v>
      </c>
    </row>
    <row r="184" ht="15.75" customHeight="1">
      <c r="A184" s="7" t="s">
        <v>1112</v>
      </c>
      <c r="B184" s="14" t="s">
        <v>546</v>
      </c>
      <c r="C184" s="14" t="s">
        <v>34</v>
      </c>
      <c r="D184" s="14" t="s">
        <v>46</v>
      </c>
      <c r="E184" s="14" t="s">
        <v>1116</v>
      </c>
      <c r="F184" s="9" t="s">
        <v>37</v>
      </c>
      <c r="G184" s="9" t="b">
        <v>0</v>
      </c>
      <c r="H184" s="9" t="s">
        <v>1117</v>
      </c>
      <c r="I184" s="9">
        <v>13.0</v>
      </c>
      <c r="J184" s="9">
        <v>0.01</v>
      </c>
      <c r="K184" s="9">
        <v>0.08</v>
      </c>
    </row>
    <row r="185" ht="15.75" customHeight="1">
      <c r="A185" s="7" t="s">
        <v>1118</v>
      </c>
      <c r="B185" s="13" t="s">
        <v>211</v>
      </c>
      <c r="C185" s="14" t="s">
        <v>34</v>
      </c>
      <c r="D185" s="14" t="s">
        <v>46</v>
      </c>
      <c r="E185" s="14" t="s">
        <v>1122</v>
      </c>
      <c r="F185" s="9" t="s">
        <v>37</v>
      </c>
      <c r="G185" s="9" t="b">
        <v>0</v>
      </c>
      <c r="H185" s="9" t="s">
        <v>1123</v>
      </c>
      <c r="I185" s="9">
        <v>13.0</v>
      </c>
      <c r="J185" s="9">
        <v>0.01</v>
      </c>
      <c r="K185" s="9">
        <v>0.08</v>
      </c>
    </row>
    <row r="186" ht="15.75" customHeight="1">
      <c r="A186" s="7" t="s">
        <v>1125</v>
      </c>
      <c r="B186" s="14" t="s">
        <v>86</v>
      </c>
      <c r="C186" s="14" t="s">
        <v>34</v>
      </c>
      <c r="D186" s="14" t="s">
        <v>35</v>
      </c>
      <c r="E186" s="14" t="s">
        <v>1128</v>
      </c>
      <c r="F186" s="9" t="s">
        <v>37</v>
      </c>
      <c r="G186" s="9" t="b">
        <v>0</v>
      </c>
      <c r="H186" s="9" t="s">
        <v>1129</v>
      </c>
      <c r="I186" s="9">
        <v>13.0</v>
      </c>
      <c r="J186" s="9">
        <v>0.01</v>
      </c>
      <c r="K186" s="9">
        <v>0.92</v>
      </c>
    </row>
    <row r="187" ht="15.75" customHeight="1">
      <c r="A187" s="7" t="s">
        <v>1130</v>
      </c>
      <c r="B187" s="14" t="s">
        <v>86</v>
      </c>
      <c r="C187" s="14" t="s">
        <v>34</v>
      </c>
      <c r="D187" s="14" t="s">
        <v>35</v>
      </c>
      <c r="E187" s="14" t="s">
        <v>1133</v>
      </c>
      <c r="F187" s="9" t="s">
        <v>37</v>
      </c>
      <c r="G187" s="9" t="b">
        <v>0</v>
      </c>
      <c r="H187" s="9" t="s">
        <v>1135</v>
      </c>
      <c r="I187" s="9">
        <v>13.0</v>
      </c>
      <c r="J187" s="9">
        <v>0.01</v>
      </c>
      <c r="K187" s="9">
        <v>0.0</v>
      </c>
    </row>
    <row r="188" ht="15.75" customHeight="1">
      <c r="A188" s="7" t="s">
        <v>1136</v>
      </c>
      <c r="B188" s="13" t="s">
        <v>111</v>
      </c>
      <c r="C188" s="14" t="s">
        <v>34</v>
      </c>
      <c r="D188" s="14" t="s">
        <v>46</v>
      </c>
      <c r="E188" s="14" t="s">
        <v>1138</v>
      </c>
      <c r="F188" s="9" t="s">
        <v>37</v>
      </c>
      <c r="G188" s="9" t="b">
        <v>0</v>
      </c>
      <c r="H188" s="9" t="s">
        <v>1139</v>
      </c>
      <c r="I188" s="9">
        <v>13.0</v>
      </c>
      <c r="J188" s="9">
        <v>0.01</v>
      </c>
      <c r="K188" s="9">
        <v>0.08</v>
      </c>
    </row>
    <row r="189" ht="15.75" customHeight="1">
      <c r="A189" s="7" t="s">
        <v>1141</v>
      </c>
      <c r="B189" s="13" t="s">
        <v>478</v>
      </c>
      <c r="C189" s="14" t="s">
        <v>34</v>
      </c>
      <c r="D189" s="14" t="s">
        <v>46</v>
      </c>
      <c r="E189" s="14" t="s">
        <v>1143</v>
      </c>
      <c r="F189" s="9" t="s">
        <v>37</v>
      </c>
      <c r="G189" s="9" t="b">
        <v>0</v>
      </c>
      <c r="H189" s="9" t="s">
        <v>482</v>
      </c>
      <c r="I189" s="9">
        <v>13.0</v>
      </c>
      <c r="J189" s="9">
        <v>0.01</v>
      </c>
      <c r="K189" s="9">
        <v>0.0</v>
      </c>
    </row>
    <row r="190" ht="15.75" customHeight="1">
      <c r="A190" s="7" t="s">
        <v>1145</v>
      </c>
      <c r="B190" s="13" t="s">
        <v>483</v>
      </c>
      <c r="C190" s="14" t="s">
        <v>144</v>
      </c>
      <c r="D190" s="14" t="s">
        <v>46</v>
      </c>
      <c r="E190" s="14" t="s">
        <v>1148</v>
      </c>
      <c r="F190" s="9" t="s">
        <v>147</v>
      </c>
      <c r="G190" s="9" t="b">
        <v>0</v>
      </c>
      <c r="H190" s="9" t="s">
        <v>188</v>
      </c>
      <c r="I190" s="9">
        <v>13.0</v>
      </c>
      <c r="J190" s="9">
        <v>0.01</v>
      </c>
      <c r="K190" s="9">
        <v>0.0</v>
      </c>
    </row>
    <row r="191" ht="15.75" customHeight="1">
      <c r="A191" s="7" t="s">
        <v>1149</v>
      </c>
      <c r="B191" s="14" t="s">
        <v>486</v>
      </c>
      <c r="C191" s="14" t="s">
        <v>34</v>
      </c>
      <c r="D191" s="14" t="s">
        <v>46</v>
      </c>
      <c r="E191" s="14" t="s">
        <v>1151</v>
      </c>
      <c r="F191" s="9" t="s">
        <v>37</v>
      </c>
      <c r="G191" s="9" t="b">
        <v>0</v>
      </c>
      <c r="H191" s="9" t="s">
        <v>1152</v>
      </c>
      <c r="I191" s="9">
        <v>13.0</v>
      </c>
      <c r="J191" s="9">
        <v>0.01</v>
      </c>
      <c r="K191" s="9">
        <v>0.69</v>
      </c>
    </row>
    <row r="192" ht="15.75" customHeight="1">
      <c r="A192" s="7" t="s">
        <v>1153</v>
      </c>
      <c r="B192" s="13" t="s">
        <v>252</v>
      </c>
      <c r="C192" s="14" t="s">
        <v>34</v>
      </c>
      <c r="D192" s="14" t="s">
        <v>169</v>
      </c>
      <c r="E192" s="14" t="s">
        <v>1157</v>
      </c>
      <c r="F192" s="9" t="s">
        <v>37</v>
      </c>
      <c r="G192" s="9" t="b">
        <v>0</v>
      </c>
      <c r="H192" s="9" t="s">
        <v>1158</v>
      </c>
      <c r="I192" s="9">
        <v>13.0</v>
      </c>
      <c r="J192" s="9">
        <v>0.01</v>
      </c>
      <c r="K192" s="9">
        <v>0.0</v>
      </c>
    </row>
    <row r="193" ht="15.75" customHeight="1">
      <c r="A193" s="7" t="s">
        <v>1160</v>
      </c>
      <c r="B193" s="14" t="s">
        <v>489</v>
      </c>
      <c r="C193" s="14" t="s">
        <v>34</v>
      </c>
      <c r="D193" s="14" t="s">
        <v>46</v>
      </c>
      <c r="E193" s="14" t="s">
        <v>1162</v>
      </c>
      <c r="F193" s="9" t="s">
        <v>37</v>
      </c>
      <c r="G193" s="9" t="b">
        <v>0</v>
      </c>
      <c r="H193" s="9" t="s">
        <v>1164</v>
      </c>
      <c r="I193" s="9">
        <v>13.0</v>
      </c>
      <c r="J193" s="9">
        <v>0.01</v>
      </c>
      <c r="K193" s="9">
        <v>2.31</v>
      </c>
    </row>
    <row r="194" ht="15.75" customHeight="1">
      <c r="A194" s="7" t="s">
        <v>1165</v>
      </c>
      <c r="B194" s="13" t="s">
        <v>32</v>
      </c>
      <c r="C194" s="14" t="s">
        <v>34</v>
      </c>
      <c r="D194" s="14" t="s">
        <v>35</v>
      </c>
      <c r="E194" s="14" t="s">
        <v>1167</v>
      </c>
      <c r="F194" s="9" t="s">
        <v>37</v>
      </c>
      <c r="G194" s="9" t="b">
        <v>0</v>
      </c>
      <c r="H194" s="9" t="s">
        <v>1168</v>
      </c>
      <c r="I194" s="9">
        <v>13.0</v>
      </c>
      <c r="J194" s="9">
        <v>0.01</v>
      </c>
      <c r="K194" s="9">
        <v>2.23</v>
      </c>
    </row>
    <row r="195" ht="15.75" customHeight="1">
      <c r="A195" s="7" t="s">
        <v>1169</v>
      </c>
      <c r="B195" s="13" t="s">
        <v>123</v>
      </c>
      <c r="C195" s="14" t="s">
        <v>34</v>
      </c>
      <c r="D195" s="14" t="s">
        <v>270</v>
      </c>
      <c r="E195" s="14" t="s">
        <v>1171</v>
      </c>
      <c r="F195" s="9" t="s">
        <v>37</v>
      </c>
      <c r="G195" s="9" t="b">
        <v>0</v>
      </c>
      <c r="H195" s="9" t="s">
        <v>1173</v>
      </c>
      <c r="I195" s="9">
        <v>13.0</v>
      </c>
      <c r="J195" s="9">
        <v>0.01</v>
      </c>
      <c r="K195" s="9">
        <v>0.31</v>
      </c>
    </row>
    <row r="196" ht="15.75" customHeight="1">
      <c r="A196" s="7" t="s">
        <v>1175</v>
      </c>
      <c r="B196" s="13" t="s">
        <v>52</v>
      </c>
      <c r="C196" s="14" t="s">
        <v>34</v>
      </c>
      <c r="D196" s="14" t="s">
        <v>46</v>
      </c>
      <c r="E196" s="14" t="s">
        <v>1177</v>
      </c>
      <c r="F196" s="9" t="s">
        <v>37</v>
      </c>
      <c r="G196" s="9" t="b">
        <v>0</v>
      </c>
      <c r="H196" s="9" t="s">
        <v>1178</v>
      </c>
      <c r="I196" s="9">
        <v>13.0</v>
      </c>
      <c r="J196" s="9">
        <v>0.01</v>
      </c>
      <c r="K196" s="9">
        <v>0.46</v>
      </c>
    </row>
    <row r="197" ht="15.75" customHeight="1">
      <c r="A197" s="7" t="s">
        <v>1179</v>
      </c>
      <c r="B197" s="13" t="s">
        <v>98</v>
      </c>
      <c r="C197" s="14" t="s">
        <v>34</v>
      </c>
      <c r="D197" s="14" t="s">
        <v>35</v>
      </c>
      <c r="E197" s="14" t="s">
        <v>1180</v>
      </c>
      <c r="F197" s="9" t="s">
        <v>37</v>
      </c>
      <c r="G197" s="9" t="b">
        <v>0</v>
      </c>
      <c r="H197" s="9" t="s">
        <v>1181</v>
      </c>
      <c r="I197" s="9">
        <v>13.0</v>
      </c>
      <c r="J197" s="9">
        <v>0.01</v>
      </c>
      <c r="K197" s="9">
        <v>0.92</v>
      </c>
    </row>
    <row r="198" ht="15.75" customHeight="1">
      <c r="A198" s="7" t="s">
        <v>1183</v>
      </c>
      <c r="B198" s="13" t="s">
        <v>22</v>
      </c>
      <c r="C198" s="14" t="s">
        <v>23</v>
      </c>
      <c r="D198" s="14" t="s">
        <v>46</v>
      </c>
      <c r="E198" s="14" t="s">
        <v>1186</v>
      </c>
      <c r="F198" s="9" t="s">
        <v>27</v>
      </c>
      <c r="G198" s="9" t="b">
        <v>0</v>
      </c>
      <c r="H198" s="9" t="s">
        <v>739</v>
      </c>
      <c r="I198" s="9">
        <v>12.0</v>
      </c>
      <c r="J198" s="9">
        <v>0.01</v>
      </c>
      <c r="K198" s="9">
        <v>0.0</v>
      </c>
    </row>
    <row r="199" ht="15.75" customHeight="1">
      <c r="A199" s="7" t="s">
        <v>1188</v>
      </c>
      <c r="B199" s="13" t="s">
        <v>22</v>
      </c>
      <c r="C199" s="14" t="s">
        <v>23</v>
      </c>
      <c r="D199" s="14" t="s">
        <v>46</v>
      </c>
      <c r="E199" s="14" t="s">
        <v>1191</v>
      </c>
      <c r="F199" s="9" t="s">
        <v>27</v>
      </c>
      <c r="G199" s="9" t="b">
        <v>0</v>
      </c>
      <c r="H199" s="9" t="s">
        <v>642</v>
      </c>
      <c r="I199" s="9">
        <v>12.0</v>
      </c>
      <c r="J199" s="9">
        <v>0.01</v>
      </c>
      <c r="K199" s="9">
        <v>1.5</v>
      </c>
    </row>
    <row r="200" ht="15.75" customHeight="1">
      <c r="A200" s="7" t="s">
        <v>1192</v>
      </c>
      <c r="B200" s="13" t="s">
        <v>419</v>
      </c>
      <c r="C200" s="14" t="s">
        <v>144</v>
      </c>
      <c r="D200" s="14" t="s">
        <v>35</v>
      </c>
      <c r="E200" s="14" t="s">
        <v>1197</v>
      </c>
      <c r="F200" s="9" t="s">
        <v>147</v>
      </c>
      <c r="G200" s="9" t="b">
        <v>0</v>
      </c>
      <c r="H200" s="9" t="s">
        <v>1198</v>
      </c>
      <c r="I200" s="9">
        <v>12.0</v>
      </c>
      <c r="J200" s="9">
        <v>0.01</v>
      </c>
      <c r="K200" s="9">
        <v>1.17</v>
      </c>
    </row>
    <row r="201" ht="15.75" customHeight="1">
      <c r="A201" s="7" t="s">
        <v>1199</v>
      </c>
      <c r="B201" s="13" t="s">
        <v>469</v>
      </c>
      <c r="C201" s="14" t="s">
        <v>1203</v>
      </c>
      <c r="D201" s="14" t="s">
        <v>270</v>
      </c>
      <c r="E201" s="14" t="s">
        <v>1204</v>
      </c>
      <c r="F201" s="9" t="s">
        <v>1205</v>
      </c>
      <c r="G201" s="9" t="b">
        <v>0</v>
      </c>
      <c r="I201" s="9">
        <v>12.0</v>
      </c>
      <c r="J201" s="9">
        <v>0.01</v>
      </c>
      <c r="K201" s="9">
        <v>2.08</v>
      </c>
    </row>
    <row r="202" ht="15.75" customHeight="1">
      <c r="A202" s="7" t="s">
        <v>1206</v>
      </c>
      <c r="B202" s="13" t="s">
        <v>471</v>
      </c>
      <c r="C202" s="14" t="s">
        <v>169</v>
      </c>
      <c r="D202" s="14" t="s">
        <v>46</v>
      </c>
      <c r="E202" s="15"/>
      <c r="F202" s="9" t="s">
        <v>94</v>
      </c>
      <c r="H202" s="9" t="s">
        <v>172</v>
      </c>
      <c r="I202" s="9">
        <v>12.0</v>
      </c>
      <c r="J202" s="9">
        <v>0.01</v>
      </c>
      <c r="K202" s="9">
        <v>1.83</v>
      </c>
    </row>
    <row r="203" ht="15.75" customHeight="1">
      <c r="A203" s="7" t="s">
        <v>1208</v>
      </c>
      <c r="B203" s="13" t="s">
        <v>19</v>
      </c>
      <c r="C203" s="14" t="s">
        <v>23</v>
      </c>
      <c r="D203" s="14" t="s">
        <v>46</v>
      </c>
      <c r="E203" s="14" t="s">
        <v>1210</v>
      </c>
      <c r="F203" s="9" t="s">
        <v>27</v>
      </c>
      <c r="G203" s="9" t="b">
        <v>0</v>
      </c>
      <c r="H203" s="9" t="s">
        <v>1211</v>
      </c>
      <c r="I203" s="9">
        <v>12.0</v>
      </c>
      <c r="J203" s="9">
        <v>0.01</v>
      </c>
      <c r="K203" s="9">
        <v>0.42</v>
      </c>
    </row>
    <row r="204" ht="15.75" customHeight="1">
      <c r="A204" s="7" t="s">
        <v>1212</v>
      </c>
      <c r="B204" s="13" t="s">
        <v>70</v>
      </c>
      <c r="C204" s="14" t="s">
        <v>23</v>
      </c>
      <c r="D204" s="14" t="s">
        <v>46</v>
      </c>
      <c r="E204" s="14" t="s">
        <v>1215</v>
      </c>
      <c r="F204" s="9" t="s">
        <v>27</v>
      </c>
      <c r="G204" s="9" t="b">
        <v>0</v>
      </c>
      <c r="H204" s="9" t="s">
        <v>1216</v>
      </c>
      <c r="I204" s="9">
        <v>12.0</v>
      </c>
      <c r="J204" s="9">
        <v>0.01</v>
      </c>
      <c r="K204" s="9">
        <v>0.0</v>
      </c>
    </row>
    <row r="205" ht="15.75" customHeight="1">
      <c r="A205" s="7" t="s">
        <v>1217</v>
      </c>
      <c r="B205" s="13" t="s">
        <v>269</v>
      </c>
      <c r="C205" s="14" t="s">
        <v>34</v>
      </c>
      <c r="D205" s="14" t="s">
        <v>46</v>
      </c>
      <c r="E205" s="14" t="s">
        <v>1219</v>
      </c>
      <c r="F205" s="9" t="s">
        <v>37</v>
      </c>
      <c r="G205" s="9" t="b">
        <v>0</v>
      </c>
      <c r="H205" s="9" t="s">
        <v>1220</v>
      </c>
      <c r="I205" s="9">
        <v>12.0</v>
      </c>
      <c r="J205" s="9">
        <v>0.01</v>
      </c>
      <c r="K205" s="9">
        <v>0.83</v>
      </c>
    </row>
    <row r="206" ht="15.75" customHeight="1">
      <c r="A206" s="7" t="s">
        <v>1222</v>
      </c>
      <c r="B206" s="13" t="s">
        <v>508</v>
      </c>
      <c r="C206" s="14" t="s">
        <v>144</v>
      </c>
      <c r="D206" s="14" t="s">
        <v>46</v>
      </c>
      <c r="E206" s="14" t="s">
        <v>1225</v>
      </c>
      <c r="F206" s="9" t="s">
        <v>147</v>
      </c>
      <c r="G206" s="9" t="b">
        <v>0</v>
      </c>
      <c r="I206" s="9">
        <v>12.0</v>
      </c>
      <c r="J206" s="9">
        <v>0.01</v>
      </c>
      <c r="K206" s="9">
        <v>2.25</v>
      </c>
    </row>
    <row r="207" ht="15.75" customHeight="1">
      <c r="A207" s="7" t="s">
        <v>1227</v>
      </c>
      <c r="B207" s="13" t="s">
        <v>111</v>
      </c>
      <c r="C207" s="14" t="s">
        <v>34</v>
      </c>
      <c r="D207" s="14" t="s">
        <v>46</v>
      </c>
      <c r="E207" s="14" t="s">
        <v>1230</v>
      </c>
      <c r="F207" s="9" t="s">
        <v>37</v>
      </c>
      <c r="G207" s="9" t="b">
        <v>0</v>
      </c>
      <c r="H207" s="9" t="s">
        <v>1231</v>
      </c>
      <c r="I207" s="9">
        <v>12.0</v>
      </c>
      <c r="J207" s="9">
        <v>0.01</v>
      </c>
      <c r="K207" s="9">
        <v>0.83</v>
      </c>
    </row>
    <row r="208" ht="15.75" customHeight="1">
      <c r="A208" s="7" t="s">
        <v>1232</v>
      </c>
      <c r="B208" s="13" t="s">
        <v>509</v>
      </c>
      <c r="C208" s="14" t="s">
        <v>144</v>
      </c>
      <c r="D208" s="14" t="s">
        <v>46</v>
      </c>
      <c r="E208" s="14" t="s">
        <v>1234</v>
      </c>
      <c r="F208" s="9" t="s">
        <v>147</v>
      </c>
      <c r="G208" s="9" t="b">
        <v>0</v>
      </c>
      <c r="H208" s="9" t="s">
        <v>1236</v>
      </c>
      <c r="I208" s="9">
        <v>12.0</v>
      </c>
      <c r="J208" s="9">
        <v>0.01</v>
      </c>
      <c r="K208" s="9">
        <v>0.17</v>
      </c>
    </row>
    <row r="209" ht="15.75" customHeight="1">
      <c r="A209" s="7" t="s">
        <v>1237</v>
      </c>
      <c r="B209" s="13" t="s">
        <v>139</v>
      </c>
      <c r="C209" s="14" t="s">
        <v>144</v>
      </c>
      <c r="D209" s="14" t="s">
        <v>35</v>
      </c>
      <c r="E209" s="14" t="s">
        <v>1240</v>
      </c>
      <c r="F209" s="9" t="s">
        <v>147</v>
      </c>
      <c r="G209" s="9" t="b">
        <v>0</v>
      </c>
      <c r="H209" s="9" t="s">
        <v>720</v>
      </c>
      <c r="I209" s="9">
        <v>12.0</v>
      </c>
      <c r="J209" s="9">
        <v>0.01</v>
      </c>
      <c r="K209" s="9">
        <v>0.67</v>
      </c>
    </row>
    <row r="210" ht="15.75" customHeight="1">
      <c r="A210" s="7" t="s">
        <v>1241</v>
      </c>
      <c r="B210" s="13" t="s">
        <v>319</v>
      </c>
      <c r="C210" s="14" t="s">
        <v>144</v>
      </c>
      <c r="D210" s="14" t="s">
        <v>35</v>
      </c>
      <c r="E210" s="14" t="s">
        <v>1245</v>
      </c>
      <c r="F210" s="9" t="s">
        <v>147</v>
      </c>
      <c r="G210" s="9" t="b">
        <v>0</v>
      </c>
      <c r="H210" s="9" t="s">
        <v>321</v>
      </c>
      <c r="I210" s="9">
        <v>12.0</v>
      </c>
      <c r="J210" s="9">
        <v>0.01</v>
      </c>
      <c r="K210" s="9">
        <v>1.67</v>
      </c>
    </row>
    <row r="211" ht="15.75" customHeight="1">
      <c r="A211" s="7" t="s">
        <v>1246</v>
      </c>
      <c r="B211" s="13" t="s">
        <v>15</v>
      </c>
      <c r="C211" s="14" t="s">
        <v>23</v>
      </c>
      <c r="D211" s="14" t="s">
        <v>46</v>
      </c>
      <c r="E211" s="14" t="s">
        <v>1249</v>
      </c>
      <c r="F211" s="9" t="s">
        <v>27</v>
      </c>
      <c r="G211" s="9" t="b">
        <v>0</v>
      </c>
      <c r="H211" s="9" t="s">
        <v>1251</v>
      </c>
      <c r="I211" s="9">
        <v>12.0</v>
      </c>
      <c r="J211" s="9">
        <v>0.01</v>
      </c>
      <c r="K211" s="9">
        <v>0.67</v>
      </c>
    </row>
    <row r="212" ht="15.75" customHeight="1">
      <c r="A212" s="7" t="s">
        <v>1252</v>
      </c>
      <c r="B212" s="14" t="s">
        <v>405</v>
      </c>
      <c r="C212" s="14" t="s">
        <v>61</v>
      </c>
      <c r="D212" s="14" t="s">
        <v>46</v>
      </c>
      <c r="E212" s="14" t="s">
        <v>1255</v>
      </c>
      <c r="F212" s="9" t="s">
        <v>64</v>
      </c>
      <c r="G212" s="9" t="b">
        <v>0</v>
      </c>
      <c r="H212" s="9" t="s">
        <v>340</v>
      </c>
      <c r="I212" s="9">
        <v>12.0</v>
      </c>
      <c r="J212" s="9">
        <v>0.01</v>
      </c>
      <c r="K212" s="9">
        <v>0.67</v>
      </c>
    </row>
    <row r="213" ht="15.75" customHeight="1">
      <c r="A213" s="7" t="s">
        <v>1256</v>
      </c>
      <c r="B213" s="13" t="s">
        <v>353</v>
      </c>
      <c r="C213" s="14" t="s">
        <v>431</v>
      </c>
      <c r="D213" s="14" t="s">
        <v>270</v>
      </c>
      <c r="E213" s="14" t="s">
        <v>1260</v>
      </c>
      <c r="F213" s="9" t="s">
        <v>433</v>
      </c>
      <c r="G213" s="9" t="b">
        <v>0</v>
      </c>
      <c r="H213" s="9" t="s">
        <v>354</v>
      </c>
      <c r="I213" s="9">
        <v>12.0</v>
      </c>
      <c r="J213" s="9">
        <v>0.01</v>
      </c>
      <c r="K213" s="9">
        <v>2.25</v>
      </c>
    </row>
    <row r="214" ht="15.75" customHeight="1">
      <c r="A214" s="7" t="s">
        <v>1262</v>
      </c>
      <c r="B214" s="13" t="s">
        <v>579</v>
      </c>
      <c r="C214" s="14" t="s">
        <v>144</v>
      </c>
      <c r="D214" s="14" t="s">
        <v>46</v>
      </c>
      <c r="E214" s="14" t="s">
        <v>1266</v>
      </c>
      <c r="F214" s="9" t="s">
        <v>147</v>
      </c>
      <c r="G214" s="9" t="b">
        <v>0</v>
      </c>
      <c r="I214" s="9">
        <v>12.0</v>
      </c>
      <c r="J214" s="9">
        <v>0.01</v>
      </c>
      <c r="K214" s="9">
        <v>0.5</v>
      </c>
    </row>
    <row r="215" ht="15.75" customHeight="1">
      <c r="A215" s="7" t="s">
        <v>1268</v>
      </c>
      <c r="B215" s="13" t="s">
        <v>466</v>
      </c>
      <c r="C215" s="14" t="s">
        <v>34</v>
      </c>
      <c r="D215" s="14" t="s">
        <v>46</v>
      </c>
      <c r="E215" s="14" t="s">
        <v>1271</v>
      </c>
      <c r="F215" s="9" t="s">
        <v>37</v>
      </c>
      <c r="G215" s="9" t="b">
        <v>0</v>
      </c>
      <c r="H215" s="9" t="s">
        <v>467</v>
      </c>
      <c r="I215" s="9">
        <v>12.0</v>
      </c>
      <c r="J215" s="9">
        <v>0.01</v>
      </c>
      <c r="K215" s="9">
        <v>1.17</v>
      </c>
    </row>
    <row r="216" ht="15.75" customHeight="1">
      <c r="A216" s="7" t="s">
        <v>1274</v>
      </c>
      <c r="B216" s="13" t="s">
        <v>387</v>
      </c>
      <c r="C216" s="14" t="s">
        <v>34</v>
      </c>
      <c r="D216" s="14" t="s">
        <v>25</v>
      </c>
      <c r="E216" s="14" t="s">
        <v>1278</v>
      </c>
      <c r="F216" s="9" t="s">
        <v>37</v>
      </c>
      <c r="G216" s="9" t="b">
        <v>0</v>
      </c>
      <c r="H216" s="9" t="s">
        <v>1280</v>
      </c>
      <c r="I216" s="9">
        <v>12.0</v>
      </c>
      <c r="J216" s="9">
        <v>0.01</v>
      </c>
      <c r="K216" s="9">
        <v>1.17</v>
      </c>
    </row>
    <row r="217" ht="15.75" customHeight="1">
      <c r="A217" s="7" t="s">
        <v>1282</v>
      </c>
      <c r="B217" s="13" t="s">
        <v>536</v>
      </c>
      <c r="C217" s="14" t="s">
        <v>144</v>
      </c>
      <c r="D217" s="14" t="s">
        <v>46</v>
      </c>
      <c r="E217" s="14" t="s">
        <v>1287</v>
      </c>
      <c r="F217" s="9" t="s">
        <v>147</v>
      </c>
      <c r="G217" s="9" t="b">
        <v>0</v>
      </c>
      <c r="I217" s="9">
        <v>11.0</v>
      </c>
      <c r="J217" s="9">
        <v>0.01</v>
      </c>
      <c r="K217" s="9">
        <v>0.55</v>
      </c>
    </row>
    <row r="218" ht="15.75" customHeight="1">
      <c r="A218" s="7" t="s">
        <v>1288</v>
      </c>
      <c r="B218" s="14" t="s">
        <v>540</v>
      </c>
      <c r="C218" s="14" t="s">
        <v>144</v>
      </c>
      <c r="D218" s="14" t="s">
        <v>46</v>
      </c>
      <c r="E218" s="14" t="s">
        <v>1290</v>
      </c>
      <c r="F218" s="9" t="s">
        <v>147</v>
      </c>
      <c r="G218" s="9" t="b">
        <v>0</v>
      </c>
      <c r="H218" s="9" t="s">
        <v>541</v>
      </c>
      <c r="I218" s="9">
        <v>11.0</v>
      </c>
      <c r="J218" s="9">
        <v>0.01</v>
      </c>
      <c r="K218" s="9">
        <v>1.0</v>
      </c>
    </row>
    <row r="219" ht="15.75" customHeight="1">
      <c r="A219" s="7" t="s">
        <v>1291</v>
      </c>
      <c r="B219" s="13" t="s">
        <v>601</v>
      </c>
      <c r="C219" s="14" t="s">
        <v>34</v>
      </c>
      <c r="D219" s="14" t="s">
        <v>270</v>
      </c>
      <c r="E219" s="14" t="s">
        <v>1296</v>
      </c>
      <c r="F219" s="9" t="s">
        <v>37</v>
      </c>
      <c r="G219" s="9" t="b">
        <v>0</v>
      </c>
      <c r="H219" s="9" t="s">
        <v>1297</v>
      </c>
      <c r="I219" s="9">
        <v>11.0</v>
      </c>
      <c r="J219" s="9">
        <v>0.01</v>
      </c>
      <c r="K219" s="9">
        <v>1.91</v>
      </c>
    </row>
    <row r="220" ht="15.75" customHeight="1">
      <c r="A220" s="7" t="s">
        <v>1298</v>
      </c>
      <c r="B220" s="13" t="s">
        <v>449</v>
      </c>
      <c r="C220" s="14" t="s">
        <v>144</v>
      </c>
      <c r="D220" s="14" t="s">
        <v>46</v>
      </c>
      <c r="E220" s="14" t="s">
        <v>1302</v>
      </c>
      <c r="F220" s="9" t="s">
        <v>147</v>
      </c>
      <c r="G220" s="9" t="b">
        <v>0</v>
      </c>
      <c r="H220" s="9" t="s">
        <v>188</v>
      </c>
      <c r="I220" s="9">
        <v>11.0</v>
      </c>
      <c r="J220" s="9">
        <v>0.01</v>
      </c>
      <c r="K220" s="9">
        <v>1.45</v>
      </c>
    </row>
    <row r="221" ht="15.75" customHeight="1">
      <c r="A221" s="7" t="s">
        <v>1304</v>
      </c>
      <c r="B221" s="13" t="s">
        <v>542</v>
      </c>
      <c r="C221" s="14" t="s">
        <v>144</v>
      </c>
      <c r="D221" s="14" t="s">
        <v>46</v>
      </c>
      <c r="E221" s="14" t="s">
        <v>1308</v>
      </c>
      <c r="F221" s="9" t="s">
        <v>147</v>
      </c>
      <c r="G221" s="9" t="b">
        <v>0</v>
      </c>
      <c r="H221" s="9" t="s">
        <v>201</v>
      </c>
      <c r="I221" s="9">
        <v>11.0</v>
      </c>
      <c r="J221" s="9">
        <v>0.01</v>
      </c>
      <c r="K221" s="9">
        <v>0.55</v>
      </c>
    </row>
    <row r="222" ht="15.75" customHeight="1">
      <c r="A222" s="7" t="s">
        <v>1310</v>
      </c>
      <c r="B222" s="13" t="s">
        <v>244</v>
      </c>
      <c r="C222" s="14" t="s">
        <v>23</v>
      </c>
      <c r="D222" s="14" t="s">
        <v>35</v>
      </c>
      <c r="E222" s="14" t="s">
        <v>1312</v>
      </c>
      <c r="F222" s="9" t="s">
        <v>27</v>
      </c>
      <c r="G222" s="9" t="b">
        <v>0</v>
      </c>
      <c r="H222" s="9" t="s">
        <v>246</v>
      </c>
      <c r="I222" s="9">
        <v>11.0</v>
      </c>
      <c r="J222" s="9">
        <v>0.01</v>
      </c>
      <c r="K222" s="9">
        <v>1.09</v>
      </c>
    </row>
    <row r="223" ht="15.75" customHeight="1">
      <c r="A223" s="7" t="s">
        <v>1314</v>
      </c>
      <c r="B223" s="13" t="s">
        <v>525</v>
      </c>
      <c r="C223" s="14" t="s">
        <v>169</v>
      </c>
      <c r="D223" s="14" t="s">
        <v>46</v>
      </c>
      <c r="E223" s="14" t="s">
        <v>1316</v>
      </c>
      <c r="F223" s="9" t="s">
        <v>94</v>
      </c>
      <c r="G223" s="9" t="b">
        <v>0</v>
      </c>
      <c r="H223" s="9" t="s">
        <v>1318</v>
      </c>
      <c r="I223" s="9">
        <v>11.0</v>
      </c>
      <c r="J223" s="9">
        <v>0.01</v>
      </c>
      <c r="K223" s="9">
        <v>2.0</v>
      </c>
    </row>
    <row r="224" ht="15.75" customHeight="1">
      <c r="A224" s="7" t="s">
        <v>1319</v>
      </c>
      <c r="B224" s="13" t="s">
        <v>29</v>
      </c>
      <c r="C224" s="14" t="s">
        <v>34</v>
      </c>
      <c r="D224" s="14" t="s">
        <v>46</v>
      </c>
      <c r="E224" s="14" t="s">
        <v>1320</v>
      </c>
      <c r="F224" s="9" t="s">
        <v>37</v>
      </c>
      <c r="G224" s="9" t="b">
        <v>0</v>
      </c>
      <c r="H224" s="9" t="s">
        <v>1321</v>
      </c>
      <c r="I224" s="9">
        <v>11.0</v>
      </c>
      <c r="J224" s="9">
        <v>0.01</v>
      </c>
      <c r="K224" s="9">
        <v>0.27</v>
      </c>
    </row>
    <row r="225" ht="15.75" customHeight="1">
      <c r="A225" s="7" t="s">
        <v>1322</v>
      </c>
      <c r="B225" s="13" t="s">
        <v>19</v>
      </c>
      <c r="C225" s="14" t="s">
        <v>23</v>
      </c>
      <c r="D225" s="14" t="s">
        <v>46</v>
      </c>
      <c r="E225" s="14" t="s">
        <v>1323</v>
      </c>
      <c r="F225" s="9" t="s">
        <v>27</v>
      </c>
      <c r="G225" s="9" t="b">
        <v>0</v>
      </c>
      <c r="H225" s="9" t="s">
        <v>188</v>
      </c>
      <c r="I225" s="9">
        <v>11.0</v>
      </c>
      <c r="J225" s="9">
        <v>0.01</v>
      </c>
      <c r="K225" s="9">
        <v>0.45</v>
      </c>
    </row>
    <row r="226" ht="15.75" customHeight="1">
      <c r="A226" s="7" t="s">
        <v>1326</v>
      </c>
      <c r="B226" s="13" t="s">
        <v>527</v>
      </c>
      <c r="C226" s="14" t="s">
        <v>521</v>
      </c>
      <c r="D226" s="14" t="s">
        <v>35</v>
      </c>
      <c r="E226" s="14" t="s">
        <v>1332</v>
      </c>
      <c r="F226" s="9" t="s">
        <v>523</v>
      </c>
      <c r="G226" s="9" t="b">
        <v>0</v>
      </c>
      <c r="H226" s="9" t="s">
        <v>1333</v>
      </c>
      <c r="I226" s="9">
        <v>11.0</v>
      </c>
      <c r="J226" s="9">
        <v>0.01</v>
      </c>
      <c r="K226" s="9">
        <v>1.27</v>
      </c>
    </row>
    <row r="227" ht="15.75" customHeight="1">
      <c r="A227" s="7" t="s">
        <v>1334</v>
      </c>
      <c r="B227" s="13" t="s">
        <v>472</v>
      </c>
      <c r="C227" s="14" t="s">
        <v>34</v>
      </c>
      <c r="D227" s="14" t="s">
        <v>46</v>
      </c>
      <c r="E227" s="14" t="s">
        <v>1338</v>
      </c>
      <c r="F227" s="9" t="s">
        <v>37</v>
      </c>
      <c r="G227" s="9" t="b">
        <v>0</v>
      </c>
      <c r="H227" s="9" t="s">
        <v>1340</v>
      </c>
      <c r="I227" s="9">
        <v>11.0</v>
      </c>
      <c r="J227" s="9">
        <v>0.01</v>
      </c>
      <c r="K227" s="9">
        <v>0.0</v>
      </c>
    </row>
    <row r="228" ht="15.75" customHeight="1">
      <c r="A228" s="7" t="s">
        <v>1342</v>
      </c>
      <c r="B228" s="13" t="s">
        <v>496</v>
      </c>
      <c r="C228" s="14" t="s">
        <v>34</v>
      </c>
      <c r="D228" s="14" t="s">
        <v>46</v>
      </c>
      <c r="E228" s="14" t="s">
        <v>1344</v>
      </c>
      <c r="F228" s="9" t="s">
        <v>37</v>
      </c>
      <c r="G228" s="9" t="b">
        <v>0</v>
      </c>
      <c r="H228" s="9" t="s">
        <v>1345</v>
      </c>
      <c r="I228" s="9">
        <v>11.0</v>
      </c>
      <c r="J228" s="9">
        <v>0.01</v>
      </c>
      <c r="K228" s="9">
        <v>1.82</v>
      </c>
    </row>
    <row r="229" ht="15.75" customHeight="1">
      <c r="A229" s="7" t="s">
        <v>1347</v>
      </c>
      <c r="B229" s="13" t="s">
        <v>254</v>
      </c>
      <c r="C229" s="14" t="s">
        <v>61</v>
      </c>
      <c r="D229" s="14" t="s">
        <v>35</v>
      </c>
      <c r="E229" s="14" t="s">
        <v>1350</v>
      </c>
      <c r="F229" s="9" t="s">
        <v>64</v>
      </c>
      <c r="G229" s="9" t="b">
        <v>0</v>
      </c>
      <c r="H229" s="9" t="s">
        <v>573</v>
      </c>
      <c r="I229" s="9">
        <v>11.0</v>
      </c>
      <c r="J229" s="9">
        <v>0.01</v>
      </c>
      <c r="K229" s="9">
        <v>0.27</v>
      </c>
    </row>
    <row r="230" ht="15.75" customHeight="1">
      <c r="A230" s="7" t="s">
        <v>1351</v>
      </c>
      <c r="B230" s="13" t="s">
        <v>369</v>
      </c>
      <c r="C230" s="14" t="s">
        <v>144</v>
      </c>
      <c r="D230" s="14" t="s">
        <v>46</v>
      </c>
      <c r="E230" s="14" t="s">
        <v>1354</v>
      </c>
      <c r="F230" s="9" t="s">
        <v>147</v>
      </c>
      <c r="G230" s="9" t="b">
        <v>0</v>
      </c>
      <c r="I230" s="9">
        <v>11.0</v>
      </c>
      <c r="J230" s="9">
        <v>0.01</v>
      </c>
      <c r="K230" s="9">
        <v>0.09</v>
      </c>
    </row>
    <row r="231" ht="15.75" customHeight="1">
      <c r="A231" s="7" t="s">
        <v>1355</v>
      </c>
      <c r="B231" s="13" t="s">
        <v>315</v>
      </c>
      <c r="C231" s="14" t="s">
        <v>34</v>
      </c>
      <c r="D231" s="14" t="s">
        <v>25</v>
      </c>
      <c r="E231" s="14" t="s">
        <v>1359</v>
      </c>
      <c r="F231" s="9" t="s">
        <v>37</v>
      </c>
      <c r="G231" s="9" t="b">
        <v>0</v>
      </c>
      <c r="H231" s="9" t="s">
        <v>1361</v>
      </c>
      <c r="I231" s="9">
        <v>11.0</v>
      </c>
      <c r="J231" s="9">
        <v>0.01</v>
      </c>
      <c r="K231" s="9">
        <v>0.45</v>
      </c>
    </row>
    <row r="232" ht="15.75" customHeight="1">
      <c r="A232" s="7" t="s">
        <v>1363</v>
      </c>
      <c r="B232" s="13" t="s">
        <v>103</v>
      </c>
      <c r="C232" s="14" t="s">
        <v>34</v>
      </c>
      <c r="D232" s="14" t="s">
        <v>46</v>
      </c>
      <c r="E232" s="14" t="s">
        <v>1366</v>
      </c>
      <c r="F232" s="9" t="s">
        <v>37</v>
      </c>
      <c r="G232" s="9" t="b">
        <v>0</v>
      </c>
      <c r="H232" s="9" t="s">
        <v>488</v>
      </c>
      <c r="I232" s="9">
        <v>11.0</v>
      </c>
      <c r="J232" s="9">
        <v>0.01</v>
      </c>
      <c r="K232" s="9">
        <v>0.0</v>
      </c>
    </row>
    <row r="233" ht="15.75" customHeight="1">
      <c r="A233" s="7" t="s">
        <v>1367</v>
      </c>
      <c r="B233" s="13" t="s">
        <v>554</v>
      </c>
      <c r="C233" s="14" t="s">
        <v>169</v>
      </c>
      <c r="D233" s="14" t="s">
        <v>46</v>
      </c>
      <c r="E233" s="15"/>
      <c r="F233" s="9" t="s">
        <v>94</v>
      </c>
      <c r="H233" s="9" t="s">
        <v>172</v>
      </c>
      <c r="I233" s="9">
        <v>11.0</v>
      </c>
      <c r="J233" s="9">
        <v>0.01</v>
      </c>
      <c r="K233" s="9">
        <v>0.36</v>
      </c>
    </row>
    <row r="234" ht="15.75" customHeight="1">
      <c r="A234" s="7" t="s">
        <v>1371</v>
      </c>
      <c r="B234" s="13" t="s">
        <v>375</v>
      </c>
      <c r="C234" s="14" t="s">
        <v>34</v>
      </c>
      <c r="D234" s="14" t="s">
        <v>46</v>
      </c>
      <c r="E234" s="14" t="s">
        <v>1374</v>
      </c>
      <c r="F234" s="9" t="s">
        <v>37</v>
      </c>
      <c r="G234" s="9" t="b">
        <v>0</v>
      </c>
      <c r="H234" s="9" t="s">
        <v>1376</v>
      </c>
      <c r="I234" s="9">
        <v>11.0</v>
      </c>
      <c r="J234" s="9">
        <v>0.01</v>
      </c>
      <c r="K234" s="9">
        <v>0.09</v>
      </c>
    </row>
    <row r="235" ht="15.75" customHeight="1">
      <c r="A235" s="7" t="s">
        <v>1377</v>
      </c>
      <c r="B235" s="13" t="s">
        <v>142</v>
      </c>
      <c r="C235" s="14" t="s">
        <v>34</v>
      </c>
      <c r="D235" s="14" t="s">
        <v>25</v>
      </c>
      <c r="E235" s="14" t="s">
        <v>1379</v>
      </c>
      <c r="F235" s="9" t="s">
        <v>37</v>
      </c>
      <c r="G235" s="9" t="b">
        <v>0</v>
      </c>
      <c r="H235" s="9" t="s">
        <v>482</v>
      </c>
      <c r="I235" s="9">
        <v>11.0</v>
      </c>
      <c r="J235" s="9">
        <v>0.01</v>
      </c>
      <c r="K235" s="9">
        <v>1.27</v>
      </c>
    </row>
    <row r="236" ht="15.75" customHeight="1">
      <c r="A236" s="7" t="s">
        <v>1380</v>
      </c>
      <c r="B236" s="13" t="s">
        <v>139</v>
      </c>
      <c r="C236" s="14" t="s">
        <v>144</v>
      </c>
      <c r="D236" s="14" t="s">
        <v>35</v>
      </c>
      <c r="E236" s="14" t="s">
        <v>1240</v>
      </c>
      <c r="F236" s="9" t="s">
        <v>147</v>
      </c>
      <c r="G236" s="9" t="b">
        <v>0</v>
      </c>
      <c r="H236" s="9" t="s">
        <v>340</v>
      </c>
      <c r="I236" s="9">
        <v>11.0</v>
      </c>
      <c r="J236" s="9">
        <v>0.01</v>
      </c>
      <c r="K236" s="9">
        <v>1.64</v>
      </c>
    </row>
    <row r="237" ht="15.75" customHeight="1">
      <c r="A237" s="7" t="s">
        <v>1384</v>
      </c>
      <c r="B237" s="13" t="s">
        <v>560</v>
      </c>
      <c r="C237" s="14" t="s">
        <v>521</v>
      </c>
      <c r="D237" s="14" t="s">
        <v>46</v>
      </c>
      <c r="E237" s="14" t="s">
        <v>1386</v>
      </c>
      <c r="F237" s="9" t="s">
        <v>523</v>
      </c>
      <c r="G237" s="9" t="b">
        <v>0</v>
      </c>
      <c r="H237" s="9" t="s">
        <v>188</v>
      </c>
      <c r="I237" s="9">
        <v>11.0</v>
      </c>
      <c r="J237" s="9">
        <v>0.01</v>
      </c>
      <c r="K237" s="9">
        <v>0.18</v>
      </c>
    </row>
    <row r="238" ht="15.75" customHeight="1">
      <c r="A238" s="7" t="s">
        <v>1387</v>
      </c>
      <c r="B238" s="13" t="s">
        <v>500</v>
      </c>
      <c r="C238" s="14" t="s">
        <v>169</v>
      </c>
      <c r="D238" s="14" t="s">
        <v>46</v>
      </c>
      <c r="E238" s="14" t="s">
        <v>1391</v>
      </c>
      <c r="F238" s="9" t="s">
        <v>94</v>
      </c>
      <c r="G238" s="9" t="b">
        <v>0</v>
      </c>
      <c r="I238" s="9">
        <v>11.0</v>
      </c>
      <c r="J238" s="9">
        <v>0.01</v>
      </c>
      <c r="K238" s="9">
        <v>1.64</v>
      </c>
    </row>
    <row r="239" ht="15.75" customHeight="1">
      <c r="A239" s="7" t="s">
        <v>1392</v>
      </c>
      <c r="B239" s="13" t="s">
        <v>668</v>
      </c>
      <c r="C239" s="14" t="s">
        <v>144</v>
      </c>
      <c r="D239" s="14" t="s">
        <v>46</v>
      </c>
      <c r="E239" s="14" t="s">
        <v>1398</v>
      </c>
      <c r="F239" s="9" t="s">
        <v>147</v>
      </c>
      <c r="G239" s="9" t="b">
        <v>0</v>
      </c>
      <c r="I239" s="9">
        <v>11.0</v>
      </c>
      <c r="J239" s="9">
        <v>0.01</v>
      </c>
      <c r="K239" s="9">
        <v>1.36</v>
      </c>
    </row>
    <row r="240" ht="15.75" customHeight="1">
      <c r="A240" s="7" t="s">
        <v>1399</v>
      </c>
      <c r="B240" s="13" t="s">
        <v>566</v>
      </c>
      <c r="C240" s="14" t="s">
        <v>521</v>
      </c>
      <c r="D240" s="14" t="s">
        <v>46</v>
      </c>
      <c r="E240" s="15"/>
      <c r="F240" s="9" t="s">
        <v>523</v>
      </c>
      <c r="H240" s="9" t="s">
        <v>172</v>
      </c>
      <c r="I240" s="9">
        <v>11.0</v>
      </c>
      <c r="J240" s="9">
        <v>0.01</v>
      </c>
      <c r="K240" s="9">
        <v>0.18</v>
      </c>
    </row>
    <row r="241" ht="15.75" customHeight="1">
      <c r="A241" s="7" t="s">
        <v>1403</v>
      </c>
      <c r="B241" s="13" t="s">
        <v>502</v>
      </c>
      <c r="C241" s="14" t="s">
        <v>521</v>
      </c>
      <c r="D241" s="14" t="s">
        <v>46</v>
      </c>
      <c r="E241" s="14" t="s">
        <v>1407</v>
      </c>
      <c r="F241" s="9" t="s">
        <v>523</v>
      </c>
      <c r="G241" s="9" t="b">
        <v>0</v>
      </c>
      <c r="H241" s="9" t="s">
        <v>503</v>
      </c>
      <c r="I241" s="9">
        <v>11.0</v>
      </c>
      <c r="J241" s="9">
        <v>0.01</v>
      </c>
      <c r="K241" s="9">
        <v>1.18</v>
      </c>
    </row>
    <row r="242" ht="15.75" customHeight="1">
      <c r="A242" s="7" t="s">
        <v>1408</v>
      </c>
      <c r="B242" s="13" t="s">
        <v>495</v>
      </c>
      <c r="C242" s="14" t="s">
        <v>34</v>
      </c>
      <c r="D242" s="14" t="s">
        <v>46</v>
      </c>
      <c r="E242" s="14" t="s">
        <v>1413</v>
      </c>
      <c r="F242" s="9" t="s">
        <v>37</v>
      </c>
      <c r="G242" s="9" t="b">
        <v>0</v>
      </c>
      <c r="H242" s="9" t="s">
        <v>358</v>
      </c>
      <c r="I242" s="9">
        <v>11.0</v>
      </c>
      <c r="J242" s="9">
        <v>0.01</v>
      </c>
      <c r="K242" s="9">
        <v>1.18</v>
      </c>
    </row>
    <row r="243" ht="15.75" customHeight="1">
      <c r="A243" s="7" t="s">
        <v>1414</v>
      </c>
      <c r="B243" s="13" t="s">
        <v>364</v>
      </c>
      <c r="C243" s="14" t="s">
        <v>34</v>
      </c>
      <c r="D243" s="14" t="s">
        <v>35</v>
      </c>
      <c r="E243" s="14" t="s">
        <v>1416</v>
      </c>
      <c r="F243" s="9" t="s">
        <v>37</v>
      </c>
      <c r="G243" s="9" t="b">
        <v>0</v>
      </c>
      <c r="H243" s="9" t="s">
        <v>1417</v>
      </c>
      <c r="I243" s="9">
        <v>11.0</v>
      </c>
      <c r="J243" s="9">
        <v>0.01</v>
      </c>
      <c r="K243" s="9">
        <v>3.0</v>
      </c>
    </row>
    <row r="244" ht="15.75" customHeight="1">
      <c r="A244" s="7" t="s">
        <v>1418</v>
      </c>
      <c r="B244" s="13" t="s">
        <v>264</v>
      </c>
      <c r="C244" s="14" t="s">
        <v>521</v>
      </c>
      <c r="D244" s="14" t="s">
        <v>35</v>
      </c>
      <c r="E244" s="14" t="s">
        <v>1420</v>
      </c>
      <c r="F244" s="9" t="s">
        <v>523</v>
      </c>
      <c r="G244" s="9" t="b">
        <v>0</v>
      </c>
      <c r="H244" s="9" t="s">
        <v>1421</v>
      </c>
      <c r="I244" s="9">
        <v>11.0</v>
      </c>
      <c r="J244" s="9">
        <v>0.01</v>
      </c>
      <c r="K244" s="9">
        <v>1.09</v>
      </c>
    </row>
    <row r="245" ht="15.75" customHeight="1">
      <c r="A245" s="7" t="s">
        <v>1422</v>
      </c>
      <c r="B245" s="13" t="s">
        <v>511</v>
      </c>
      <c r="C245" s="14" t="s">
        <v>23</v>
      </c>
      <c r="D245" s="14" t="s">
        <v>270</v>
      </c>
      <c r="E245" s="14" t="s">
        <v>1426</v>
      </c>
      <c r="F245" s="9" t="s">
        <v>27</v>
      </c>
      <c r="G245" s="9" t="b">
        <v>0</v>
      </c>
      <c r="H245" s="9" t="s">
        <v>1427</v>
      </c>
      <c r="I245" s="9">
        <v>11.0</v>
      </c>
      <c r="J245" s="9">
        <v>0.01</v>
      </c>
      <c r="K245" s="9">
        <v>0.45</v>
      </c>
    </row>
    <row r="246" ht="15.75" customHeight="1">
      <c r="A246" s="7" t="s">
        <v>1428</v>
      </c>
      <c r="B246" s="13" t="s">
        <v>630</v>
      </c>
      <c r="C246" s="14" t="s">
        <v>34</v>
      </c>
      <c r="D246" s="14" t="s">
        <v>46</v>
      </c>
      <c r="E246" s="14" t="s">
        <v>1432</v>
      </c>
      <c r="F246" s="9" t="s">
        <v>37</v>
      </c>
      <c r="G246" s="9" t="b">
        <v>0</v>
      </c>
      <c r="H246" s="9" t="s">
        <v>1433</v>
      </c>
      <c r="I246" s="9">
        <v>11.0</v>
      </c>
      <c r="J246" s="9">
        <v>0.01</v>
      </c>
      <c r="K246" s="9">
        <v>1.0</v>
      </c>
    </row>
    <row r="247" ht="15.75" customHeight="1">
      <c r="A247" s="7" t="s">
        <v>1434</v>
      </c>
      <c r="B247" s="13" t="s">
        <v>15</v>
      </c>
      <c r="C247" s="14" t="s">
        <v>23</v>
      </c>
      <c r="D247" s="14" t="s">
        <v>46</v>
      </c>
      <c r="E247" s="14" t="s">
        <v>1436</v>
      </c>
      <c r="F247" s="9" t="s">
        <v>27</v>
      </c>
      <c r="G247" s="9" t="b">
        <v>0</v>
      </c>
      <c r="H247" s="9" t="s">
        <v>420</v>
      </c>
      <c r="I247" s="9">
        <v>11.0</v>
      </c>
      <c r="J247" s="9">
        <v>0.01</v>
      </c>
      <c r="K247" s="9">
        <v>0.36</v>
      </c>
    </row>
    <row r="248" ht="15.75" customHeight="1">
      <c r="A248" s="7" t="s">
        <v>1437</v>
      </c>
      <c r="B248" s="13" t="s">
        <v>277</v>
      </c>
      <c r="C248" s="14" t="s">
        <v>169</v>
      </c>
      <c r="D248" s="14" t="s">
        <v>169</v>
      </c>
      <c r="E248" s="14" t="s">
        <v>1439</v>
      </c>
      <c r="F248" s="9" t="s">
        <v>94</v>
      </c>
      <c r="G248" s="9" t="b">
        <v>0</v>
      </c>
      <c r="I248" s="9">
        <v>11.0</v>
      </c>
      <c r="J248" s="9">
        <v>0.01</v>
      </c>
      <c r="K248" s="9">
        <v>2.18</v>
      </c>
    </row>
    <row r="249" ht="15.75" customHeight="1">
      <c r="A249" s="7" t="s">
        <v>1441</v>
      </c>
      <c r="B249" s="13" t="s">
        <v>571</v>
      </c>
      <c r="C249" s="14" t="s">
        <v>34</v>
      </c>
      <c r="D249" s="14" t="s">
        <v>46</v>
      </c>
      <c r="E249" s="14" t="s">
        <v>1445</v>
      </c>
      <c r="F249" s="9" t="s">
        <v>37</v>
      </c>
      <c r="G249" s="9" t="b">
        <v>0</v>
      </c>
      <c r="H249" s="9" t="s">
        <v>188</v>
      </c>
      <c r="I249" s="9">
        <v>11.0</v>
      </c>
      <c r="J249" s="9">
        <v>0.01</v>
      </c>
      <c r="K249" s="9">
        <v>0.0</v>
      </c>
    </row>
    <row r="250" ht="15.75" customHeight="1">
      <c r="A250" s="7" t="s">
        <v>1446</v>
      </c>
      <c r="B250" s="13" t="s">
        <v>326</v>
      </c>
      <c r="C250" s="14" t="s">
        <v>61</v>
      </c>
      <c r="D250" s="14" t="s">
        <v>62</v>
      </c>
      <c r="E250" s="14" t="s">
        <v>1450</v>
      </c>
      <c r="F250" s="9" t="s">
        <v>64</v>
      </c>
      <c r="G250" s="9" t="b">
        <v>0</v>
      </c>
      <c r="I250" s="9">
        <v>11.0</v>
      </c>
      <c r="J250" s="9">
        <v>0.01</v>
      </c>
      <c r="K250" s="9">
        <v>0.0</v>
      </c>
    </row>
    <row r="251" ht="15.75" customHeight="1">
      <c r="A251" s="7" t="s">
        <v>1451</v>
      </c>
      <c r="B251" s="13" t="s">
        <v>72</v>
      </c>
      <c r="C251" s="14" t="s">
        <v>34</v>
      </c>
      <c r="D251" s="14" t="s">
        <v>35</v>
      </c>
      <c r="E251" s="14" t="s">
        <v>1455</v>
      </c>
      <c r="F251" s="9" t="s">
        <v>37</v>
      </c>
      <c r="G251" s="9" t="b">
        <v>0</v>
      </c>
      <c r="H251" s="9" t="s">
        <v>1456</v>
      </c>
      <c r="I251" s="9">
        <v>11.0</v>
      </c>
      <c r="J251" s="9">
        <v>0.01</v>
      </c>
      <c r="K251" s="9">
        <v>0.73</v>
      </c>
    </row>
    <row r="252" ht="15.75" customHeight="1">
      <c r="A252" s="7" t="s">
        <v>1457</v>
      </c>
      <c r="B252" s="13" t="s">
        <v>581</v>
      </c>
      <c r="C252" s="14" t="s">
        <v>521</v>
      </c>
      <c r="D252" s="14" t="s">
        <v>46</v>
      </c>
      <c r="E252" s="14" t="s">
        <v>1460</v>
      </c>
      <c r="F252" s="9" t="s">
        <v>523</v>
      </c>
      <c r="G252" s="9" t="b">
        <v>0</v>
      </c>
      <c r="H252" s="9" t="s">
        <v>582</v>
      </c>
      <c r="I252" s="9">
        <v>11.0</v>
      </c>
      <c r="J252" s="9">
        <v>0.01</v>
      </c>
      <c r="K252" s="9">
        <v>0.18</v>
      </c>
    </row>
    <row r="253" ht="15.75" customHeight="1">
      <c r="A253" s="7" t="s">
        <v>1462</v>
      </c>
      <c r="B253" s="13" t="s">
        <v>587</v>
      </c>
      <c r="C253" s="14" t="s">
        <v>144</v>
      </c>
      <c r="D253" s="14" t="s">
        <v>46</v>
      </c>
      <c r="E253" s="14" t="s">
        <v>1464</v>
      </c>
      <c r="F253" s="9" t="s">
        <v>147</v>
      </c>
      <c r="G253" s="9" t="b">
        <v>0</v>
      </c>
      <c r="I253" s="9">
        <v>11.0</v>
      </c>
      <c r="J253" s="9">
        <v>0.01</v>
      </c>
      <c r="K253" s="9">
        <v>0.91</v>
      </c>
    </row>
    <row r="254" ht="15.75" customHeight="1">
      <c r="A254" s="7" t="s">
        <v>1465</v>
      </c>
      <c r="B254" s="13" t="s">
        <v>606</v>
      </c>
      <c r="C254" s="14" t="s">
        <v>144</v>
      </c>
      <c r="D254" s="14" t="s">
        <v>46</v>
      </c>
      <c r="E254" s="14" t="s">
        <v>1469</v>
      </c>
      <c r="F254" s="9" t="s">
        <v>147</v>
      </c>
      <c r="G254" s="9" t="b">
        <v>0</v>
      </c>
      <c r="H254" s="9" t="s">
        <v>188</v>
      </c>
      <c r="I254" s="9">
        <v>10.0</v>
      </c>
      <c r="J254" s="9">
        <v>0.01</v>
      </c>
      <c r="K254" s="9">
        <v>0.0</v>
      </c>
    </row>
    <row r="255" ht="15.75" customHeight="1">
      <c r="A255" s="7" t="s">
        <v>1470</v>
      </c>
      <c r="B255" s="13" t="s">
        <v>538</v>
      </c>
      <c r="C255" s="14" t="s">
        <v>34</v>
      </c>
      <c r="D255" s="14" t="s">
        <v>46</v>
      </c>
      <c r="E255" s="14" t="s">
        <v>1472</v>
      </c>
      <c r="F255" s="9" t="s">
        <v>37</v>
      </c>
      <c r="G255" s="9" t="b">
        <v>0</v>
      </c>
      <c r="H255" s="9" t="s">
        <v>539</v>
      </c>
      <c r="I255" s="9">
        <v>10.0</v>
      </c>
      <c r="J255" s="9">
        <v>0.01</v>
      </c>
      <c r="K255" s="9">
        <v>0.0</v>
      </c>
    </row>
    <row r="256" ht="15.75" customHeight="1">
      <c r="A256" s="7" t="s">
        <v>1474</v>
      </c>
      <c r="B256" s="13" t="s">
        <v>22</v>
      </c>
      <c r="C256" s="14" t="s">
        <v>23</v>
      </c>
      <c r="D256" s="14" t="s">
        <v>46</v>
      </c>
      <c r="E256" s="14" t="s">
        <v>1476</v>
      </c>
      <c r="F256" s="9" t="s">
        <v>27</v>
      </c>
      <c r="G256" s="9" t="b">
        <v>0</v>
      </c>
      <c r="H256" s="9" t="s">
        <v>279</v>
      </c>
      <c r="I256" s="9">
        <v>10.0</v>
      </c>
      <c r="J256" s="9">
        <v>0.01</v>
      </c>
      <c r="K256" s="9">
        <v>0.0</v>
      </c>
    </row>
    <row r="257" ht="15.75" customHeight="1">
      <c r="A257" s="7" t="s">
        <v>1478</v>
      </c>
      <c r="B257" s="13" t="s">
        <v>334</v>
      </c>
      <c r="C257" s="14" t="s">
        <v>521</v>
      </c>
      <c r="D257" s="14" t="s">
        <v>35</v>
      </c>
      <c r="E257" s="14" t="s">
        <v>1481</v>
      </c>
      <c r="F257" s="9" t="s">
        <v>523</v>
      </c>
      <c r="G257" s="9" t="b">
        <v>0</v>
      </c>
      <c r="H257" s="9" t="s">
        <v>337</v>
      </c>
      <c r="I257" s="9">
        <v>10.0</v>
      </c>
      <c r="J257" s="9">
        <v>0.01</v>
      </c>
      <c r="K257" s="9">
        <v>0.5</v>
      </c>
    </row>
    <row r="258" ht="15.75" customHeight="1">
      <c r="A258" s="7" t="s">
        <v>1482</v>
      </c>
      <c r="B258" s="13" t="s">
        <v>597</v>
      </c>
      <c r="C258" s="14" t="s">
        <v>521</v>
      </c>
      <c r="D258" s="14" t="s">
        <v>46</v>
      </c>
      <c r="E258" s="14" t="s">
        <v>1485</v>
      </c>
      <c r="F258" s="9" t="s">
        <v>523</v>
      </c>
      <c r="G258" s="9" t="b">
        <v>0</v>
      </c>
      <c r="H258" s="9" t="s">
        <v>188</v>
      </c>
      <c r="I258" s="9">
        <v>10.0</v>
      </c>
      <c r="J258" s="9">
        <v>0.01</v>
      </c>
      <c r="K258" s="9">
        <v>1.5</v>
      </c>
    </row>
    <row r="259" ht="15.75" customHeight="1">
      <c r="A259" s="7" t="s">
        <v>1487</v>
      </c>
      <c r="B259" s="13" t="s">
        <v>657</v>
      </c>
      <c r="C259" s="14" t="s">
        <v>34</v>
      </c>
      <c r="D259" s="14" t="s">
        <v>46</v>
      </c>
      <c r="E259" s="14" t="s">
        <v>1490</v>
      </c>
      <c r="F259" s="9" t="s">
        <v>37</v>
      </c>
      <c r="G259" s="9" t="b">
        <v>0</v>
      </c>
      <c r="H259" s="9" t="s">
        <v>658</v>
      </c>
      <c r="I259" s="9">
        <v>10.0</v>
      </c>
      <c r="J259" s="9">
        <v>0.01</v>
      </c>
      <c r="K259" s="9">
        <v>0.0</v>
      </c>
    </row>
    <row r="260" ht="15.75" customHeight="1">
      <c r="A260" s="7" t="s">
        <v>1491</v>
      </c>
      <c r="B260" s="13" t="s">
        <v>29</v>
      </c>
      <c r="C260" s="14" t="s">
        <v>34</v>
      </c>
      <c r="D260" s="14" t="s">
        <v>46</v>
      </c>
      <c r="E260" s="14" t="s">
        <v>1494</v>
      </c>
      <c r="F260" s="9" t="s">
        <v>37</v>
      </c>
      <c r="G260" s="9" t="b">
        <v>0</v>
      </c>
      <c r="H260" s="9" t="s">
        <v>1495</v>
      </c>
      <c r="I260" s="9">
        <v>10.0</v>
      </c>
      <c r="J260" s="9">
        <v>0.01</v>
      </c>
      <c r="K260" s="9">
        <v>0.9</v>
      </c>
    </row>
    <row r="261" ht="15.75" customHeight="1">
      <c r="A261" s="7" t="s">
        <v>1496</v>
      </c>
      <c r="B261" s="13" t="s">
        <v>29</v>
      </c>
      <c r="C261" s="14" t="s">
        <v>34</v>
      </c>
      <c r="D261" s="14" t="s">
        <v>46</v>
      </c>
      <c r="E261" s="14" t="s">
        <v>1498</v>
      </c>
      <c r="F261" s="9" t="s">
        <v>37</v>
      </c>
      <c r="G261" s="9" t="b">
        <v>0</v>
      </c>
      <c r="H261" s="9" t="s">
        <v>1499</v>
      </c>
      <c r="I261" s="9">
        <v>10.0</v>
      </c>
      <c r="J261" s="9">
        <v>0.01</v>
      </c>
      <c r="K261" s="9">
        <v>1.1</v>
      </c>
    </row>
    <row r="262" ht="15.75" customHeight="1">
      <c r="A262" s="7" t="s">
        <v>1500</v>
      </c>
      <c r="B262" s="13" t="s">
        <v>333</v>
      </c>
      <c r="C262" s="14" t="s">
        <v>144</v>
      </c>
      <c r="D262" s="14" t="s">
        <v>46</v>
      </c>
      <c r="E262" s="14" t="s">
        <v>1503</v>
      </c>
      <c r="F262" s="9" t="s">
        <v>147</v>
      </c>
      <c r="G262" s="9" t="b">
        <v>0</v>
      </c>
      <c r="H262" s="9" t="s">
        <v>201</v>
      </c>
      <c r="I262" s="9">
        <v>10.0</v>
      </c>
      <c r="J262" s="9">
        <v>0.01</v>
      </c>
      <c r="K262" s="9">
        <v>0.2</v>
      </c>
    </row>
    <row r="263" ht="15.75" customHeight="1">
      <c r="A263" s="7" t="s">
        <v>1505</v>
      </c>
      <c r="B263" s="13" t="s">
        <v>19</v>
      </c>
      <c r="C263" s="14" t="s">
        <v>23</v>
      </c>
      <c r="D263" s="14" t="s">
        <v>46</v>
      </c>
      <c r="E263" s="14" t="s">
        <v>1507</v>
      </c>
      <c r="F263" s="9" t="s">
        <v>27</v>
      </c>
      <c r="G263" s="9" t="b">
        <v>0</v>
      </c>
      <c r="H263" s="9" t="s">
        <v>1508</v>
      </c>
      <c r="I263" s="9">
        <v>10.0</v>
      </c>
      <c r="J263" s="9">
        <v>0.01</v>
      </c>
      <c r="K263" s="9">
        <v>0.3</v>
      </c>
    </row>
    <row r="264" ht="15.75" customHeight="1">
      <c r="A264" s="7" t="s">
        <v>1510</v>
      </c>
      <c r="B264" s="13" t="s">
        <v>609</v>
      </c>
      <c r="C264" s="14" t="s">
        <v>34</v>
      </c>
      <c r="D264" s="14" t="s">
        <v>46</v>
      </c>
      <c r="E264" s="14" t="s">
        <v>1512</v>
      </c>
      <c r="F264" s="9" t="s">
        <v>37</v>
      </c>
      <c r="G264" s="9" t="b">
        <v>0</v>
      </c>
      <c r="I264" s="9">
        <v>10.0</v>
      </c>
      <c r="J264" s="9">
        <v>0.01</v>
      </c>
      <c r="K264" s="9">
        <v>0.0</v>
      </c>
    </row>
    <row r="265" ht="15.75" customHeight="1">
      <c r="A265" s="7" t="s">
        <v>1514</v>
      </c>
      <c r="B265" s="13" t="s">
        <v>315</v>
      </c>
      <c r="C265" s="14" t="s">
        <v>34</v>
      </c>
      <c r="D265" s="14" t="s">
        <v>25</v>
      </c>
      <c r="E265" s="14" t="s">
        <v>1516</v>
      </c>
      <c r="F265" s="9" t="s">
        <v>37</v>
      </c>
      <c r="G265" s="9" t="b">
        <v>0</v>
      </c>
      <c r="H265" s="9" t="s">
        <v>1517</v>
      </c>
      <c r="I265" s="9">
        <v>10.0</v>
      </c>
      <c r="J265" s="9">
        <v>0.01</v>
      </c>
      <c r="K265" s="9">
        <v>0.0</v>
      </c>
    </row>
    <row r="266" ht="15.75" customHeight="1">
      <c r="A266" s="7" t="s">
        <v>1519</v>
      </c>
      <c r="B266" s="13" t="s">
        <v>457</v>
      </c>
      <c r="C266" s="14" t="s">
        <v>309</v>
      </c>
      <c r="D266" s="14" t="s">
        <v>46</v>
      </c>
      <c r="E266" s="14" t="s">
        <v>1522</v>
      </c>
      <c r="F266" s="9" t="s">
        <v>311</v>
      </c>
      <c r="G266" s="9" t="b">
        <v>0</v>
      </c>
      <c r="I266" s="9">
        <v>10.0</v>
      </c>
      <c r="J266" s="9">
        <v>0.01</v>
      </c>
      <c r="K266" s="9">
        <v>1.2</v>
      </c>
    </row>
    <row r="267" ht="15.75" customHeight="1">
      <c r="A267" s="7" t="s">
        <v>1524</v>
      </c>
      <c r="B267" s="13" t="s">
        <v>553</v>
      </c>
      <c r="C267" s="14" t="s">
        <v>169</v>
      </c>
      <c r="D267" s="14" t="s">
        <v>953</v>
      </c>
      <c r="E267" s="14" t="s">
        <v>1527</v>
      </c>
      <c r="F267" s="9" t="s">
        <v>94</v>
      </c>
      <c r="G267" s="9" t="b">
        <v>0</v>
      </c>
      <c r="H267" s="9" t="s">
        <v>201</v>
      </c>
      <c r="I267" s="9">
        <v>10.0</v>
      </c>
      <c r="J267" s="9">
        <v>0.01</v>
      </c>
      <c r="K267" s="9">
        <v>0.4</v>
      </c>
    </row>
    <row r="268" ht="15.75" customHeight="1">
      <c r="A268" s="7" t="s">
        <v>1528</v>
      </c>
      <c r="B268" s="14" t="s">
        <v>86</v>
      </c>
      <c r="C268" s="14" t="s">
        <v>34</v>
      </c>
      <c r="D268" s="14" t="s">
        <v>35</v>
      </c>
      <c r="E268" s="14" t="s">
        <v>1530</v>
      </c>
      <c r="F268" s="9" t="s">
        <v>37</v>
      </c>
      <c r="G268" s="9" t="b">
        <v>0</v>
      </c>
      <c r="H268" s="9" t="s">
        <v>1532</v>
      </c>
      <c r="I268" s="9">
        <v>10.0</v>
      </c>
      <c r="J268" s="9">
        <v>0.01</v>
      </c>
      <c r="K268" s="9">
        <v>0.0</v>
      </c>
    </row>
    <row r="269" ht="15.75" customHeight="1">
      <c r="A269" s="7" t="s">
        <v>1533</v>
      </c>
      <c r="B269" s="13" t="s">
        <v>519</v>
      </c>
      <c r="C269" s="14" t="s">
        <v>144</v>
      </c>
      <c r="D269" s="14" t="s">
        <v>46</v>
      </c>
      <c r="E269" s="14" t="s">
        <v>1536</v>
      </c>
      <c r="F269" s="9" t="s">
        <v>147</v>
      </c>
      <c r="G269" s="9" t="b">
        <v>0</v>
      </c>
      <c r="H269" s="9" t="s">
        <v>188</v>
      </c>
      <c r="I269" s="9">
        <v>10.0</v>
      </c>
      <c r="J269" s="9">
        <v>0.01</v>
      </c>
      <c r="K269" s="9">
        <v>0.0</v>
      </c>
    </row>
    <row r="270" ht="15.75" customHeight="1">
      <c r="A270" s="7" t="s">
        <v>1537</v>
      </c>
      <c r="B270" s="13" t="s">
        <v>111</v>
      </c>
      <c r="C270" s="14" t="s">
        <v>34</v>
      </c>
      <c r="D270" s="14" t="s">
        <v>46</v>
      </c>
      <c r="E270" s="14" t="s">
        <v>1539</v>
      </c>
      <c r="F270" s="9" t="s">
        <v>37</v>
      </c>
      <c r="G270" s="9" t="b">
        <v>0</v>
      </c>
      <c r="H270" s="9" t="s">
        <v>1540</v>
      </c>
      <c r="I270" s="9">
        <v>10.0</v>
      </c>
      <c r="J270" s="9">
        <v>0.01</v>
      </c>
      <c r="K270" s="9">
        <v>0.9</v>
      </c>
    </row>
    <row r="271" ht="15.75" customHeight="1">
      <c r="A271" s="7" t="s">
        <v>1541</v>
      </c>
      <c r="B271" s="13" t="s">
        <v>532</v>
      </c>
      <c r="C271" s="14" t="s">
        <v>34</v>
      </c>
      <c r="D271" s="14" t="s">
        <v>46</v>
      </c>
      <c r="E271" s="14" t="s">
        <v>1546</v>
      </c>
      <c r="F271" s="9" t="s">
        <v>37</v>
      </c>
      <c r="G271" s="9" t="b">
        <v>0</v>
      </c>
      <c r="H271" s="9" t="s">
        <v>1547</v>
      </c>
      <c r="I271" s="9">
        <v>10.0</v>
      </c>
      <c r="J271" s="9">
        <v>0.01</v>
      </c>
      <c r="K271" s="9">
        <v>1.0</v>
      </c>
    </row>
    <row r="272" ht="15.75" customHeight="1">
      <c r="A272" s="7" t="s">
        <v>1548</v>
      </c>
      <c r="B272" s="13" t="s">
        <v>611</v>
      </c>
      <c r="C272" s="14" t="s">
        <v>144</v>
      </c>
      <c r="D272" s="14" t="s">
        <v>46</v>
      </c>
      <c r="E272" s="14" t="s">
        <v>1550</v>
      </c>
      <c r="F272" s="9" t="s">
        <v>147</v>
      </c>
      <c r="G272" s="9" t="b">
        <v>0</v>
      </c>
      <c r="H272" s="9" t="s">
        <v>1551</v>
      </c>
      <c r="I272" s="9">
        <v>10.0</v>
      </c>
      <c r="J272" s="9">
        <v>0.01</v>
      </c>
      <c r="K272" s="9">
        <v>0.0</v>
      </c>
    </row>
    <row r="273" ht="15.75" customHeight="1">
      <c r="A273" s="7" t="s">
        <v>1552</v>
      </c>
      <c r="B273" s="13" t="s">
        <v>247</v>
      </c>
      <c r="C273" s="14" t="s">
        <v>34</v>
      </c>
      <c r="D273" s="14" t="s">
        <v>46</v>
      </c>
      <c r="E273" s="14" t="s">
        <v>1554</v>
      </c>
      <c r="F273" s="9" t="s">
        <v>37</v>
      </c>
      <c r="G273" s="9" t="b">
        <v>0</v>
      </c>
      <c r="H273" s="9" t="s">
        <v>1555</v>
      </c>
      <c r="I273" s="9">
        <v>10.0</v>
      </c>
      <c r="J273" s="9">
        <v>0.01</v>
      </c>
      <c r="K273" s="9">
        <v>0.9</v>
      </c>
    </row>
    <row r="274" ht="15.75" customHeight="1">
      <c r="A274" s="7" t="s">
        <v>1556</v>
      </c>
      <c r="B274" s="13" t="s">
        <v>443</v>
      </c>
      <c r="C274" s="14" t="s">
        <v>521</v>
      </c>
      <c r="D274" s="14" t="s">
        <v>46</v>
      </c>
      <c r="E274" s="14" t="s">
        <v>1558</v>
      </c>
      <c r="F274" s="9" t="s">
        <v>523</v>
      </c>
      <c r="G274" s="9" t="b">
        <v>0</v>
      </c>
      <c r="H274" s="9" t="s">
        <v>446</v>
      </c>
      <c r="I274" s="9">
        <v>10.0</v>
      </c>
      <c r="J274" s="9">
        <v>0.01</v>
      </c>
      <c r="K274" s="9">
        <v>0.4</v>
      </c>
    </row>
    <row r="275" ht="15.75" customHeight="1">
      <c r="A275" s="7" t="s">
        <v>1560</v>
      </c>
      <c r="B275" s="13" t="s">
        <v>15</v>
      </c>
      <c r="C275" s="14" t="s">
        <v>23</v>
      </c>
      <c r="D275" s="14" t="s">
        <v>46</v>
      </c>
      <c r="E275" s="14" t="s">
        <v>1562</v>
      </c>
      <c r="F275" s="9" t="s">
        <v>27</v>
      </c>
      <c r="G275" s="9" t="b">
        <v>0</v>
      </c>
      <c r="H275" s="9" t="s">
        <v>1563</v>
      </c>
      <c r="I275" s="9">
        <v>10.0</v>
      </c>
      <c r="J275" s="9">
        <v>0.01</v>
      </c>
      <c r="K275" s="9">
        <v>0.0</v>
      </c>
    </row>
    <row r="276" ht="15.75" customHeight="1">
      <c r="A276" s="7" t="s">
        <v>1565</v>
      </c>
      <c r="B276" s="13" t="s">
        <v>72</v>
      </c>
      <c r="C276" s="14" t="s">
        <v>34</v>
      </c>
      <c r="D276" s="14" t="s">
        <v>35</v>
      </c>
      <c r="E276" s="14" t="s">
        <v>1566</v>
      </c>
      <c r="F276" s="9" t="s">
        <v>37</v>
      </c>
      <c r="G276" s="9" t="b">
        <v>0</v>
      </c>
      <c r="H276" s="9" t="s">
        <v>1567</v>
      </c>
      <c r="I276" s="9">
        <v>10.0</v>
      </c>
      <c r="J276" s="9">
        <v>0.01</v>
      </c>
      <c r="K276" s="9">
        <v>0.2</v>
      </c>
    </row>
    <row r="277" ht="15.75" customHeight="1">
      <c r="A277" s="7" t="s">
        <v>1569</v>
      </c>
      <c r="B277" s="13" t="s">
        <v>575</v>
      </c>
      <c r="C277" s="14" t="s">
        <v>34</v>
      </c>
      <c r="D277" s="14" t="s">
        <v>46</v>
      </c>
      <c r="E277" s="14" t="s">
        <v>1572</v>
      </c>
      <c r="F277" s="9" t="s">
        <v>37</v>
      </c>
      <c r="G277" s="9" t="b">
        <v>0</v>
      </c>
      <c r="H277" s="9" t="s">
        <v>1573</v>
      </c>
      <c r="I277" s="9">
        <v>10.0</v>
      </c>
      <c r="J277" s="9">
        <v>0.01</v>
      </c>
      <c r="K277" s="9">
        <v>1.0</v>
      </c>
    </row>
    <row r="278" ht="15.75" customHeight="1">
      <c r="A278" s="7" t="s">
        <v>1575</v>
      </c>
      <c r="B278" s="13" t="s">
        <v>634</v>
      </c>
      <c r="C278" s="14" t="s">
        <v>169</v>
      </c>
      <c r="D278" s="14" t="s">
        <v>46</v>
      </c>
      <c r="E278" s="14" t="s">
        <v>1577</v>
      </c>
      <c r="F278" s="9" t="s">
        <v>94</v>
      </c>
      <c r="G278" s="9" t="b">
        <v>0</v>
      </c>
      <c r="H278" s="9" t="s">
        <v>1578</v>
      </c>
      <c r="I278" s="9">
        <v>10.0</v>
      </c>
      <c r="J278" s="9">
        <v>0.01</v>
      </c>
      <c r="K278" s="9">
        <v>0.0</v>
      </c>
    </row>
    <row r="279" ht="15.75" customHeight="1">
      <c r="A279" s="7" t="s">
        <v>1580</v>
      </c>
      <c r="B279" s="13" t="s">
        <v>20</v>
      </c>
      <c r="C279" s="14" t="s">
        <v>23</v>
      </c>
      <c r="D279" s="14" t="s">
        <v>25</v>
      </c>
      <c r="E279" s="14" t="s">
        <v>1581</v>
      </c>
      <c r="F279" s="9" t="s">
        <v>27</v>
      </c>
      <c r="G279" s="9" t="b">
        <v>0</v>
      </c>
      <c r="H279" s="9" t="s">
        <v>1583</v>
      </c>
      <c r="I279" s="9">
        <v>10.0</v>
      </c>
      <c r="J279" s="9">
        <v>0.01</v>
      </c>
      <c r="K279" s="9">
        <v>0.0</v>
      </c>
    </row>
    <row r="280" ht="15.75" customHeight="1">
      <c r="A280" s="7" t="s">
        <v>1584</v>
      </c>
      <c r="B280" s="14" t="s">
        <v>639</v>
      </c>
      <c r="C280" s="14" t="s">
        <v>34</v>
      </c>
      <c r="D280" s="14" t="s">
        <v>25</v>
      </c>
      <c r="E280" s="14" t="s">
        <v>1586</v>
      </c>
      <c r="F280" s="9" t="s">
        <v>37</v>
      </c>
      <c r="G280" s="9" t="b">
        <v>0</v>
      </c>
      <c r="H280" s="9" t="s">
        <v>1587</v>
      </c>
      <c r="I280" s="9">
        <v>10.0</v>
      </c>
      <c r="J280" s="9">
        <v>0.01</v>
      </c>
      <c r="K280" s="9">
        <v>1.5</v>
      </c>
    </row>
    <row r="281" ht="15.75" customHeight="1">
      <c r="A281" s="7" t="s">
        <v>1588</v>
      </c>
      <c r="B281" s="13" t="s">
        <v>356</v>
      </c>
      <c r="C281" s="14" t="s">
        <v>34</v>
      </c>
      <c r="D281" s="14" t="s">
        <v>953</v>
      </c>
      <c r="E281" s="14" t="s">
        <v>1590</v>
      </c>
      <c r="F281" s="9" t="s">
        <v>37</v>
      </c>
      <c r="G281" s="9" t="b">
        <v>0</v>
      </c>
      <c r="H281" s="9" t="s">
        <v>1592</v>
      </c>
      <c r="I281" s="9">
        <v>10.0</v>
      </c>
      <c r="J281" s="9">
        <v>0.01</v>
      </c>
      <c r="K281" s="9">
        <v>0.4</v>
      </c>
    </row>
    <row r="282" ht="15.75" customHeight="1">
      <c r="A282" s="7" t="s">
        <v>1593</v>
      </c>
      <c r="B282" s="13" t="s">
        <v>584</v>
      </c>
      <c r="C282" s="14" t="s">
        <v>144</v>
      </c>
      <c r="D282" s="14" t="s">
        <v>46</v>
      </c>
      <c r="E282" s="14" t="s">
        <v>1596</v>
      </c>
      <c r="F282" s="9" t="s">
        <v>147</v>
      </c>
      <c r="G282" s="9" t="b">
        <v>0</v>
      </c>
      <c r="I282" s="9">
        <v>10.0</v>
      </c>
      <c r="J282" s="9">
        <v>0.01</v>
      </c>
      <c r="K282" s="9">
        <v>0.9</v>
      </c>
    </row>
    <row r="283" ht="15.75" customHeight="1">
      <c r="A283" s="7" t="s">
        <v>1598</v>
      </c>
      <c r="B283" s="13" t="s">
        <v>589</v>
      </c>
      <c r="C283" s="14" t="s">
        <v>144</v>
      </c>
      <c r="D283" s="14" t="s">
        <v>35</v>
      </c>
      <c r="E283" s="14" t="s">
        <v>1600</v>
      </c>
      <c r="F283" s="9" t="s">
        <v>147</v>
      </c>
      <c r="G283" s="9" t="b">
        <v>0</v>
      </c>
      <c r="H283" s="9" t="s">
        <v>591</v>
      </c>
      <c r="I283" s="9">
        <v>9.0</v>
      </c>
      <c r="J283" s="9">
        <v>0.01</v>
      </c>
      <c r="K283" s="9">
        <v>1.22</v>
      </c>
    </row>
    <row r="284" ht="15.75" customHeight="1">
      <c r="A284" s="7" t="s">
        <v>1601</v>
      </c>
      <c r="B284" s="13" t="s">
        <v>653</v>
      </c>
      <c r="C284" s="14" t="s">
        <v>521</v>
      </c>
      <c r="D284" s="14" t="s">
        <v>46</v>
      </c>
      <c r="E284" s="15"/>
      <c r="F284" s="9" t="s">
        <v>523</v>
      </c>
      <c r="H284" s="9" t="s">
        <v>172</v>
      </c>
      <c r="I284" s="9">
        <v>9.0</v>
      </c>
      <c r="J284" s="9">
        <v>0.01</v>
      </c>
      <c r="K284" s="9">
        <v>0.22</v>
      </c>
    </row>
    <row r="285" ht="15.75" customHeight="1">
      <c r="A285" s="7" t="s">
        <v>1604</v>
      </c>
      <c r="B285" s="13" t="s">
        <v>592</v>
      </c>
      <c r="C285" s="14" t="s">
        <v>34</v>
      </c>
      <c r="D285" s="14" t="s">
        <v>46</v>
      </c>
      <c r="E285" s="14" t="s">
        <v>1606</v>
      </c>
      <c r="F285" s="9" t="s">
        <v>37</v>
      </c>
      <c r="G285" s="9" t="b">
        <v>0</v>
      </c>
      <c r="H285" s="9" t="s">
        <v>188</v>
      </c>
      <c r="I285" s="9">
        <v>9.0</v>
      </c>
      <c r="J285" s="9">
        <v>0.01</v>
      </c>
      <c r="K285" s="9">
        <v>0.0</v>
      </c>
    </row>
    <row r="286" ht="15.75" customHeight="1">
      <c r="A286" s="7" t="s">
        <v>1608</v>
      </c>
      <c r="B286" s="13" t="s">
        <v>593</v>
      </c>
      <c r="C286" s="14" t="s">
        <v>34</v>
      </c>
      <c r="D286" s="14" t="s">
        <v>46</v>
      </c>
      <c r="E286" s="14" t="s">
        <v>1610</v>
      </c>
      <c r="F286" s="9" t="s">
        <v>37</v>
      </c>
      <c r="G286" s="9" t="b">
        <v>0</v>
      </c>
      <c r="H286" s="9" t="s">
        <v>1611</v>
      </c>
      <c r="I286" s="9">
        <v>9.0</v>
      </c>
      <c r="J286" s="9">
        <v>0.01</v>
      </c>
      <c r="K286" s="9">
        <v>0.0</v>
      </c>
    </row>
    <row r="287" ht="15.75" customHeight="1">
      <c r="A287" s="7" t="s">
        <v>1612</v>
      </c>
      <c r="B287" s="13" t="s">
        <v>22</v>
      </c>
      <c r="C287" s="14" t="s">
        <v>23</v>
      </c>
      <c r="D287" s="14" t="s">
        <v>46</v>
      </c>
      <c r="E287" s="14" t="s">
        <v>1614</v>
      </c>
      <c r="F287" s="9" t="s">
        <v>27</v>
      </c>
      <c r="G287" s="9" t="b">
        <v>0</v>
      </c>
      <c r="H287" s="9" t="s">
        <v>1615</v>
      </c>
      <c r="I287" s="9">
        <v>9.0</v>
      </c>
      <c r="J287" s="9">
        <v>0.01</v>
      </c>
      <c r="K287" s="9">
        <v>0.0</v>
      </c>
    </row>
    <row r="288" ht="15.75" customHeight="1">
      <c r="A288" s="7" t="s">
        <v>1617</v>
      </c>
      <c r="B288" s="13" t="s">
        <v>655</v>
      </c>
      <c r="C288" s="14" t="s">
        <v>144</v>
      </c>
      <c r="D288" s="14" t="s">
        <v>46</v>
      </c>
      <c r="E288" s="14" t="s">
        <v>1622</v>
      </c>
      <c r="F288" s="9" t="s">
        <v>147</v>
      </c>
      <c r="G288" s="9" t="b">
        <v>0</v>
      </c>
      <c r="I288" s="9">
        <v>9.0</v>
      </c>
      <c r="J288" s="9">
        <v>0.01</v>
      </c>
      <c r="K288" s="9">
        <v>0.0</v>
      </c>
    </row>
    <row r="289" ht="15.75" customHeight="1">
      <c r="A289" s="7" t="s">
        <v>1623</v>
      </c>
      <c r="B289" s="13" t="s">
        <v>180</v>
      </c>
      <c r="C289" s="14" t="s">
        <v>521</v>
      </c>
      <c r="D289" s="14" t="s">
        <v>35</v>
      </c>
      <c r="E289" s="14" t="s">
        <v>1625</v>
      </c>
      <c r="F289" s="9" t="s">
        <v>523</v>
      </c>
      <c r="G289" s="9" t="b">
        <v>0</v>
      </c>
      <c r="H289" s="9" t="s">
        <v>181</v>
      </c>
      <c r="I289" s="9">
        <v>9.0</v>
      </c>
      <c r="J289" s="9">
        <v>0.01</v>
      </c>
      <c r="K289" s="9">
        <v>1.11</v>
      </c>
    </row>
    <row r="290" ht="15.75" customHeight="1">
      <c r="A290" s="7" t="s">
        <v>1626</v>
      </c>
      <c r="B290" s="13" t="s">
        <v>70</v>
      </c>
      <c r="C290" s="14" t="s">
        <v>169</v>
      </c>
      <c r="D290" s="14" t="s">
        <v>46</v>
      </c>
      <c r="E290" s="14" t="s">
        <v>1627</v>
      </c>
      <c r="F290" s="9" t="s">
        <v>94</v>
      </c>
      <c r="G290" s="9" t="b">
        <v>0</v>
      </c>
      <c r="H290" s="9" t="s">
        <v>1628</v>
      </c>
      <c r="I290" s="9">
        <v>9.0</v>
      </c>
      <c r="J290" s="9">
        <v>0.01</v>
      </c>
      <c r="K290" s="9">
        <v>0.11</v>
      </c>
    </row>
    <row r="291" ht="15.75" customHeight="1">
      <c r="A291" s="7" t="s">
        <v>1629</v>
      </c>
      <c r="B291" s="13" t="s">
        <v>661</v>
      </c>
      <c r="C291" s="14" t="s">
        <v>144</v>
      </c>
      <c r="D291" s="14" t="s">
        <v>35</v>
      </c>
      <c r="E291" s="14" t="s">
        <v>1632</v>
      </c>
      <c r="F291" s="9" t="s">
        <v>147</v>
      </c>
      <c r="G291" s="9" t="b">
        <v>0</v>
      </c>
      <c r="H291" s="9" t="s">
        <v>662</v>
      </c>
      <c r="I291" s="9">
        <v>9.0</v>
      </c>
      <c r="J291" s="9">
        <v>0.01</v>
      </c>
      <c r="K291" s="9">
        <v>2.67</v>
      </c>
    </row>
    <row r="292" ht="15.75" customHeight="1">
      <c r="A292" s="7" t="s">
        <v>1633</v>
      </c>
      <c r="B292" s="13" t="s">
        <v>334</v>
      </c>
      <c r="C292" s="14" t="s">
        <v>521</v>
      </c>
      <c r="D292" s="14" t="s">
        <v>35</v>
      </c>
      <c r="E292" s="14" t="s">
        <v>1635</v>
      </c>
      <c r="F292" s="9" t="s">
        <v>523</v>
      </c>
      <c r="G292" s="9" t="b">
        <v>0</v>
      </c>
      <c r="H292" s="9" t="s">
        <v>337</v>
      </c>
      <c r="I292" s="9">
        <v>9.0</v>
      </c>
      <c r="J292" s="9">
        <v>0.01</v>
      </c>
      <c r="K292" s="9">
        <v>0.89</v>
      </c>
    </row>
    <row r="293" ht="15.75" customHeight="1">
      <c r="A293" s="7" t="s">
        <v>1636</v>
      </c>
      <c r="B293" s="13" t="s">
        <v>277</v>
      </c>
      <c r="C293" s="14" t="s">
        <v>23</v>
      </c>
      <c r="D293" s="14" t="s">
        <v>169</v>
      </c>
      <c r="E293" s="14" t="s">
        <v>1638</v>
      </c>
      <c r="F293" s="9" t="s">
        <v>27</v>
      </c>
      <c r="G293" s="9" t="b">
        <v>0</v>
      </c>
      <c r="I293" s="9">
        <v>9.0</v>
      </c>
      <c r="J293" s="9">
        <v>0.01</v>
      </c>
      <c r="K293" s="9">
        <v>0.0</v>
      </c>
    </row>
    <row r="294" ht="15.75" customHeight="1">
      <c r="A294" s="7" t="s">
        <v>1640</v>
      </c>
      <c r="B294" s="13" t="s">
        <v>277</v>
      </c>
      <c r="C294" s="14" t="s">
        <v>61</v>
      </c>
      <c r="D294" s="14" t="s">
        <v>169</v>
      </c>
      <c r="E294" s="14" t="s">
        <v>1641</v>
      </c>
      <c r="F294" s="9" t="s">
        <v>64</v>
      </c>
      <c r="G294" s="9" t="b">
        <v>0</v>
      </c>
      <c r="I294" s="9">
        <v>9.0</v>
      </c>
      <c r="J294" s="9">
        <v>0.01</v>
      </c>
      <c r="K294" s="9">
        <v>0.0</v>
      </c>
    </row>
    <row r="295" ht="15.75" customHeight="1">
      <c r="A295" s="7" t="s">
        <v>1643</v>
      </c>
      <c r="B295" s="14" t="s">
        <v>86</v>
      </c>
      <c r="C295" s="14" t="s">
        <v>34</v>
      </c>
      <c r="D295" s="14" t="s">
        <v>35</v>
      </c>
      <c r="E295" s="14" t="s">
        <v>1645</v>
      </c>
      <c r="F295" s="9" t="s">
        <v>37</v>
      </c>
      <c r="G295" s="9" t="b">
        <v>0</v>
      </c>
      <c r="H295" s="9" t="s">
        <v>1646</v>
      </c>
      <c r="I295" s="9">
        <v>9.0</v>
      </c>
      <c r="J295" s="9">
        <v>0.01</v>
      </c>
      <c r="K295" s="9">
        <v>0.33</v>
      </c>
    </row>
    <row r="296" ht="15.75" customHeight="1">
      <c r="A296" s="7" t="s">
        <v>1648</v>
      </c>
      <c r="B296" s="13" t="s">
        <v>519</v>
      </c>
      <c r="C296" s="14" t="s">
        <v>144</v>
      </c>
      <c r="D296" s="14" t="s">
        <v>46</v>
      </c>
      <c r="E296" s="14" t="s">
        <v>1650</v>
      </c>
      <c r="F296" s="9" t="s">
        <v>147</v>
      </c>
      <c r="G296" s="9" t="b">
        <v>0</v>
      </c>
      <c r="H296" s="9" t="s">
        <v>188</v>
      </c>
      <c r="I296" s="9">
        <v>9.0</v>
      </c>
      <c r="J296" s="9">
        <v>0.01</v>
      </c>
      <c r="K296" s="9">
        <v>0.0</v>
      </c>
    </row>
    <row r="297" ht="15.75" customHeight="1">
      <c r="A297" s="7" t="s">
        <v>1651</v>
      </c>
      <c r="B297" s="13" t="s">
        <v>692</v>
      </c>
      <c r="C297" s="14" t="s">
        <v>34</v>
      </c>
      <c r="D297" s="14" t="s">
        <v>46</v>
      </c>
      <c r="E297" s="14" t="s">
        <v>1653</v>
      </c>
      <c r="F297" s="9" t="s">
        <v>37</v>
      </c>
      <c r="G297" s="9" t="b">
        <v>0</v>
      </c>
      <c r="H297" s="9" t="s">
        <v>1655</v>
      </c>
      <c r="I297" s="9">
        <v>9.0</v>
      </c>
      <c r="J297" s="9">
        <v>0.01</v>
      </c>
      <c r="K297" s="9">
        <v>2.11</v>
      </c>
    </row>
    <row r="298" ht="15.75" customHeight="1">
      <c r="A298" s="7" t="s">
        <v>1656</v>
      </c>
      <c r="B298" s="13" t="s">
        <v>84</v>
      </c>
      <c r="C298" s="14" t="s">
        <v>34</v>
      </c>
      <c r="D298" s="14" t="s">
        <v>46</v>
      </c>
      <c r="E298" s="14" t="s">
        <v>1657</v>
      </c>
      <c r="F298" s="9" t="s">
        <v>37</v>
      </c>
      <c r="G298" s="9" t="b">
        <v>0</v>
      </c>
      <c r="H298" s="9" t="s">
        <v>1659</v>
      </c>
      <c r="I298" s="9">
        <v>9.0</v>
      </c>
      <c r="J298" s="9">
        <v>0.01</v>
      </c>
      <c r="K298" s="9">
        <v>0.11</v>
      </c>
    </row>
    <row r="299" ht="15.75" customHeight="1">
      <c r="A299" s="7" t="s">
        <v>1660</v>
      </c>
      <c r="B299" s="13" t="s">
        <v>189</v>
      </c>
      <c r="C299" s="14" t="s">
        <v>169</v>
      </c>
      <c r="D299" s="14" t="s">
        <v>46</v>
      </c>
      <c r="E299" s="15"/>
      <c r="F299" s="9" t="s">
        <v>94</v>
      </c>
      <c r="H299" s="9" t="s">
        <v>172</v>
      </c>
      <c r="I299" s="9">
        <v>9.0</v>
      </c>
      <c r="J299" s="9">
        <v>0.01</v>
      </c>
      <c r="K299" s="9">
        <v>0.0</v>
      </c>
    </row>
    <row r="300" ht="15.75" customHeight="1">
      <c r="A300" s="7" t="s">
        <v>1663</v>
      </c>
      <c r="B300" s="14" t="s">
        <v>200</v>
      </c>
      <c r="C300" s="14" t="s">
        <v>144</v>
      </c>
      <c r="D300" s="14" t="s">
        <v>46</v>
      </c>
      <c r="E300" s="14" t="s">
        <v>1666</v>
      </c>
      <c r="F300" s="9" t="s">
        <v>147</v>
      </c>
      <c r="G300" s="9" t="b">
        <v>0</v>
      </c>
      <c r="I300" s="9">
        <v>9.0</v>
      </c>
      <c r="J300" s="9">
        <v>0.01</v>
      </c>
      <c r="K300" s="9">
        <v>1.44</v>
      </c>
    </row>
    <row r="301" ht="15.75" customHeight="1">
      <c r="A301" s="7" t="s">
        <v>1667</v>
      </c>
      <c r="B301" s="13" t="s">
        <v>621</v>
      </c>
      <c r="C301" s="14" t="s">
        <v>34</v>
      </c>
      <c r="D301" s="14" t="s">
        <v>46</v>
      </c>
      <c r="E301" s="14" t="s">
        <v>1670</v>
      </c>
      <c r="F301" s="9" t="s">
        <v>37</v>
      </c>
      <c r="G301" s="9" t="b">
        <v>0</v>
      </c>
      <c r="I301" s="9">
        <v>9.0</v>
      </c>
      <c r="J301" s="9">
        <v>0.01</v>
      </c>
      <c r="K301" s="9">
        <v>0.89</v>
      </c>
    </row>
    <row r="302" ht="15.75" customHeight="1">
      <c r="A302" s="7" t="s">
        <v>1671</v>
      </c>
      <c r="B302" s="13" t="s">
        <v>319</v>
      </c>
      <c r="C302" s="14" t="s">
        <v>144</v>
      </c>
      <c r="D302" s="14" t="s">
        <v>35</v>
      </c>
      <c r="E302" s="14" t="s">
        <v>1673</v>
      </c>
      <c r="F302" s="9" t="s">
        <v>147</v>
      </c>
      <c r="G302" s="9" t="b">
        <v>0</v>
      </c>
      <c r="H302" s="9" t="s">
        <v>321</v>
      </c>
      <c r="I302" s="9">
        <v>9.0</v>
      </c>
      <c r="J302" s="9">
        <v>0.01</v>
      </c>
      <c r="K302" s="9">
        <v>1.22</v>
      </c>
    </row>
    <row r="303" ht="15.75" customHeight="1">
      <c r="A303" s="7" t="s">
        <v>1674</v>
      </c>
      <c r="B303" s="13" t="s">
        <v>436</v>
      </c>
      <c r="C303" s="14" t="s">
        <v>34</v>
      </c>
      <c r="D303" s="14" t="s">
        <v>46</v>
      </c>
      <c r="E303" s="14" t="s">
        <v>1677</v>
      </c>
      <c r="F303" s="9" t="s">
        <v>37</v>
      </c>
      <c r="G303" s="9" t="b">
        <v>0</v>
      </c>
      <c r="H303" s="9" t="s">
        <v>1678</v>
      </c>
      <c r="I303" s="9">
        <v>9.0</v>
      </c>
      <c r="J303" s="9">
        <v>0.01</v>
      </c>
      <c r="K303" s="9">
        <v>0.0</v>
      </c>
    </row>
    <row r="304" ht="15.75" customHeight="1">
      <c r="A304" s="7" t="s">
        <v>1679</v>
      </c>
      <c r="B304" s="13" t="s">
        <v>624</v>
      </c>
      <c r="C304" s="14" t="s">
        <v>521</v>
      </c>
      <c r="D304" s="14" t="s">
        <v>46</v>
      </c>
      <c r="E304" s="14" t="s">
        <v>1682</v>
      </c>
      <c r="F304" s="9" t="s">
        <v>523</v>
      </c>
      <c r="G304" s="9" t="b">
        <v>0</v>
      </c>
      <c r="I304" s="9">
        <v>9.0</v>
      </c>
      <c r="J304" s="9">
        <v>0.01</v>
      </c>
      <c r="K304" s="9">
        <v>0.89</v>
      </c>
    </row>
    <row r="305" ht="15.75" customHeight="1">
      <c r="A305" s="7" t="s">
        <v>1683</v>
      </c>
      <c r="B305" s="13" t="s">
        <v>628</v>
      </c>
      <c r="C305" s="14" t="s">
        <v>521</v>
      </c>
      <c r="D305" s="14" t="s">
        <v>46</v>
      </c>
      <c r="E305" s="15"/>
      <c r="F305" s="9" t="s">
        <v>523</v>
      </c>
      <c r="H305" s="9" t="s">
        <v>172</v>
      </c>
      <c r="I305" s="9">
        <v>9.0</v>
      </c>
      <c r="J305" s="9">
        <v>0.01</v>
      </c>
      <c r="K305" s="9">
        <v>0.0</v>
      </c>
    </row>
    <row r="306" ht="15.75" customHeight="1">
      <c r="A306" s="7" t="s">
        <v>1687</v>
      </c>
      <c r="B306" s="13" t="s">
        <v>673</v>
      </c>
      <c r="C306" s="14" t="s">
        <v>23</v>
      </c>
      <c r="D306" s="14" t="s">
        <v>46</v>
      </c>
      <c r="E306" s="14" t="s">
        <v>1691</v>
      </c>
      <c r="F306" s="9" t="s">
        <v>27</v>
      </c>
      <c r="G306" s="9" t="b">
        <v>0</v>
      </c>
      <c r="H306" s="9" t="s">
        <v>1692</v>
      </c>
      <c r="I306" s="9">
        <v>9.0</v>
      </c>
      <c r="J306" s="9">
        <v>0.01</v>
      </c>
      <c r="K306" s="9">
        <v>0.11</v>
      </c>
    </row>
    <row r="307" ht="15.75" customHeight="1">
      <c r="A307" s="7" t="s">
        <v>1693</v>
      </c>
      <c r="B307" s="13" t="s">
        <v>570</v>
      </c>
      <c r="C307" s="14" t="s">
        <v>144</v>
      </c>
      <c r="D307" s="14" t="s">
        <v>46</v>
      </c>
      <c r="E307" s="14" t="s">
        <v>1696</v>
      </c>
      <c r="F307" s="9" t="s">
        <v>147</v>
      </c>
      <c r="G307" s="9" t="b">
        <v>0</v>
      </c>
      <c r="I307" s="9">
        <v>9.0</v>
      </c>
      <c r="J307" s="9">
        <v>0.01</v>
      </c>
      <c r="K307" s="9">
        <v>0.0</v>
      </c>
    </row>
    <row r="308" ht="15.75" customHeight="1">
      <c r="A308" s="7" t="s">
        <v>1697</v>
      </c>
      <c r="B308" s="13" t="s">
        <v>629</v>
      </c>
      <c r="C308" s="14" t="s">
        <v>521</v>
      </c>
      <c r="D308" s="14" t="s">
        <v>46</v>
      </c>
      <c r="E308" s="14" t="s">
        <v>1700</v>
      </c>
      <c r="F308" s="9" t="s">
        <v>523</v>
      </c>
      <c r="G308" s="9" t="b">
        <v>0</v>
      </c>
      <c r="H308" s="9" t="s">
        <v>188</v>
      </c>
      <c r="I308" s="9">
        <v>9.0</v>
      </c>
      <c r="J308" s="9">
        <v>0.01</v>
      </c>
      <c r="K308" s="9">
        <v>0.0</v>
      </c>
    </row>
    <row r="309" ht="15.75" customHeight="1">
      <c r="A309" s="7" t="s">
        <v>1702</v>
      </c>
      <c r="B309" s="13" t="s">
        <v>15</v>
      </c>
      <c r="C309" s="14" t="s">
        <v>23</v>
      </c>
      <c r="D309" s="14" t="s">
        <v>46</v>
      </c>
      <c r="E309" s="14" t="s">
        <v>1704</v>
      </c>
      <c r="F309" s="9" t="s">
        <v>27</v>
      </c>
      <c r="G309" s="9" t="b">
        <v>0</v>
      </c>
      <c r="H309" s="9" t="s">
        <v>1705</v>
      </c>
      <c r="I309" s="9">
        <v>9.0</v>
      </c>
      <c r="J309" s="9">
        <v>0.01</v>
      </c>
      <c r="K309" s="9">
        <v>0.0</v>
      </c>
    </row>
    <row r="310" ht="15.75" customHeight="1">
      <c r="A310" s="7" t="s">
        <v>1706</v>
      </c>
      <c r="B310" s="13" t="s">
        <v>504</v>
      </c>
      <c r="C310" s="14" t="s">
        <v>34</v>
      </c>
      <c r="D310" s="14" t="s">
        <v>46</v>
      </c>
      <c r="E310" s="14" t="s">
        <v>1710</v>
      </c>
      <c r="F310" s="9" t="s">
        <v>37</v>
      </c>
      <c r="G310" s="9" t="b">
        <v>0</v>
      </c>
      <c r="H310" s="9" t="s">
        <v>1711</v>
      </c>
      <c r="I310" s="9">
        <v>9.0</v>
      </c>
      <c r="J310" s="9">
        <v>0.01</v>
      </c>
      <c r="K310" s="9">
        <v>0.0</v>
      </c>
    </row>
    <row r="311" ht="15.75" customHeight="1">
      <c r="A311" s="7" t="s">
        <v>1712</v>
      </c>
      <c r="B311" s="13" t="s">
        <v>676</v>
      </c>
      <c r="C311" s="14" t="s">
        <v>521</v>
      </c>
      <c r="D311" s="14" t="s">
        <v>46</v>
      </c>
      <c r="E311" s="14" t="s">
        <v>1714</v>
      </c>
      <c r="F311" s="9" t="s">
        <v>523</v>
      </c>
      <c r="G311" s="9" t="b">
        <v>0</v>
      </c>
      <c r="I311" s="9">
        <v>9.0</v>
      </c>
      <c r="J311" s="9">
        <v>0.01</v>
      </c>
      <c r="K311" s="9">
        <v>0.0</v>
      </c>
    </row>
    <row r="312" ht="15.75" customHeight="1">
      <c r="A312" s="7" t="s">
        <v>1716</v>
      </c>
      <c r="B312" s="13" t="s">
        <v>682</v>
      </c>
      <c r="C312" s="14" t="s">
        <v>34</v>
      </c>
      <c r="D312" s="14" t="s">
        <v>46</v>
      </c>
      <c r="E312" s="14" t="s">
        <v>1720</v>
      </c>
      <c r="F312" s="9" t="s">
        <v>37</v>
      </c>
      <c r="G312" s="9" t="b">
        <v>0</v>
      </c>
      <c r="H312" s="9" t="s">
        <v>1721</v>
      </c>
      <c r="I312" s="9">
        <v>9.0</v>
      </c>
      <c r="J312" s="9">
        <v>0.01</v>
      </c>
      <c r="K312" s="9">
        <v>0.11</v>
      </c>
    </row>
    <row r="313" ht="15.75" customHeight="1">
      <c r="A313" s="7" t="s">
        <v>1722</v>
      </c>
      <c r="B313" s="13" t="s">
        <v>686</v>
      </c>
      <c r="C313" s="14" t="s">
        <v>23</v>
      </c>
      <c r="D313" s="14" t="s">
        <v>25</v>
      </c>
      <c r="E313" s="15"/>
      <c r="F313" s="9" t="s">
        <v>27</v>
      </c>
      <c r="G313" s="9" t="b">
        <v>0</v>
      </c>
      <c r="I313" s="9">
        <v>9.0</v>
      </c>
      <c r="J313" s="9">
        <v>0.01</v>
      </c>
      <c r="K313" s="9">
        <v>0.0</v>
      </c>
    </row>
    <row r="314" ht="15.75" customHeight="1">
      <c r="A314" s="7" t="s">
        <v>1726</v>
      </c>
      <c r="B314" s="13" t="s">
        <v>690</v>
      </c>
      <c r="C314" s="14" t="s">
        <v>34</v>
      </c>
      <c r="D314" s="14" t="s">
        <v>46</v>
      </c>
      <c r="E314" s="14" t="s">
        <v>1728</v>
      </c>
      <c r="F314" s="9" t="s">
        <v>37</v>
      </c>
      <c r="G314" s="9" t="b">
        <v>0</v>
      </c>
      <c r="H314" s="9" t="s">
        <v>691</v>
      </c>
      <c r="I314" s="9">
        <v>9.0</v>
      </c>
      <c r="J314" s="9">
        <v>0.01</v>
      </c>
      <c r="K314" s="9">
        <v>0.67</v>
      </c>
    </row>
    <row r="315" ht="15.75" customHeight="1">
      <c r="A315" s="7" t="s">
        <v>1730</v>
      </c>
      <c r="B315" s="13" t="s">
        <v>387</v>
      </c>
      <c r="C315" s="14" t="s">
        <v>169</v>
      </c>
      <c r="D315" s="14" t="s">
        <v>25</v>
      </c>
      <c r="E315" s="15"/>
      <c r="F315" s="9" t="s">
        <v>94</v>
      </c>
      <c r="H315" s="9" t="s">
        <v>172</v>
      </c>
      <c r="I315" s="9">
        <v>9.0</v>
      </c>
      <c r="J315" s="9">
        <v>0.01</v>
      </c>
      <c r="K315" s="9">
        <v>0.0</v>
      </c>
    </row>
    <row r="316" ht="15.75" customHeight="1">
      <c r="A316" s="7" t="s">
        <v>1732</v>
      </c>
      <c r="B316" s="14" t="s">
        <v>712</v>
      </c>
      <c r="C316" s="14" t="s">
        <v>521</v>
      </c>
      <c r="D316" s="14" t="s">
        <v>46</v>
      </c>
      <c r="E316" s="14" t="s">
        <v>1735</v>
      </c>
      <c r="F316" s="9" t="s">
        <v>523</v>
      </c>
      <c r="G316" s="9" t="b">
        <v>0</v>
      </c>
      <c r="H316" s="9" t="s">
        <v>482</v>
      </c>
      <c r="I316" s="9">
        <v>8.0</v>
      </c>
      <c r="J316" s="9">
        <v>0.01</v>
      </c>
      <c r="K316" s="9">
        <v>0.13</v>
      </c>
    </row>
    <row r="317" ht="15.75" customHeight="1">
      <c r="A317" s="7" t="s">
        <v>1736</v>
      </c>
      <c r="B317" s="13" t="s">
        <v>396</v>
      </c>
      <c r="C317" s="14" t="s">
        <v>169</v>
      </c>
      <c r="D317" s="14" t="s">
        <v>46</v>
      </c>
      <c r="E317" s="14" t="s">
        <v>1577</v>
      </c>
      <c r="F317" s="9" t="s">
        <v>94</v>
      </c>
      <c r="G317" s="9" t="b">
        <v>0</v>
      </c>
      <c r="H317" s="9" t="s">
        <v>1578</v>
      </c>
      <c r="I317" s="9">
        <v>8.0</v>
      </c>
      <c r="J317" s="9">
        <v>0.01</v>
      </c>
      <c r="K317" s="9">
        <v>0.0</v>
      </c>
    </row>
    <row r="318" ht="15.75" customHeight="1">
      <c r="A318" s="7" t="s">
        <v>1741</v>
      </c>
      <c r="B318" s="13" t="s">
        <v>29</v>
      </c>
      <c r="C318" s="14" t="s">
        <v>34</v>
      </c>
      <c r="D318" s="14" t="s">
        <v>46</v>
      </c>
      <c r="E318" s="14" t="s">
        <v>1743</v>
      </c>
      <c r="F318" s="9" t="s">
        <v>37</v>
      </c>
      <c r="G318" s="9" t="b">
        <v>0</v>
      </c>
      <c r="H318" s="9" t="s">
        <v>1744</v>
      </c>
      <c r="I318" s="9">
        <v>8.0</v>
      </c>
      <c r="J318" s="9">
        <v>0.01</v>
      </c>
      <c r="K318" s="9">
        <v>1.0</v>
      </c>
    </row>
    <row r="319" ht="15.75" customHeight="1">
      <c r="A319" s="7" t="s">
        <v>1745</v>
      </c>
      <c r="B319" s="13" t="s">
        <v>659</v>
      </c>
      <c r="C319" s="14" t="s">
        <v>521</v>
      </c>
      <c r="D319" s="14" t="s">
        <v>46</v>
      </c>
      <c r="E319" s="14" t="s">
        <v>1748</v>
      </c>
      <c r="F319" s="9" t="s">
        <v>523</v>
      </c>
      <c r="G319" s="9" t="b">
        <v>0</v>
      </c>
      <c r="I319" s="9">
        <v>8.0</v>
      </c>
      <c r="J319" s="9">
        <v>0.01</v>
      </c>
      <c r="K319" s="9">
        <v>1.75</v>
      </c>
    </row>
    <row r="320" ht="15.75" customHeight="1">
      <c r="A320" s="7" t="s">
        <v>1750</v>
      </c>
      <c r="B320" s="14" t="s">
        <v>660</v>
      </c>
      <c r="C320" s="14" t="s">
        <v>1203</v>
      </c>
      <c r="D320" s="14" t="s">
        <v>270</v>
      </c>
      <c r="E320" s="14" t="s">
        <v>1753</v>
      </c>
      <c r="F320" s="9" t="s">
        <v>1205</v>
      </c>
      <c r="G320" s="9" t="b">
        <v>0</v>
      </c>
      <c r="I320" s="9">
        <v>8.0</v>
      </c>
      <c r="J320" s="9">
        <v>0.01</v>
      </c>
      <c r="K320" s="9">
        <v>0.0</v>
      </c>
    </row>
    <row r="321" ht="15.75" customHeight="1">
      <c r="A321" s="7" t="s">
        <v>1755</v>
      </c>
      <c r="B321" s="13" t="s">
        <v>70</v>
      </c>
      <c r="C321" s="14" t="s">
        <v>23</v>
      </c>
      <c r="D321" s="14" t="s">
        <v>46</v>
      </c>
      <c r="E321" s="14" t="s">
        <v>1756</v>
      </c>
      <c r="F321" s="9" t="s">
        <v>27</v>
      </c>
      <c r="G321" s="9" t="b">
        <v>0</v>
      </c>
      <c r="H321" s="9" t="s">
        <v>1757</v>
      </c>
      <c r="I321" s="9">
        <v>8.0</v>
      </c>
      <c r="J321" s="9">
        <v>0.01</v>
      </c>
      <c r="K321" s="9">
        <v>0.0</v>
      </c>
    </row>
    <row r="322" ht="15.75" customHeight="1">
      <c r="A322" s="7" t="s">
        <v>1758</v>
      </c>
      <c r="B322" s="13" t="s">
        <v>291</v>
      </c>
      <c r="C322" s="14" t="s">
        <v>61</v>
      </c>
      <c r="D322" s="14" t="s">
        <v>35</v>
      </c>
      <c r="E322" s="14" t="s">
        <v>1762</v>
      </c>
      <c r="F322" s="9" t="s">
        <v>64</v>
      </c>
      <c r="G322" s="9" t="b">
        <v>0</v>
      </c>
      <c r="H322" s="9" t="s">
        <v>1763</v>
      </c>
      <c r="I322" s="9">
        <v>8.0</v>
      </c>
      <c r="J322" s="9">
        <v>0.01</v>
      </c>
      <c r="K322" s="9">
        <v>1.25</v>
      </c>
    </row>
    <row r="323" ht="15.75" customHeight="1">
      <c r="A323" s="7" t="s">
        <v>1764</v>
      </c>
      <c r="B323" s="13" t="s">
        <v>268</v>
      </c>
      <c r="C323" s="14" t="s">
        <v>23</v>
      </c>
      <c r="D323" s="14" t="s">
        <v>169</v>
      </c>
      <c r="E323" s="14" t="s">
        <v>1766</v>
      </c>
      <c r="F323" s="9" t="s">
        <v>27</v>
      </c>
      <c r="G323" s="9" t="b">
        <v>0</v>
      </c>
      <c r="I323" s="9">
        <v>8.0</v>
      </c>
      <c r="J323" s="9">
        <v>0.01</v>
      </c>
      <c r="K323" s="9">
        <v>0.13</v>
      </c>
    </row>
    <row r="324" ht="15.75" customHeight="1">
      <c r="A324" s="7" t="s">
        <v>1767</v>
      </c>
      <c r="B324" s="13" t="s">
        <v>728</v>
      </c>
      <c r="C324" s="14" t="s">
        <v>521</v>
      </c>
      <c r="D324" s="14" t="s">
        <v>46</v>
      </c>
      <c r="E324" s="14" t="s">
        <v>1770</v>
      </c>
      <c r="F324" s="9" t="s">
        <v>523</v>
      </c>
      <c r="G324" s="9" t="b">
        <v>0</v>
      </c>
      <c r="I324" s="9">
        <v>8.0</v>
      </c>
      <c r="J324" s="9">
        <v>0.01</v>
      </c>
      <c r="K324" s="9">
        <v>0.25</v>
      </c>
    </row>
    <row r="325" ht="15.75" customHeight="1">
      <c r="A325" s="7" t="s">
        <v>1771</v>
      </c>
      <c r="B325" s="14" t="s">
        <v>86</v>
      </c>
      <c r="C325" s="14" t="s">
        <v>34</v>
      </c>
      <c r="D325" s="14" t="s">
        <v>35</v>
      </c>
      <c r="E325" s="14" t="s">
        <v>1772</v>
      </c>
      <c r="F325" s="9" t="s">
        <v>37</v>
      </c>
      <c r="G325" s="9" t="b">
        <v>0</v>
      </c>
      <c r="H325" s="9" t="s">
        <v>1774</v>
      </c>
      <c r="I325" s="9">
        <v>8.0</v>
      </c>
      <c r="J325" s="9">
        <v>0.01</v>
      </c>
      <c r="K325" s="9">
        <v>0.0</v>
      </c>
    </row>
    <row r="326" ht="15.75" customHeight="1">
      <c r="A326" s="7" t="s">
        <v>1775</v>
      </c>
      <c r="B326" s="13" t="s">
        <v>519</v>
      </c>
      <c r="C326" s="14" t="s">
        <v>144</v>
      </c>
      <c r="D326" s="14" t="s">
        <v>46</v>
      </c>
      <c r="E326" s="14" t="s">
        <v>1777</v>
      </c>
      <c r="F326" s="9" t="s">
        <v>147</v>
      </c>
      <c r="G326" s="9" t="b">
        <v>0</v>
      </c>
      <c r="H326" s="9" t="s">
        <v>188</v>
      </c>
      <c r="I326" s="9">
        <v>8.0</v>
      </c>
      <c r="J326" s="9">
        <v>0.01</v>
      </c>
      <c r="K326" s="9">
        <v>0.0</v>
      </c>
    </row>
    <row r="327" ht="15.75" customHeight="1">
      <c r="A327" s="7" t="s">
        <v>1778</v>
      </c>
      <c r="B327" s="13" t="s">
        <v>461</v>
      </c>
      <c r="C327" s="14" t="s">
        <v>144</v>
      </c>
      <c r="D327" s="14" t="s">
        <v>46</v>
      </c>
      <c r="E327" s="14" t="s">
        <v>1780</v>
      </c>
      <c r="F327" s="9" t="s">
        <v>147</v>
      </c>
      <c r="G327" s="9" t="b">
        <v>0</v>
      </c>
      <c r="I327" s="9">
        <v>8.0</v>
      </c>
      <c r="J327" s="9">
        <v>0.01</v>
      </c>
      <c r="K327" s="9">
        <v>0.13</v>
      </c>
    </row>
    <row r="328" ht="15.75" customHeight="1">
      <c r="A328" s="7" t="s">
        <v>1781</v>
      </c>
      <c r="B328" s="13" t="s">
        <v>557</v>
      </c>
      <c r="C328" s="14" t="s">
        <v>34</v>
      </c>
      <c r="D328" s="14" t="s">
        <v>46</v>
      </c>
      <c r="E328" s="14" t="s">
        <v>1783</v>
      </c>
      <c r="F328" s="9" t="s">
        <v>37</v>
      </c>
      <c r="G328" s="9" t="b">
        <v>0</v>
      </c>
      <c r="H328" s="9" t="s">
        <v>1784</v>
      </c>
      <c r="I328" s="9">
        <v>8.0</v>
      </c>
      <c r="J328" s="9">
        <v>0.01</v>
      </c>
      <c r="K328" s="9">
        <v>0.5</v>
      </c>
    </row>
    <row r="329" ht="15.75" customHeight="1">
      <c r="A329" s="7" t="s">
        <v>1785</v>
      </c>
      <c r="B329" s="13" t="s">
        <v>139</v>
      </c>
      <c r="C329" s="14" t="s">
        <v>34</v>
      </c>
      <c r="D329" s="14" t="s">
        <v>35</v>
      </c>
      <c r="E329" s="14" t="s">
        <v>1787</v>
      </c>
      <c r="F329" s="9" t="s">
        <v>37</v>
      </c>
      <c r="G329" s="9" t="b">
        <v>0</v>
      </c>
      <c r="H329" s="9" t="s">
        <v>1788</v>
      </c>
      <c r="I329" s="9">
        <v>8.0</v>
      </c>
      <c r="J329" s="9">
        <v>0.01</v>
      </c>
      <c r="K329" s="9">
        <v>1.88</v>
      </c>
    </row>
    <row r="330" ht="15.75" customHeight="1">
      <c r="A330" s="7" t="s">
        <v>1789</v>
      </c>
      <c r="B330" s="13" t="s">
        <v>616</v>
      </c>
      <c r="C330" s="14" t="s">
        <v>1203</v>
      </c>
      <c r="D330" s="14" t="s">
        <v>35</v>
      </c>
      <c r="E330" s="14" t="s">
        <v>1791</v>
      </c>
      <c r="F330" s="9" t="s">
        <v>1205</v>
      </c>
      <c r="G330" s="9" t="b">
        <v>0</v>
      </c>
      <c r="I330" s="9">
        <v>8.0</v>
      </c>
      <c r="J330" s="9">
        <v>0.01</v>
      </c>
      <c r="K330" s="9">
        <v>1.13</v>
      </c>
    </row>
    <row r="331" ht="15.75" customHeight="1">
      <c r="A331" s="7" t="s">
        <v>1792</v>
      </c>
      <c r="B331" s="13" t="s">
        <v>617</v>
      </c>
      <c r="C331" s="14" t="s">
        <v>144</v>
      </c>
      <c r="D331" s="14" t="s">
        <v>46</v>
      </c>
      <c r="E331" s="14" t="s">
        <v>1794</v>
      </c>
      <c r="F331" s="9" t="s">
        <v>147</v>
      </c>
      <c r="G331" s="9" t="b">
        <v>0</v>
      </c>
      <c r="H331" s="9" t="s">
        <v>188</v>
      </c>
      <c r="I331" s="9">
        <v>8.0</v>
      </c>
      <c r="J331" s="9">
        <v>0.01</v>
      </c>
      <c r="K331" s="9">
        <v>1.0</v>
      </c>
    </row>
    <row r="332" ht="15.75" customHeight="1">
      <c r="A332" s="7" t="s">
        <v>1796</v>
      </c>
      <c r="B332" s="13" t="s">
        <v>734</v>
      </c>
      <c r="C332" s="14" t="s">
        <v>144</v>
      </c>
      <c r="D332" s="14" t="s">
        <v>46</v>
      </c>
      <c r="E332" s="14" t="s">
        <v>1799</v>
      </c>
      <c r="F332" s="9" t="s">
        <v>147</v>
      </c>
      <c r="G332" s="9" t="b">
        <v>0</v>
      </c>
      <c r="I332" s="9">
        <v>8.0</v>
      </c>
      <c r="J332" s="9">
        <v>0.01</v>
      </c>
      <c r="K332" s="9">
        <v>0.63</v>
      </c>
    </row>
    <row r="333" ht="15.75" customHeight="1">
      <c r="A333" s="7" t="s">
        <v>1800</v>
      </c>
      <c r="B333" s="13" t="s">
        <v>667</v>
      </c>
      <c r="C333" s="14" t="s">
        <v>34</v>
      </c>
      <c r="D333" s="14" t="s">
        <v>46</v>
      </c>
      <c r="E333" s="14" t="s">
        <v>1803</v>
      </c>
      <c r="F333" s="9" t="s">
        <v>37</v>
      </c>
      <c r="G333" s="9" t="b">
        <v>0</v>
      </c>
      <c r="I333" s="9">
        <v>8.0</v>
      </c>
      <c r="J333" s="9">
        <v>0.01</v>
      </c>
      <c r="K333" s="9">
        <v>0.63</v>
      </c>
    </row>
    <row r="334" ht="15.75" customHeight="1">
      <c r="A334" s="7" t="s">
        <v>1804</v>
      </c>
      <c r="B334" s="13" t="s">
        <v>443</v>
      </c>
      <c r="C334" s="14" t="s">
        <v>169</v>
      </c>
      <c r="D334" s="14" t="s">
        <v>46</v>
      </c>
      <c r="E334" s="14" t="s">
        <v>1807</v>
      </c>
      <c r="F334" s="9" t="s">
        <v>94</v>
      </c>
      <c r="G334" s="9" t="b">
        <v>0</v>
      </c>
      <c r="H334" s="9" t="s">
        <v>446</v>
      </c>
      <c r="I334" s="9">
        <v>8.0</v>
      </c>
      <c r="J334" s="9">
        <v>0.01</v>
      </c>
      <c r="K334" s="9">
        <v>0.0</v>
      </c>
    </row>
    <row r="335" ht="15.75" customHeight="1">
      <c r="A335" s="7" t="s">
        <v>1808</v>
      </c>
      <c r="B335" s="13" t="s">
        <v>645</v>
      </c>
      <c r="C335" s="14" t="s">
        <v>169</v>
      </c>
      <c r="D335" s="14" t="s">
        <v>46</v>
      </c>
      <c r="E335" s="15"/>
      <c r="F335" s="9" t="s">
        <v>94</v>
      </c>
      <c r="G335" s="9" t="b">
        <v>0</v>
      </c>
      <c r="I335" s="9">
        <v>8.0</v>
      </c>
      <c r="J335" s="9">
        <v>0.01</v>
      </c>
      <c r="K335" s="9">
        <v>0.75</v>
      </c>
    </row>
    <row r="336" ht="15.75" customHeight="1">
      <c r="A336" s="7" t="s">
        <v>1812</v>
      </c>
      <c r="B336" s="13" t="s">
        <v>671</v>
      </c>
      <c r="C336" s="14" t="s">
        <v>309</v>
      </c>
      <c r="D336" s="14" t="s">
        <v>35</v>
      </c>
      <c r="E336" s="14" t="s">
        <v>1814</v>
      </c>
      <c r="F336" s="9" t="s">
        <v>311</v>
      </c>
      <c r="G336" s="9" t="b">
        <v>0</v>
      </c>
      <c r="H336" s="9" t="s">
        <v>672</v>
      </c>
      <c r="I336" s="9">
        <v>8.0</v>
      </c>
      <c r="J336" s="9">
        <v>0.01</v>
      </c>
      <c r="K336" s="9">
        <v>0.0</v>
      </c>
    </row>
    <row r="337" ht="15.75" customHeight="1">
      <c r="A337" s="7" t="s">
        <v>1816</v>
      </c>
      <c r="B337" s="13" t="s">
        <v>737</v>
      </c>
      <c r="C337" s="14" t="s">
        <v>34</v>
      </c>
      <c r="D337" s="14" t="s">
        <v>46</v>
      </c>
      <c r="E337" s="14" t="s">
        <v>1818</v>
      </c>
      <c r="F337" s="9" t="s">
        <v>37</v>
      </c>
      <c r="G337" s="9" t="b">
        <v>0</v>
      </c>
      <c r="H337" s="9" t="s">
        <v>740</v>
      </c>
      <c r="I337" s="9">
        <v>8.0</v>
      </c>
      <c r="J337" s="9">
        <v>0.01</v>
      </c>
      <c r="K337" s="9">
        <v>0.0</v>
      </c>
    </row>
    <row r="338" ht="15.75" customHeight="1">
      <c r="A338" s="7" t="s">
        <v>1819</v>
      </c>
      <c r="B338" s="13" t="s">
        <v>22</v>
      </c>
      <c r="C338" s="14" t="s">
        <v>61</v>
      </c>
      <c r="D338" s="14" t="s">
        <v>46</v>
      </c>
      <c r="E338" s="14" t="s">
        <v>1821</v>
      </c>
      <c r="F338" s="9" t="s">
        <v>64</v>
      </c>
      <c r="G338" s="9" t="b">
        <v>0</v>
      </c>
      <c r="H338" s="9" t="s">
        <v>1822</v>
      </c>
      <c r="I338" s="9">
        <v>8.0</v>
      </c>
      <c r="J338" s="9">
        <v>0.01</v>
      </c>
      <c r="K338" s="9">
        <v>0.0</v>
      </c>
    </row>
    <row r="339" ht="15.75" customHeight="1">
      <c r="A339" s="7" t="s">
        <v>1824</v>
      </c>
      <c r="B339" s="13" t="s">
        <v>746</v>
      </c>
      <c r="C339" s="14" t="s">
        <v>34</v>
      </c>
      <c r="D339" s="14" t="s">
        <v>46</v>
      </c>
      <c r="E339" s="14" t="s">
        <v>1826</v>
      </c>
      <c r="F339" s="9" t="s">
        <v>37</v>
      </c>
      <c r="G339" s="9" t="b">
        <v>0</v>
      </c>
      <c r="H339" s="9" t="s">
        <v>340</v>
      </c>
      <c r="I339" s="9">
        <v>8.0</v>
      </c>
      <c r="J339" s="9">
        <v>0.01</v>
      </c>
      <c r="K339" s="9">
        <v>1.0</v>
      </c>
    </row>
    <row r="340" ht="15.75" customHeight="1">
      <c r="A340" s="7" t="s">
        <v>1828</v>
      </c>
      <c r="B340" s="13" t="s">
        <v>15</v>
      </c>
      <c r="C340" s="14" t="s">
        <v>23</v>
      </c>
      <c r="D340" s="14" t="s">
        <v>46</v>
      </c>
      <c r="E340" s="14" t="s">
        <v>1830</v>
      </c>
      <c r="F340" s="9" t="s">
        <v>27</v>
      </c>
      <c r="G340" s="9" t="b">
        <v>0</v>
      </c>
      <c r="H340" s="9" t="s">
        <v>1831</v>
      </c>
      <c r="I340" s="9">
        <v>8.0</v>
      </c>
      <c r="J340" s="9">
        <v>0.01</v>
      </c>
      <c r="K340" s="9">
        <v>0.75</v>
      </c>
    </row>
    <row r="341" ht="15.75" customHeight="1">
      <c r="A341" s="7" t="s">
        <v>1832</v>
      </c>
      <c r="B341" s="13" t="s">
        <v>380</v>
      </c>
      <c r="C341" s="14" t="s">
        <v>169</v>
      </c>
      <c r="D341" s="14" t="s">
        <v>62</v>
      </c>
      <c r="E341" s="14" t="s">
        <v>1836</v>
      </c>
      <c r="F341" s="9" t="s">
        <v>94</v>
      </c>
      <c r="G341" s="9" t="b">
        <v>0</v>
      </c>
      <c r="H341" s="9" t="s">
        <v>1837</v>
      </c>
      <c r="I341" s="9">
        <v>8.0</v>
      </c>
      <c r="J341" s="9">
        <v>0.01</v>
      </c>
      <c r="K341" s="9">
        <v>0.0</v>
      </c>
    </row>
    <row r="342" ht="15.75" customHeight="1">
      <c r="A342" s="7" t="s">
        <v>1838</v>
      </c>
      <c r="B342" s="13" t="s">
        <v>326</v>
      </c>
      <c r="C342" s="14" t="s">
        <v>61</v>
      </c>
      <c r="D342" s="14" t="s">
        <v>62</v>
      </c>
      <c r="E342" s="14" t="s">
        <v>1842</v>
      </c>
      <c r="F342" s="9" t="s">
        <v>64</v>
      </c>
      <c r="G342" s="9" t="b">
        <v>0</v>
      </c>
      <c r="I342" s="9">
        <v>8.0</v>
      </c>
      <c r="J342" s="9">
        <v>0.01</v>
      </c>
      <c r="K342" s="9">
        <v>0.0</v>
      </c>
    </row>
    <row r="343" ht="15.75" customHeight="1">
      <c r="A343" s="7" t="s">
        <v>1843</v>
      </c>
      <c r="B343" s="13" t="s">
        <v>232</v>
      </c>
      <c r="C343" s="14" t="s">
        <v>309</v>
      </c>
      <c r="D343" s="14" t="s">
        <v>46</v>
      </c>
      <c r="E343" s="14" t="s">
        <v>1846</v>
      </c>
      <c r="F343" s="9" t="s">
        <v>311</v>
      </c>
      <c r="G343" s="9" t="b">
        <v>0</v>
      </c>
      <c r="I343" s="9">
        <v>8.0</v>
      </c>
      <c r="J343" s="9">
        <v>0.01</v>
      </c>
      <c r="K343" s="9">
        <v>0.0</v>
      </c>
    </row>
    <row r="344" ht="15.75" customHeight="1">
      <c r="A344" s="7" t="s">
        <v>1848</v>
      </c>
      <c r="B344" s="13" t="s">
        <v>677</v>
      </c>
      <c r="C344" s="14" t="s">
        <v>144</v>
      </c>
      <c r="D344" s="14" t="s">
        <v>46</v>
      </c>
      <c r="E344" s="14" t="s">
        <v>1852</v>
      </c>
      <c r="F344" s="9" t="s">
        <v>147</v>
      </c>
      <c r="G344" s="9" t="b">
        <v>0</v>
      </c>
      <c r="H344" s="9" t="s">
        <v>188</v>
      </c>
      <c r="I344" s="9">
        <v>8.0</v>
      </c>
      <c r="J344" s="9">
        <v>0.01</v>
      </c>
      <c r="K344" s="9">
        <v>0.0</v>
      </c>
    </row>
    <row r="345" ht="15.75" customHeight="1">
      <c r="A345" s="7" t="s">
        <v>1853</v>
      </c>
      <c r="B345" s="13" t="s">
        <v>637</v>
      </c>
      <c r="C345" s="14" t="s">
        <v>521</v>
      </c>
      <c r="D345" s="14" t="s">
        <v>46</v>
      </c>
      <c r="E345" s="14" t="s">
        <v>1857</v>
      </c>
      <c r="F345" s="9" t="s">
        <v>523</v>
      </c>
      <c r="G345" s="9" t="b">
        <v>0</v>
      </c>
      <c r="I345" s="9">
        <v>8.0</v>
      </c>
      <c r="J345" s="9">
        <v>0.01</v>
      </c>
      <c r="K345" s="9">
        <v>0.0</v>
      </c>
    </row>
    <row r="346" ht="15.75" customHeight="1">
      <c r="A346" s="7" t="s">
        <v>1858</v>
      </c>
      <c r="B346" s="13" t="s">
        <v>52</v>
      </c>
      <c r="C346" s="14" t="s">
        <v>521</v>
      </c>
      <c r="D346" s="14" t="s">
        <v>46</v>
      </c>
      <c r="E346" s="14" t="s">
        <v>1860</v>
      </c>
      <c r="F346" s="9" t="s">
        <v>523</v>
      </c>
      <c r="G346" s="9" t="b">
        <v>0</v>
      </c>
      <c r="H346" s="9" t="s">
        <v>1178</v>
      </c>
      <c r="I346" s="9">
        <v>8.0</v>
      </c>
      <c r="J346" s="9">
        <v>0.01</v>
      </c>
      <c r="K346" s="9">
        <v>1.75</v>
      </c>
    </row>
    <row r="347" ht="15.75" customHeight="1">
      <c r="A347" s="7" t="s">
        <v>1862</v>
      </c>
      <c r="B347" s="13" t="s">
        <v>166</v>
      </c>
      <c r="C347" s="14" t="s">
        <v>169</v>
      </c>
      <c r="D347" s="14" t="s">
        <v>62</v>
      </c>
      <c r="E347" s="14" t="s">
        <v>1864</v>
      </c>
      <c r="F347" s="9" t="s">
        <v>94</v>
      </c>
      <c r="G347" s="9" t="b">
        <v>0</v>
      </c>
      <c r="H347" s="9" t="s">
        <v>1865</v>
      </c>
      <c r="I347" s="9">
        <v>7.0</v>
      </c>
      <c r="J347" s="9">
        <v>0.01</v>
      </c>
      <c r="K347" s="9">
        <v>0.0</v>
      </c>
    </row>
    <row r="348" ht="15.75" customHeight="1">
      <c r="A348" s="7" t="s">
        <v>1866</v>
      </c>
      <c r="B348" s="13" t="s">
        <v>710</v>
      </c>
      <c r="C348" s="14" t="s">
        <v>144</v>
      </c>
      <c r="D348" s="14" t="s">
        <v>35</v>
      </c>
      <c r="E348" s="14" t="s">
        <v>1870</v>
      </c>
      <c r="F348" s="9" t="s">
        <v>147</v>
      </c>
      <c r="G348" s="9" t="b">
        <v>0</v>
      </c>
      <c r="H348" s="9" t="s">
        <v>711</v>
      </c>
      <c r="I348" s="9">
        <v>7.0</v>
      </c>
      <c r="J348" s="9">
        <v>0.01</v>
      </c>
      <c r="K348" s="9">
        <v>1.0</v>
      </c>
    </row>
    <row r="349" ht="15.75" customHeight="1">
      <c r="A349" s="7" t="s">
        <v>1871</v>
      </c>
      <c r="B349" s="13" t="s">
        <v>396</v>
      </c>
      <c r="C349" s="14" t="s">
        <v>169</v>
      </c>
      <c r="D349" s="14" t="s">
        <v>46</v>
      </c>
      <c r="E349" s="15"/>
      <c r="F349" s="9" t="s">
        <v>94</v>
      </c>
      <c r="H349" s="9" t="s">
        <v>172</v>
      </c>
      <c r="I349" s="9">
        <v>7.0</v>
      </c>
      <c r="J349" s="9">
        <v>0.01</v>
      </c>
      <c r="K349" s="9">
        <v>0.0</v>
      </c>
    </row>
    <row r="350" ht="15.75" customHeight="1">
      <c r="A350" s="7" t="s">
        <v>1875</v>
      </c>
      <c r="B350" s="13" t="s">
        <v>349</v>
      </c>
      <c r="C350" s="14" t="s">
        <v>34</v>
      </c>
      <c r="D350" s="14" t="s">
        <v>270</v>
      </c>
      <c r="E350" s="14" t="s">
        <v>1877</v>
      </c>
      <c r="F350" s="9" t="s">
        <v>37</v>
      </c>
      <c r="G350" s="9" t="b">
        <v>0</v>
      </c>
      <c r="H350" s="9" t="s">
        <v>1878</v>
      </c>
      <c r="I350" s="9">
        <v>7.0</v>
      </c>
      <c r="J350" s="9">
        <v>0.01</v>
      </c>
      <c r="K350" s="9">
        <v>0.0</v>
      </c>
    </row>
    <row r="351" ht="15.75" customHeight="1">
      <c r="A351" s="7" t="s">
        <v>1879</v>
      </c>
      <c r="B351" s="13" t="s">
        <v>697</v>
      </c>
      <c r="C351" s="14" t="s">
        <v>144</v>
      </c>
      <c r="D351" s="14" t="s">
        <v>46</v>
      </c>
      <c r="E351" s="14" t="s">
        <v>1881</v>
      </c>
      <c r="F351" s="9" t="s">
        <v>147</v>
      </c>
      <c r="G351" s="9" t="b">
        <v>0</v>
      </c>
      <c r="I351" s="9">
        <v>7.0</v>
      </c>
      <c r="J351" s="9">
        <v>0.01</v>
      </c>
      <c r="K351" s="9">
        <v>1.43</v>
      </c>
    </row>
    <row r="352" ht="15.75" customHeight="1">
      <c r="A352" s="7" t="s">
        <v>1882</v>
      </c>
      <c r="B352" s="13" t="s">
        <v>206</v>
      </c>
      <c r="C352" s="14" t="s">
        <v>144</v>
      </c>
      <c r="D352" s="14" t="s">
        <v>35</v>
      </c>
      <c r="E352" s="14" t="s">
        <v>1885</v>
      </c>
      <c r="F352" s="9" t="s">
        <v>147</v>
      </c>
      <c r="G352" s="9" t="b">
        <v>0</v>
      </c>
      <c r="H352" s="9" t="s">
        <v>1886</v>
      </c>
      <c r="I352" s="9">
        <v>7.0</v>
      </c>
      <c r="J352" s="9">
        <v>0.01</v>
      </c>
      <c r="K352" s="9">
        <v>0.86</v>
      </c>
    </row>
    <row r="353" ht="15.75" customHeight="1">
      <c r="A353" s="7" t="s">
        <v>1888</v>
      </c>
      <c r="B353" s="13" t="s">
        <v>394</v>
      </c>
      <c r="C353" s="14" t="s">
        <v>34</v>
      </c>
      <c r="D353" s="14" t="s">
        <v>270</v>
      </c>
      <c r="E353" s="14" t="s">
        <v>1891</v>
      </c>
      <c r="F353" s="9" t="s">
        <v>37</v>
      </c>
      <c r="G353" s="9" t="b">
        <v>0</v>
      </c>
      <c r="H353" s="9" t="s">
        <v>1892</v>
      </c>
      <c r="I353" s="9">
        <v>7.0</v>
      </c>
      <c r="J353" s="9">
        <v>0.01</v>
      </c>
      <c r="K353" s="9">
        <v>0.0</v>
      </c>
    </row>
    <row r="354" ht="15.75" customHeight="1">
      <c r="A354" s="7" t="s">
        <v>1893</v>
      </c>
      <c r="B354" s="13" t="s">
        <v>160</v>
      </c>
      <c r="C354" s="14" t="s">
        <v>34</v>
      </c>
      <c r="D354" s="14" t="s">
        <v>46</v>
      </c>
      <c r="E354" s="14" t="s">
        <v>1895</v>
      </c>
      <c r="F354" s="9" t="s">
        <v>37</v>
      </c>
      <c r="G354" s="9" t="b">
        <v>0</v>
      </c>
      <c r="H354" s="9" t="s">
        <v>1896</v>
      </c>
      <c r="I354" s="9">
        <v>7.0</v>
      </c>
      <c r="J354" s="9">
        <v>0.01</v>
      </c>
      <c r="K354" s="9">
        <v>0.14</v>
      </c>
    </row>
    <row r="355" ht="15.75" customHeight="1">
      <c r="A355" s="7" t="s">
        <v>1898</v>
      </c>
      <c r="B355" s="14" t="s">
        <v>752</v>
      </c>
      <c r="C355" s="14" t="s">
        <v>144</v>
      </c>
      <c r="D355" s="14" t="s">
        <v>46</v>
      </c>
      <c r="E355" s="14" t="s">
        <v>1900</v>
      </c>
      <c r="F355" s="9" t="s">
        <v>147</v>
      </c>
      <c r="G355" s="9" t="b">
        <v>0</v>
      </c>
      <c r="I355" s="9">
        <v>7.0</v>
      </c>
      <c r="J355" s="9">
        <v>0.01</v>
      </c>
      <c r="K355" s="9">
        <v>0.29</v>
      </c>
    </row>
    <row r="356" ht="15.75" customHeight="1">
      <c r="A356" s="7" t="s">
        <v>1901</v>
      </c>
      <c r="B356" s="14" t="s">
        <v>752</v>
      </c>
      <c r="C356" s="14" t="s">
        <v>144</v>
      </c>
      <c r="D356" s="14" t="s">
        <v>46</v>
      </c>
      <c r="E356" s="14" t="s">
        <v>1905</v>
      </c>
      <c r="F356" s="9" t="s">
        <v>147</v>
      </c>
      <c r="G356" s="9" t="b">
        <v>0</v>
      </c>
      <c r="I356" s="9">
        <v>7.0</v>
      </c>
      <c r="J356" s="9">
        <v>0.01</v>
      </c>
      <c r="K356" s="9">
        <v>0.14</v>
      </c>
    </row>
    <row r="357" ht="15.75" customHeight="1">
      <c r="A357" s="7" t="s">
        <v>1906</v>
      </c>
      <c r="B357" s="13" t="s">
        <v>51</v>
      </c>
      <c r="C357" s="14" t="s">
        <v>144</v>
      </c>
      <c r="D357" s="14" t="s">
        <v>35</v>
      </c>
      <c r="E357" s="14" t="s">
        <v>1908</v>
      </c>
      <c r="F357" s="9" t="s">
        <v>147</v>
      </c>
      <c r="G357" s="9" t="b">
        <v>0</v>
      </c>
      <c r="H357" s="9" t="s">
        <v>1909</v>
      </c>
      <c r="I357" s="9">
        <v>7.0</v>
      </c>
      <c r="J357" s="9">
        <v>0.01</v>
      </c>
      <c r="K357" s="9">
        <v>1.29</v>
      </c>
    </row>
    <row r="358" ht="15.75" customHeight="1">
      <c r="A358" s="7" t="s">
        <v>1910</v>
      </c>
      <c r="B358" s="13" t="s">
        <v>291</v>
      </c>
      <c r="C358" s="14" t="s">
        <v>144</v>
      </c>
      <c r="D358" s="14" t="s">
        <v>35</v>
      </c>
      <c r="E358" s="14" t="s">
        <v>1913</v>
      </c>
      <c r="F358" s="9" t="s">
        <v>147</v>
      </c>
      <c r="G358" s="9" t="b">
        <v>0</v>
      </c>
      <c r="H358" s="9" t="s">
        <v>1914</v>
      </c>
      <c r="I358" s="9">
        <v>7.0</v>
      </c>
      <c r="J358" s="9">
        <v>0.01</v>
      </c>
      <c r="K358" s="9">
        <v>1.29</v>
      </c>
    </row>
    <row r="359" ht="15.75" customHeight="1">
      <c r="A359" s="7" t="s">
        <v>1916</v>
      </c>
      <c r="B359" s="13" t="s">
        <v>649</v>
      </c>
      <c r="C359" s="14" t="s">
        <v>144</v>
      </c>
      <c r="D359" s="14" t="s">
        <v>46</v>
      </c>
      <c r="E359" s="14" t="s">
        <v>1918</v>
      </c>
      <c r="F359" s="9" t="s">
        <v>147</v>
      </c>
      <c r="G359" s="9" t="b">
        <v>0</v>
      </c>
      <c r="H359" s="9" t="s">
        <v>188</v>
      </c>
      <c r="I359" s="9">
        <v>7.0</v>
      </c>
      <c r="J359" s="9">
        <v>0.01</v>
      </c>
      <c r="K359" s="9">
        <v>1.43</v>
      </c>
    </row>
    <row r="360" ht="15.75" customHeight="1">
      <c r="A360" s="7" t="s">
        <v>1920</v>
      </c>
      <c r="B360" s="13" t="s">
        <v>722</v>
      </c>
      <c r="C360" s="14" t="s">
        <v>34</v>
      </c>
      <c r="D360" s="14" t="s">
        <v>46</v>
      </c>
      <c r="E360" s="14" t="s">
        <v>1925</v>
      </c>
      <c r="F360" s="9" t="s">
        <v>37</v>
      </c>
      <c r="G360" s="9" t="b">
        <v>0</v>
      </c>
      <c r="H360" s="9" t="s">
        <v>1926</v>
      </c>
      <c r="I360" s="9">
        <v>7.0</v>
      </c>
      <c r="J360" s="9">
        <v>0.01</v>
      </c>
      <c r="K360" s="9">
        <v>1.0</v>
      </c>
    </row>
    <row r="361" ht="15.75" customHeight="1">
      <c r="A361" s="7" t="s">
        <v>1927</v>
      </c>
      <c r="B361" s="13" t="s">
        <v>724</v>
      </c>
      <c r="C361" s="14" t="s">
        <v>34</v>
      </c>
      <c r="D361" s="14" t="s">
        <v>46</v>
      </c>
      <c r="E361" s="14" t="s">
        <v>1930</v>
      </c>
      <c r="F361" s="9" t="s">
        <v>37</v>
      </c>
      <c r="G361" s="9" t="b">
        <v>0</v>
      </c>
      <c r="H361" s="9" t="s">
        <v>1931</v>
      </c>
      <c r="I361" s="9">
        <v>7.0</v>
      </c>
      <c r="J361" s="9">
        <v>0.01</v>
      </c>
      <c r="K361" s="9">
        <v>0.0</v>
      </c>
    </row>
    <row r="362" ht="15.75" customHeight="1">
      <c r="A362" s="7" t="s">
        <v>1932</v>
      </c>
      <c r="B362" s="13" t="s">
        <v>54</v>
      </c>
      <c r="C362" s="14" t="s">
        <v>23</v>
      </c>
      <c r="D362" s="14" t="s">
        <v>25</v>
      </c>
      <c r="E362" s="14" t="s">
        <v>1934</v>
      </c>
      <c r="F362" s="9" t="s">
        <v>27</v>
      </c>
      <c r="G362" s="9" t="b">
        <v>0</v>
      </c>
      <c r="H362" s="9" t="s">
        <v>1935</v>
      </c>
      <c r="I362" s="9">
        <v>7.0</v>
      </c>
      <c r="J362" s="9">
        <v>0.01</v>
      </c>
      <c r="K362" s="9">
        <v>1.43</v>
      </c>
    </row>
    <row r="363" ht="15.75" customHeight="1">
      <c r="A363" s="7" t="s">
        <v>1936</v>
      </c>
      <c r="B363" s="13" t="s">
        <v>277</v>
      </c>
      <c r="C363" s="14" t="s">
        <v>169</v>
      </c>
      <c r="D363" s="14" t="s">
        <v>169</v>
      </c>
      <c r="E363" s="15"/>
      <c r="F363" s="9" t="s">
        <v>94</v>
      </c>
      <c r="H363" s="9" t="s">
        <v>172</v>
      </c>
      <c r="I363" s="9">
        <v>7.0</v>
      </c>
      <c r="J363" s="9">
        <v>0.01</v>
      </c>
      <c r="K363" s="9">
        <v>0.0</v>
      </c>
    </row>
    <row r="364" ht="15.75" customHeight="1">
      <c r="A364" s="7" t="s">
        <v>1938</v>
      </c>
      <c r="B364" s="13" t="s">
        <v>211</v>
      </c>
      <c r="C364" s="14" t="s">
        <v>34</v>
      </c>
      <c r="D364" s="14" t="s">
        <v>46</v>
      </c>
      <c r="E364" s="14" t="s">
        <v>1940</v>
      </c>
      <c r="F364" s="9" t="s">
        <v>37</v>
      </c>
      <c r="G364" s="9" t="b">
        <v>0</v>
      </c>
      <c r="H364" s="9" t="s">
        <v>201</v>
      </c>
      <c r="I364" s="9">
        <v>7.0</v>
      </c>
      <c r="J364" s="9">
        <v>0.01</v>
      </c>
      <c r="K364" s="9">
        <v>1.0</v>
      </c>
    </row>
    <row r="365" ht="15.75" customHeight="1">
      <c r="A365" s="7" t="s">
        <v>1941</v>
      </c>
      <c r="B365" s="13" t="s">
        <v>664</v>
      </c>
      <c r="C365" s="14" t="s">
        <v>144</v>
      </c>
      <c r="D365" s="14" t="s">
        <v>46</v>
      </c>
      <c r="E365" s="14" t="s">
        <v>1945</v>
      </c>
      <c r="F365" s="9" t="s">
        <v>147</v>
      </c>
      <c r="G365" s="9" t="b">
        <v>0</v>
      </c>
      <c r="H365" s="9" t="s">
        <v>188</v>
      </c>
      <c r="I365" s="9">
        <v>7.0</v>
      </c>
      <c r="J365" s="9">
        <v>0.01</v>
      </c>
      <c r="K365" s="9">
        <v>0.29</v>
      </c>
    </row>
    <row r="366" ht="15.75" customHeight="1">
      <c r="A366" s="7" t="s">
        <v>1946</v>
      </c>
      <c r="B366" s="13" t="s">
        <v>731</v>
      </c>
      <c r="C366" s="14" t="s">
        <v>144</v>
      </c>
      <c r="D366" s="14" t="s">
        <v>46</v>
      </c>
      <c r="E366" s="14" t="s">
        <v>1950</v>
      </c>
      <c r="F366" s="9" t="s">
        <v>147</v>
      </c>
      <c r="G366" s="9" t="b">
        <v>0</v>
      </c>
      <c r="H366" s="9" t="s">
        <v>1951</v>
      </c>
      <c r="I366" s="9">
        <v>7.0</v>
      </c>
      <c r="J366" s="9">
        <v>0.01</v>
      </c>
      <c r="K366" s="9">
        <v>1.14</v>
      </c>
    </row>
    <row r="367" ht="15.75" customHeight="1">
      <c r="A367" s="7" t="s">
        <v>1952</v>
      </c>
      <c r="B367" s="13" t="s">
        <v>289</v>
      </c>
      <c r="C367" s="14" t="s">
        <v>144</v>
      </c>
      <c r="D367" s="14" t="s">
        <v>46</v>
      </c>
      <c r="E367" s="14" t="s">
        <v>1954</v>
      </c>
      <c r="F367" s="9" t="s">
        <v>147</v>
      </c>
      <c r="G367" s="9" t="b">
        <v>0</v>
      </c>
      <c r="I367" s="9">
        <v>7.0</v>
      </c>
      <c r="J367" s="9">
        <v>0.01</v>
      </c>
      <c r="K367" s="9">
        <v>0.14</v>
      </c>
    </row>
    <row r="368" ht="15.75" customHeight="1">
      <c r="A368" s="7" t="s">
        <v>1955</v>
      </c>
      <c r="B368" s="13" t="s">
        <v>88</v>
      </c>
      <c r="C368" s="14" t="s">
        <v>235</v>
      </c>
      <c r="D368" s="14" t="s">
        <v>25</v>
      </c>
      <c r="E368" s="14" t="s">
        <v>1957</v>
      </c>
      <c r="F368" s="9" t="s">
        <v>237</v>
      </c>
      <c r="G368" s="9" t="b">
        <v>0</v>
      </c>
      <c r="H368" s="9" t="s">
        <v>1958</v>
      </c>
      <c r="I368" s="9">
        <v>7.0</v>
      </c>
      <c r="J368" s="9">
        <v>0.01</v>
      </c>
      <c r="K368" s="9">
        <v>2.0</v>
      </c>
    </row>
    <row r="369" ht="15.75" customHeight="1">
      <c r="A369" s="7" t="s">
        <v>1959</v>
      </c>
      <c r="B369" s="13" t="s">
        <v>805</v>
      </c>
      <c r="C369" s="14" t="s">
        <v>144</v>
      </c>
      <c r="D369" s="14" t="s">
        <v>46</v>
      </c>
      <c r="E369" s="14" t="s">
        <v>1962</v>
      </c>
      <c r="F369" s="9" t="s">
        <v>147</v>
      </c>
      <c r="G369" s="9" t="b">
        <v>0</v>
      </c>
      <c r="H369" s="9" t="s">
        <v>720</v>
      </c>
      <c r="I369" s="9">
        <v>7.0</v>
      </c>
      <c r="J369" s="9">
        <v>0.01</v>
      </c>
      <c r="K369" s="9">
        <v>0.14</v>
      </c>
    </row>
    <row r="370" ht="15.75" customHeight="1">
      <c r="A370" s="7" t="s">
        <v>1964</v>
      </c>
      <c r="B370" s="13" t="s">
        <v>742</v>
      </c>
      <c r="C370" s="14" t="s">
        <v>521</v>
      </c>
      <c r="D370" s="14" t="s">
        <v>46</v>
      </c>
      <c r="E370" s="15"/>
      <c r="F370" s="9" t="s">
        <v>523</v>
      </c>
      <c r="H370" s="9" t="s">
        <v>172</v>
      </c>
      <c r="I370" s="9">
        <v>7.0</v>
      </c>
      <c r="J370" s="9">
        <v>0.01</v>
      </c>
      <c r="K370" s="9">
        <v>0.29</v>
      </c>
    </row>
    <row r="371" ht="15.75" customHeight="1">
      <c r="A371" s="7" t="s">
        <v>1968</v>
      </c>
      <c r="B371" s="13" t="s">
        <v>744</v>
      </c>
      <c r="C371" s="14" t="s">
        <v>521</v>
      </c>
      <c r="D371" s="14" t="s">
        <v>46</v>
      </c>
      <c r="E371" s="14" t="s">
        <v>1971</v>
      </c>
      <c r="F371" s="9" t="s">
        <v>523</v>
      </c>
      <c r="G371" s="9" t="b">
        <v>0</v>
      </c>
      <c r="H371" s="9" t="s">
        <v>188</v>
      </c>
      <c r="I371" s="9">
        <v>7.0</v>
      </c>
      <c r="J371" s="9">
        <v>0.01</v>
      </c>
      <c r="K371" s="9">
        <v>0.86</v>
      </c>
    </row>
    <row r="372" ht="15.75" customHeight="1">
      <c r="A372" s="7" t="s">
        <v>1973</v>
      </c>
      <c r="B372" s="13" t="s">
        <v>749</v>
      </c>
      <c r="C372" s="14" t="s">
        <v>34</v>
      </c>
      <c r="D372" s="14" t="s">
        <v>46</v>
      </c>
      <c r="E372" s="14" t="s">
        <v>1977</v>
      </c>
      <c r="F372" s="9" t="s">
        <v>37</v>
      </c>
      <c r="G372" s="9" t="b">
        <v>0</v>
      </c>
      <c r="H372" s="9" t="s">
        <v>1978</v>
      </c>
      <c r="I372" s="9">
        <v>7.0</v>
      </c>
      <c r="J372" s="9">
        <v>0.01</v>
      </c>
      <c r="K372" s="9">
        <v>1.57</v>
      </c>
    </row>
    <row r="373" ht="15.75" customHeight="1">
      <c r="A373" s="7" t="s">
        <v>1979</v>
      </c>
      <c r="B373" s="13" t="s">
        <v>15</v>
      </c>
      <c r="C373" s="14" t="s">
        <v>23</v>
      </c>
      <c r="D373" s="14" t="s">
        <v>46</v>
      </c>
      <c r="E373" s="14" t="s">
        <v>1981</v>
      </c>
      <c r="F373" s="9" t="s">
        <v>27</v>
      </c>
      <c r="G373" s="9" t="b">
        <v>0</v>
      </c>
      <c r="H373" s="9" t="s">
        <v>1983</v>
      </c>
      <c r="I373" s="9">
        <v>7.0</v>
      </c>
      <c r="J373" s="9">
        <v>0.01</v>
      </c>
      <c r="K373" s="9">
        <v>0.0</v>
      </c>
    </row>
    <row r="374" ht="15.75" customHeight="1">
      <c r="A374" s="7" t="s">
        <v>1984</v>
      </c>
      <c r="B374" s="13" t="s">
        <v>15</v>
      </c>
      <c r="C374" s="14" t="s">
        <v>23</v>
      </c>
      <c r="D374" s="14" t="s">
        <v>46</v>
      </c>
      <c r="E374" s="14" t="s">
        <v>1987</v>
      </c>
      <c r="F374" s="9" t="s">
        <v>27</v>
      </c>
      <c r="G374" s="9" t="b">
        <v>0</v>
      </c>
      <c r="H374" s="9" t="s">
        <v>1988</v>
      </c>
      <c r="I374" s="9">
        <v>7.0</v>
      </c>
      <c r="J374" s="9">
        <v>0.01</v>
      </c>
      <c r="K374" s="9">
        <v>0.0</v>
      </c>
    </row>
    <row r="375" ht="15.75" customHeight="1">
      <c r="A375" s="7" t="s">
        <v>1989</v>
      </c>
      <c r="B375" s="13" t="s">
        <v>116</v>
      </c>
      <c r="C375" s="14" t="s">
        <v>1203</v>
      </c>
      <c r="D375" s="14" t="s">
        <v>46</v>
      </c>
      <c r="E375" s="14" t="s">
        <v>1992</v>
      </c>
      <c r="F375" s="9" t="s">
        <v>1205</v>
      </c>
      <c r="G375" s="9" t="b">
        <v>0</v>
      </c>
      <c r="H375" s="9" t="s">
        <v>1993</v>
      </c>
      <c r="I375" s="9">
        <v>7.0</v>
      </c>
      <c r="J375" s="9">
        <v>0.01</v>
      </c>
      <c r="K375" s="9">
        <v>1.71</v>
      </c>
    </row>
    <row r="376" ht="15.75" customHeight="1">
      <c r="A376" s="7" t="s">
        <v>1994</v>
      </c>
      <c r="B376" s="13" t="s">
        <v>116</v>
      </c>
      <c r="C376" s="14" t="s">
        <v>61</v>
      </c>
      <c r="D376" s="14" t="s">
        <v>46</v>
      </c>
      <c r="E376" s="14" t="s">
        <v>1996</v>
      </c>
      <c r="F376" s="9" t="s">
        <v>64</v>
      </c>
      <c r="G376" s="9" t="b">
        <v>0</v>
      </c>
      <c r="H376" s="9" t="s">
        <v>482</v>
      </c>
      <c r="I376" s="9">
        <v>7.0</v>
      </c>
      <c r="J376" s="9">
        <v>0.01</v>
      </c>
      <c r="K376" s="9">
        <v>1.14</v>
      </c>
    </row>
    <row r="377" ht="15.75" customHeight="1">
      <c r="A377" s="7" t="s">
        <v>1997</v>
      </c>
      <c r="B377" s="13" t="s">
        <v>277</v>
      </c>
      <c r="C377" s="14" t="s">
        <v>169</v>
      </c>
      <c r="D377" s="14" t="s">
        <v>169</v>
      </c>
      <c r="E377" s="14" t="s">
        <v>1999</v>
      </c>
      <c r="F377" s="9" t="s">
        <v>94</v>
      </c>
      <c r="G377" s="9" t="b">
        <v>0</v>
      </c>
      <c r="I377" s="9">
        <v>7.0</v>
      </c>
      <c r="J377" s="9">
        <v>0.01</v>
      </c>
      <c r="K377" s="9">
        <v>0.0</v>
      </c>
    </row>
    <row r="378" ht="15.75" customHeight="1">
      <c r="A378" s="7" t="s">
        <v>2000</v>
      </c>
      <c r="B378" s="13" t="s">
        <v>516</v>
      </c>
      <c r="C378" s="14" t="s">
        <v>521</v>
      </c>
      <c r="D378" s="14" t="s">
        <v>46</v>
      </c>
      <c r="E378" s="14" t="s">
        <v>2005</v>
      </c>
      <c r="F378" s="9" t="s">
        <v>523</v>
      </c>
      <c r="G378" s="9" t="b">
        <v>0</v>
      </c>
      <c r="H378" s="9" t="s">
        <v>340</v>
      </c>
      <c r="I378" s="9">
        <v>7.0</v>
      </c>
      <c r="J378" s="9">
        <v>0.01</v>
      </c>
      <c r="K378" s="9">
        <v>0.0</v>
      </c>
    </row>
    <row r="379" ht="15.75" customHeight="1">
      <c r="A379" s="7" t="s">
        <v>2006</v>
      </c>
      <c r="B379" s="13" t="s">
        <v>52</v>
      </c>
      <c r="C379" s="14" t="s">
        <v>1203</v>
      </c>
      <c r="D379" s="14" t="s">
        <v>46</v>
      </c>
      <c r="E379" s="14" t="s">
        <v>2008</v>
      </c>
      <c r="F379" s="9" t="s">
        <v>1205</v>
      </c>
      <c r="G379" s="9" t="b">
        <v>0</v>
      </c>
      <c r="H379" s="9" t="s">
        <v>2009</v>
      </c>
      <c r="I379" s="9">
        <v>7.0</v>
      </c>
      <c r="J379" s="9">
        <v>0.01</v>
      </c>
      <c r="K379" s="9">
        <v>0.0</v>
      </c>
    </row>
    <row r="380" ht="15.75" customHeight="1">
      <c r="A380" s="7" t="s">
        <v>2010</v>
      </c>
      <c r="B380" s="13" t="s">
        <v>43</v>
      </c>
      <c r="C380" s="14" t="s">
        <v>34</v>
      </c>
      <c r="D380" s="14" t="s">
        <v>46</v>
      </c>
      <c r="E380" s="14" t="s">
        <v>2012</v>
      </c>
      <c r="F380" s="9" t="s">
        <v>37</v>
      </c>
      <c r="G380" s="9" t="b">
        <v>0</v>
      </c>
      <c r="H380" s="9" t="s">
        <v>2013</v>
      </c>
      <c r="I380" s="9">
        <v>7.0</v>
      </c>
      <c r="J380" s="9">
        <v>0.01</v>
      </c>
      <c r="K380" s="9">
        <v>0.86</v>
      </c>
    </row>
    <row r="381" ht="15.75" customHeight="1">
      <c r="A381" s="7" t="s">
        <v>2014</v>
      </c>
      <c r="B381" s="13" t="s">
        <v>98</v>
      </c>
      <c r="C381" s="14" t="s">
        <v>34</v>
      </c>
      <c r="D381" s="14" t="s">
        <v>35</v>
      </c>
      <c r="E381" s="14" t="s">
        <v>2017</v>
      </c>
      <c r="F381" s="9" t="s">
        <v>37</v>
      </c>
      <c r="G381" s="9" t="b">
        <v>0</v>
      </c>
      <c r="H381" s="9" t="s">
        <v>2018</v>
      </c>
      <c r="I381" s="9">
        <v>7.0</v>
      </c>
      <c r="J381" s="9">
        <v>0.01</v>
      </c>
      <c r="K381" s="9">
        <v>0.0</v>
      </c>
    </row>
    <row r="382" ht="15.75" customHeight="1">
      <c r="A382" s="7" t="s">
        <v>2019</v>
      </c>
      <c r="B382" s="13" t="s">
        <v>714</v>
      </c>
      <c r="C382" s="14" t="s">
        <v>23</v>
      </c>
      <c r="D382" s="14" t="s">
        <v>46</v>
      </c>
      <c r="E382" s="14" t="s">
        <v>2022</v>
      </c>
      <c r="F382" s="9" t="s">
        <v>27</v>
      </c>
      <c r="G382" s="9" t="b">
        <v>0</v>
      </c>
      <c r="I382" s="9">
        <v>6.0</v>
      </c>
      <c r="J382" s="9">
        <v>0.01</v>
      </c>
      <c r="K382" s="9">
        <v>1.0</v>
      </c>
    </row>
    <row r="383" ht="15.75" customHeight="1">
      <c r="A383" s="7" t="s">
        <v>2023</v>
      </c>
      <c r="B383" s="13" t="s">
        <v>767</v>
      </c>
      <c r="C383" s="14" t="s">
        <v>521</v>
      </c>
      <c r="D383" s="14" t="s">
        <v>25</v>
      </c>
      <c r="E383" s="14" t="s">
        <v>2026</v>
      </c>
      <c r="F383" s="9" t="s">
        <v>523</v>
      </c>
      <c r="G383" s="9" t="b">
        <v>0</v>
      </c>
      <c r="H383" s="9" t="s">
        <v>455</v>
      </c>
      <c r="I383" s="9">
        <v>6.0</v>
      </c>
      <c r="J383" s="9">
        <v>0.01</v>
      </c>
      <c r="K383" s="9">
        <v>0.5</v>
      </c>
    </row>
    <row r="384" ht="15.75" customHeight="1">
      <c r="A384" s="7" t="s">
        <v>2028</v>
      </c>
      <c r="B384" s="13" t="s">
        <v>771</v>
      </c>
      <c r="C384" s="14" t="s">
        <v>61</v>
      </c>
      <c r="D384" s="14" t="s">
        <v>46</v>
      </c>
      <c r="E384" s="14" t="s">
        <v>2030</v>
      </c>
      <c r="F384" s="9" t="s">
        <v>64</v>
      </c>
      <c r="G384" s="9" t="b">
        <v>0</v>
      </c>
      <c r="I384" s="9">
        <v>6.0</v>
      </c>
      <c r="J384" s="9">
        <v>0.01</v>
      </c>
      <c r="K384" s="9">
        <v>0.33</v>
      </c>
    </row>
    <row r="385" ht="15.75" customHeight="1">
      <c r="A385" s="7" t="s">
        <v>2031</v>
      </c>
      <c r="B385" s="13" t="s">
        <v>333</v>
      </c>
      <c r="C385" s="14" t="s">
        <v>521</v>
      </c>
      <c r="D385" s="14" t="s">
        <v>46</v>
      </c>
      <c r="E385" s="14" t="s">
        <v>2033</v>
      </c>
      <c r="F385" s="9" t="s">
        <v>523</v>
      </c>
      <c r="G385" s="9" t="b">
        <v>0</v>
      </c>
      <c r="I385" s="9">
        <v>6.0</v>
      </c>
      <c r="J385" s="9">
        <v>0.01</v>
      </c>
      <c r="K385" s="9">
        <v>0.0</v>
      </c>
    </row>
    <row r="386" ht="15.75" customHeight="1">
      <c r="A386" s="7" t="s">
        <v>2034</v>
      </c>
      <c r="B386" s="13" t="s">
        <v>923</v>
      </c>
      <c r="C386" s="14" t="s">
        <v>34</v>
      </c>
      <c r="D386" s="14" t="s">
        <v>270</v>
      </c>
      <c r="E386" s="14" t="s">
        <v>2038</v>
      </c>
      <c r="F386" s="9" t="s">
        <v>37</v>
      </c>
      <c r="G386" s="9" t="b">
        <v>0</v>
      </c>
      <c r="H386" s="9" t="s">
        <v>2039</v>
      </c>
      <c r="I386" s="9">
        <v>6.0</v>
      </c>
      <c r="J386" s="9">
        <v>0.01</v>
      </c>
      <c r="K386" s="9">
        <v>0.67</v>
      </c>
    </row>
    <row r="387" ht="15.75" customHeight="1">
      <c r="A387" s="7" t="s">
        <v>2040</v>
      </c>
      <c r="B387" s="13" t="s">
        <v>758</v>
      </c>
      <c r="C387" s="14" t="s">
        <v>144</v>
      </c>
      <c r="D387" s="14" t="s">
        <v>46</v>
      </c>
      <c r="E387" s="14" t="s">
        <v>2042</v>
      </c>
      <c r="F387" s="9" t="s">
        <v>147</v>
      </c>
      <c r="G387" s="9" t="b">
        <v>0</v>
      </c>
      <c r="H387" s="9" t="s">
        <v>188</v>
      </c>
      <c r="I387" s="9">
        <v>6.0</v>
      </c>
      <c r="J387" s="9">
        <v>0.01</v>
      </c>
      <c r="K387" s="9">
        <v>1.83</v>
      </c>
    </row>
    <row r="388" ht="15.75" customHeight="1">
      <c r="A388" s="7" t="s">
        <v>2043</v>
      </c>
      <c r="B388" s="13" t="s">
        <v>828</v>
      </c>
      <c r="C388" s="14" t="s">
        <v>521</v>
      </c>
      <c r="D388" s="14" t="s">
        <v>46</v>
      </c>
      <c r="E388" s="14" t="s">
        <v>2046</v>
      </c>
      <c r="F388" s="9" t="s">
        <v>523</v>
      </c>
      <c r="G388" s="9" t="b">
        <v>0</v>
      </c>
      <c r="H388" s="9" t="s">
        <v>720</v>
      </c>
      <c r="I388" s="9">
        <v>6.0</v>
      </c>
      <c r="J388" s="9">
        <v>0.01</v>
      </c>
      <c r="K388" s="9">
        <v>0.0</v>
      </c>
    </row>
    <row r="389" ht="15.75" customHeight="1">
      <c r="A389" s="7" t="s">
        <v>2047</v>
      </c>
      <c r="B389" s="13" t="s">
        <v>831</v>
      </c>
      <c r="C389" s="14" t="s">
        <v>144</v>
      </c>
      <c r="D389" s="14" t="s">
        <v>46</v>
      </c>
      <c r="E389" s="14" t="s">
        <v>2050</v>
      </c>
      <c r="F389" s="9" t="s">
        <v>147</v>
      </c>
      <c r="G389" s="9" t="b">
        <v>0</v>
      </c>
      <c r="H389" s="9" t="s">
        <v>188</v>
      </c>
      <c r="I389" s="9">
        <v>6.0</v>
      </c>
      <c r="J389" s="9">
        <v>0.01</v>
      </c>
      <c r="K389" s="9">
        <v>0.67</v>
      </c>
    </row>
    <row r="390" ht="15.75" customHeight="1">
      <c r="A390" s="7" t="s">
        <v>2051</v>
      </c>
      <c r="B390" s="13" t="s">
        <v>832</v>
      </c>
      <c r="C390" s="14" t="s">
        <v>34</v>
      </c>
      <c r="D390" s="14" t="s">
        <v>46</v>
      </c>
      <c r="E390" s="14" t="s">
        <v>2054</v>
      </c>
      <c r="F390" s="9" t="s">
        <v>37</v>
      </c>
      <c r="G390" s="9" t="b">
        <v>0</v>
      </c>
      <c r="H390" s="9" t="s">
        <v>2056</v>
      </c>
      <c r="I390" s="9">
        <v>6.0</v>
      </c>
      <c r="J390" s="9">
        <v>0.01</v>
      </c>
      <c r="K390" s="9">
        <v>0.67</v>
      </c>
    </row>
    <row r="391" ht="15.75" customHeight="1">
      <c r="A391" s="7" t="s">
        <v>2058</v>
      </c>
      <c r="B391" s="13" t="s">
        <v>128</v>
      </c>
      <c r="C391" s="14" t="s">
        <v>34</v>
      </c>
      <c r="D391" s="14" t="s">
        <v>169</v>
      </c>
      <c r="E391" s="14" t="s">
        <v>2060</v>
      </c>
      <c r="F391" s="9" t="s">
        <v>37</v>
      </c>
      <c r="G391" s="9" t="b">
        <v>0</v>
      </c>
      <c r="H391" s="9" t="s">
        <v>2061</v>
      </c>
      <c r="I391" s="9">
        <v>6.0</v>
      </c>
      <c r="J391" s="9">
        <v>0.01</v>
      </c>
      <c r="K391" s="9">
        <v>2.17</v>
      </c>
    </row>
    <row r="392" ht="15.75" customHeight="1">
      <c r="A392" s="7" t="s">
        <v>2063</v>
      </c>
      <c r="B392" s="13" t="s">
        <v>291</v>
      </c>
      <c r="C392" s="14" t="s">
        <v>144</v>
      </c>
      <c r="D392" s="14" t="s">
        <v>35</v>
      </c>
      <c r="E392" s="14" t="s">
        <v>2065</v>
      </c>
      <c r="F392" s="9" t="s">
        <v>147</v>
      </c>
      <c r="G392" s="9" t="b">
        <v>0</v>
      </c>
      <c r="H392" s="9" t="s">
        <v>295</v>
      </c>
      <c r="I392" s="9">
        <v>6.0</v>
      </c>
      <c r="J392" s="9">
        <v>0.01</v>
      </c>
      <c r="K392" s="9">
        <v>1.0</v>
      </c>
    </row>
    <row r="393" ht="15.75" customHeight="1">
      <c r="A393" s="7" t="s">
        <v>2066</v>
      </c>
      <c r="B393" s="13" t="s">
        <v>777</v>
      </c>
      <c r="C393" s="14" t="s">
        <v>144</v>
      </c>
      <c r="D393" s="14" t="s">
        <v>46</v>
      </c>
      <c r="E393" s="14" t="s">
        <v>2071</v>
      </c>
      <c r="F393" s="9" t="s">
        <v>147</v>
      </c>
      <c r="G393" s="9" t="b">
        <v>0</v>
      </c>
      <c r="I393" s="9">
        <v>6.0</v>
      </c>
      <c r="J393" s="9">
        <v>0.01</v>
      </c>
      <c r="K393" s="9">
        <v>0.5</v>
      </c>
    </row>
    <row r="394" ht="15.75" customHeight="1">
      <c r="A394" s="7" t="s">
        <v>2074</v>
      </c>
      <c r="B394" s="13" t="s">
        <v>182</v>
      </c>
      <c r="C394" s="14" t="s">
        <v>169</v>
      </c>
      <c r="D394" s="14" t="s">
        <v>46</v>
      </c>
      <c r="E394" s="14" t="s">
        <v>2077</v>
      </c>
      <c r="F394" s="9" t="s">
        <v>94</v>
      </c>
      <c r="G394" s="9" t="b">
        <v>0</v>
      </c>
      <c r="H394" s="9" t="s">
        <v>2078</v>
      </c>
      <c r="I394" s="9">
        <v>6.0</v>
      </c>
      <c r="J394" s="9">
        <v>0.01</v>
      </c>
      <c r="K394" s="9">
        <v>0.0</v>
      </c>
    </row>
    <row r="395" ht="15.75" customHeight="1">
      <c r="A395" s="7" t="s">
        <v>2080</v>
      </c>
      <c r="B395" s="13" t="s">
        <v>369</v>
      </c>
      <c r="C395" s="14" t="s">
        <v>144</v>
      </c>
      <c r="D395" s="14" t="s">
        <v>46</v>
      </c>
      <c r="E395" s="14" t="s">
        <v>2081</v>
      </c>
      <c r="F395" s="9" t="s">
        <v>147</v>
      </c>
      <c r="G395" s="9" t="b">
        <v>0</v>
      </c>
      <c r="H395" s="9" t="s">
        <v>188</v>
      </c>
      <c r="I395" s="9">
        <v>6.0</v>
      </c>
      <c r="J395" s="9">
        <v>0.01</v>
      </c>
      <c r="K395" s="9">
        <v>0.0</v>
      </c>
    </row>
    <row r="396" ht="15.75" customHeight="1">
      <c r="A396" s="7" t="s">
        <v>2083</v>
      </c>
      <c r="B396" s="13" t="s">
        <v>780</v>
      </c>
      <c r="C396" s="14" t="s">
        <v>23</v>
      </c>
      <c r="D396" s="14" t="s">
        <v>62</v>
      </c>
      <c r="E396" s="14" t="s">
        <v>2086</v>
      </c>
      <c r="F396" s="9" t="s">
        <v>27</v>
      </c>
      <c r="G396" s="9" t="b">
        <v>0</v>
      </c>
      <c r="I396" s="9">
        <v>6.0</v>
      </c>
      <c r="J396" s="9">
        <v>0.01</v>
      </c>
      <c r="K396" s="9">
        <v>0.0</v>
      </c>
    </row>
    <row r="397" ht="15.75" customHeight="1">
      <c r="A397" s="7" t="s">
        <v>2087</v>
      </c>
      <c r="B397" s="13" t="s">
        <v>456</v>
      </c>
      <c r="C397" s="14" t="s">
        <v>144</v>
      </c>
      <c r="D397" s="14" t="s">
        <v>46</v>
      </c>
      <c r="E397" s="14" t="s">
        <v>2090</v>
      </c>
      <c r="F397" s="9" t="s">
        <v>147</v>
      </c>
      <c r="G397" s="9" t="b">
        <v>0</v>
      </c>
      <c r="H397" s="9" t="s">
        <v>188</v>
      </c>
      <c r="I397" s="9">
        <v>6.0</v>
      </c>
      <c r="J397" s="9">
        <v>0.01</v>
      </c>
      <c r="K397" s="9">
        <v>0.33</v>
      </c>
    </row>
    <row r="398" ht="15.75" customHeight="1">
      <c r="A398" s="7" t="s">
        <v>2091</v>
      </c>
      <c r="B398" s="13" t="s">
        <v>783</v>
      </c>
      <c r="C398" s="14" t="s">
        <v>34</v>
      </c>
      <c r="D398" s="14" t="s">
        <v>46</v>
      </c>
      <c r="E398" s="14" t="s">
        <v>2093</v>
      </c>
      <c r="F398" s="9" t="s">
        <v>37</v>
      </c>
      <c r="G398" s="9" t="b">
        <v>0</v>
      </c>
      <c r="H398" s="9" t="s">
        <v>2095</v>
      </c>
      <c r="I398" s="9">
        <v>6.0</v>
      </c>
      <c r="J398" s="9">
        <v>0.01</v>
      </c>
      <c r="K398" s="9">
        <v>0.0</v>
      </c>
    </row>
    <row r="399" ht="15.75" customHeight="1">
      <c r="A399" s="7" t="s">
        <v>2096</v>
      </c>
      <c r="B399" s="13" t="s">
        <v>550</v>
      </c>
      <c r="C399" s="14" t="s">
        <v>144</v>
      </c>
      <c r="D399" s="14" t="s">
        <v>46</v>
      </c>
      <c r="E399" s="14" t="s">
        <v>2098</v>
      </c>
      <c r="F399" s="9" t="s">
        <v>147</v>
      </c>
      <c r="G399" s="9" t="b">
        <v>0</v>
      </c>
      <c r="I399" s="9">
        <v>6.0</v>
      </c>
      <c r="J399" s="9">
        <v>0.01</v>
      </c>
      <c r="K399" s="9">
        <v>1.0</v>
      </c>
    </row>
    <row r="400" ht="15.75" customHeight="1">
      <c r="A400" s="7" t="s">
        <v>2100</v>
      </c>
      <c r="B400" s="13" t="s">
        <v>786</v>
      </c>
      <c r="C400" s="14" t="s">
        <v>521</v>
      </c>
      <c r="D400" s="14" t="s">
        <v>25</v>
      </c>
      <c r="E400" s="15"/>
      <c r="F400" s="9" t="s">
        <v>523</v>
      </c>
      <c r="H400" s="9" t="s">
        <v>172</v>
      </c>
      <c r="I400" s="9">
        <v>6.0</v>
      </c>
      <c r="J400" s="9">
        <v>0.01</v>
      </c>
      <c r="K400" s="9">
        <v>1.17</v>
      </c>
    </row>
    <row r="401" ht="15.75" customHeight="1">
      <c r="A401" s="7" t="s">
        <v>2102</v>
      </c>
      <c r="B401" s="13" t="s">
        <v>789</v>
      </c>
      <c r="C401" s="14" t="s">
        <v>144</v>
      </c>
      <c r="D401" s="14" t="s">
        <v>46</v>
      </c>
      <c r="E401" s="14" t="s">
        <v>2105</v>
      </c>
      <c r="F401" s="9" t="s">
        <v>147</v>
      </c>
      <c r="G401" s="9" t="b">
        <v>0</v>
      </c>
      <c r="H401" s="9" t="s">
        <v>188</v>
      </c>
      <c r="I401" s="9">
        <v>6.0</v>
      </c>
      <c r="J401" s="9">
        <v>0.01</v>
      </c>
      <c r="K401" s="9">
        <v>0.0</v>
      </c>
    </row>
    <row r="402" ht="15.75" customHeight="1">
      <c r="A402" s="7" t="s">
        <v>2107</v>
      </c>
      <c r="B402" s="13" t="s">
        <v>796</v>
      </c>
      <c r="C402" s="14" t="s">
        <v>34</v>
      </c>
      <c r="D402" s="14" t="s">
        <v>46</v>
      </c>
      <c r="E402" s="14" t="s">
        <v>2111</v>
      </c>
      <c r="F402" s="9" t="s">
        <v>37</v>
      </c>
      <c r="G402" s="9" t="b">
        <v>0</v>
      </c>
      <c r="H402" s="9" t="s">
        <v>799</v>
      </c>
      <c r="I402" s="9">
        <v>6.0</v>
      </c>
      <c r="J402" s="9">
        <v>0.01</v>
      </c>
      <c r="K402" s="9">
        <v>0.67</v>
      </c>
    </row>
    <row r="403" ht="15.75" customHeight="1">
      <c r="A403" s="7" t="s">
        <v>2112</v>
      </c>
      <c r="B403" s="13" t="s">
        <v>461</v>
      </c>
      <c r="C403" s="14" t="s">
        <v>144</v>
      </c>
      <c r="D403" s="14" t="s">
        <v>46</v>
      </c>
      <c r="E403" s="14" t="s">
        <v>2114</v>
      </c>
      <c r="F403" s="9" t="s">
        <v>147</v>
      </c>
      <c r="G403" s="9" t="b">
        <v>0</v>
      </c>
      <c r="I403" s="9">
        <v>6.0</v>
      </c>
      <c r="J403" s="9">
        <v>0.01</v>
      </c>
      <c r="K403" s="9">
        <v>0.0</v>
      </c>
    </row>
    <row r="404" ht="15.75" customHeight="1">
      <c r="A404" s="7" t="s">
        <v>2115</v>
      </c>
      <c r="B404" s="13" t="s">
        <v>162</v>
      </c>
      <c r="C404" s="14" t="s">
        <v>169</v>
      </c>
      <c r="D404" s="14" t="s">
        <v>35</v>
      </c>
      <c r="E404" s="14" t="s">
        <v>2117</v>
      </c>
      <c r="F404" s="9" t="s">
        <v>94</v>
      </c>
      <c r="G404" s="9" t="b">
        <v>0</v>
      </c>
      <c r="H404" s="9" t="s">
        <v>2118</v>
      </c>
      <c r="I404" s="9">
        <v>6.0</v>
      </c>
      <c r="J404" s="9">
        <v>0.01</v>
      </c>
      <c r="K404" s="9">
        <v>1.0</v>
      </c>
    </row>
    <row r="405" ht="15.75" customHeight="1">
      <c r="A405" s="7" t="s">
        <v>2119</v>
      </c>
      <c r="B405" s="13" t="s">
        <v>852</v>
      </c>
      <c r="C405" s="14" t="s">
        <v>521</v>
      </c>
      <c r="D405" s="14" t="s">
        <v>46</v>
      </c>
      <c r="E405" s="14" t="s">
        <v>2122</v>
      </c>
      <c r="F405" s="9" t="s">
        <v>523</v>
      </c>
      <c r="G405" s="9" t="b">
        <v>0</v>
      </c>
      <c r="H405" s="9" t="s">
        <v>853</v>
      </c>
      <c r="I405" s="9">
        <v>6.0</v>
      </c>
      <c r="J405" s="9">
        <v>0.01</v>
      </c>
      <c r="K405" s="9">
        <v>1.0</v>
      </c>
    </row>
    <row r="406" ht="15.75" customHeight="1">
      <c r="A406" s="7" t="s">
        <v>2123</v>
      </c>
      <c r="B406" s="13" t="s">
        <v>142</v>
      </c>
      <c r="C406" s="14" t="s">
        <v>235</v>
      </c>
      <c r="D406" s="14" t="s">
        <v>25</v>
      </c>
      <c r="E406" s="14" t="s">
        <v>2126</v>
      </c>
      <c r="F406" s="9" t="s">
        <v>237</v>
      </c>
      <c r="G406" s="9" t="b">
        <v>0</v>
      </c>
      <c r="H406" s="9" t="s">
        <v>2127</v>
      </c>
      <c r="I406" s="9">
        <v>6.0</v>
      </c>
      <c r="J406" s="9">
        <v>0.01</v>
      </c>
      <c r="K406" s="9">
        <v>0.83</v>
      </c>
    </row>
    <row r="407" ht="15.75" customHeight="1">
      <c r="A407" s="7" t="s">
        <v>2128</v>
      </c>
      <c r="B407" s="13" t="s">
        <v>800</v>
      </c>
      <c r="C407" s="14" t="s">
        <v>34</v>
      </c>
      <c r="D407" s="14" t="s">
        <v>46</v>
      </c>
      <c r="E407" s="14" t="s">
        <v>2132</v>
      </c>
      <c r="F407" s="9" t="s">
        <v>37</v>
      </c>
      <c r="G407" s="9" t="b">
        <v>0</v>
      </c>
      <c r="H407" s="9" t="s">
        <v>2133</v>
      </c>
      <c r="I407" s="9">
        <v>6.0</v>
      </c>
      <c r="J407" s="9">
        <v>0.01</v>
      </c>
      <c r="K407" s="9">
        <v>0.0</v>
      </c>
    </row>
    <row r="408" ht="15.75" customHeight="1">
      <c r="A408" s="7" t="s">
        <v>2135</v>
      </c>
      <c r="B408" s="13" t="s">
        <v>252</v>
      </c>
      <c r="C408" s="14" t="s">
        <v>169</v>
      </c>
      <c r="D408" s="14" t="s">
        <v>169</v>
      </c>
      <c r="E408" s="14" t="s">
        <v>2136</v>
      </c>
      <c r="F408" s="9" t="s">
        <v>94</v>
      </c>
      <c r="G408" s="9" t="b">
        <v>0</v>
      </c>
      <c r="H408" s="9" t="s">
        <v>2137</v>
      </c>
      <c r="I408" s="9">
        <v>6.0</v>
      </c>
      <c r="J408" s="9">
        <v>0.01</v>
      </c>
      <c r="K408" s="9">
        <v>0.83</v>
      </c>
    </row>
    <row r="409" ht="15.75" customHeight="1">
      <c r="A409" s="7" t="s">
        <v>2138</v>
      </c>
      <c r="B409" s="13" t="s">
        <v>564</v>
      </c>
      <c r="C409" s="14" t="s">
        <v>34</v>
      </c>
      <c r="D409" s="14" t="s">
        <v>46</v>
      </c>
      <c r="E409" s="14" t="s">
        <v>2141</v>
      </c>
      <c r="F409" s="9" t="s">
        <v>37</v>
      </c>
      <c r="G409" s="9" t="b">
        <v>0</v>
      </c>
      <c r="H409" s="9" t="s">
        <v>2142</v>
      </c>
      <c r="I409" s="9">
        <v>6.0</v>
      </c>
      <c r="J409" s="9">
        <v>0.01</v>
      </c>
      <c r="K409" s="9">
        <v>0.67</v>
      </c>
    </row>
    <row r="410" ht="15.75" customHeight="1">
      <c r="A410" s="7" t="s">
        <v>2143</v>
      </c>
      <c r="B410" s="13" t="s">
        <v>869</v>
      </c>
      <c r="C410" s="14" t="s">
        <v>34</v>
      </c>
      <c r="D410" s="14" t="s">
        <v>46</v>
      </c>
      <c r="E410" s="14" t="s">
        <v>2146</v>
      </c>
      <c r="F410" s="9" t="s">
        <v>37</v>
      </c>
      <c r="G410" s="9" t="b">
        <v>0</v>
      </c>
      <c r="H410" s="9" t="s">
        <v>870</v>
      </c>
      <c r="I410" s="9">
        <v>6.0</v>
      </c>
      <c r="J410" s="9">
        <v>0.01</v>
      </c>
      <c r="K410" s="9">
        <v>1.33</v>
      </c>
    </row>
    <row r="411" ht="15.75" customHeight="1">
      <c r="A411" s="7" t="s">
        <v>2147</v>
      </c>
      <c r="B411" s="13" t="s">
        <v>871</v>
      </c>
      <c r="C411" s="14" t="s">
        <v>309</v>
      </c>
      <c r="D411" s="14" t="s">
        <v>46</v>
      </c>
      <c r="E411" s="14" t="s">
        <v>2150</v>
      </c>
      <c r="F411" s="9" t="s">
        <v>311</v>
      </c>
      <c r="G411" s="9" t="b">
        <v>0</v>
      </c>
      <c r="H411" s="9" t="s">
        <v>340</v>
      </c>
      <c r="I411" s="9">
        <v>6.0</v>
      </c>
      <c r="J411" s="9">
        <v>0.01</v>
      </c>
      <c r="K411" s="9">
        <v>0.0</v>
      </c>
    </row>
    <row r="412" ht="15.75" customHeight="1">
      <c r="A412" s="7" t="s">
        <v>2152</v>
      </c>
      <c r="B412" s="13" t="s">
        <v>15</v>
      </c>
      <c r="C412" s="14" t="s">
        <v>23</v>
      </c>
      <c r="D412" s="14" t="s">
        <v>46</v>
      </c>
      <c r="E412" s="14" t="s">
        <v>2154</v>
      </c>
      <c r="F412" s="9" t="s">
        <v>27</v>
      </c>
      <c r="G412" s="9" t="b">
        <v>0</v>
      </c>
      <c r="H412" s="9" t="s">
        <v>2155</v>
      </c>
      <c r="I412" s="9">
        <v>6.0</v>
      </c>
      <c r="J412" s="9">
        <v>0.01</v>
      </c>
      <c r="K412" s="9">
        <v>0.17</v>
      </c>
    </row>
    <row r="413" ht="15.75" customHeight="1">
      <c r="A413" s="7" t="s">
        <v>2156</v>
      </c>
      <c r="B413" s="13" t="s">
        <v>651</v>
      </c>
      <c r="C413" s="14" t="s">
        <v>34</v>
      </c>
      <c r="D413" s="14" t="s">
        <v>35</v>
      </c>
      <c r="E413" s="14" t="s">
        <v>2160</v>
      </c>
      <c r="F413" s="9" t="s">
        <v>37</v>
      </c>
      <c r="G413" s="9" t="b">
        <v>0</v>
      </c>
      <c r="H413" s="9" t="s">
        <v>1352</v>
      </c>
      <c r="I413" s="9">
        <v>6.0</v>
      </c>
      <c r="J413" s="9">
        <v>0.01</v>
      </c>
      <c r="K413" s="9">
        <v>0.67</v>
      </c>
    </row>
    <row r="414" ht="15.75" customHeight="1">
      <c r="A414" s="7" t="s">
        <v>2161</v>
      </c>
      <c r="B414" s="13" t="s">
        <v>806</v>
      </c>
      <c r="C414" s="14" t="s">
        <v>34</v>
      </c>
      <c r="D414" s="14" t="s">
        <v>46</v>
      </c>
      <c r="E414" s="14" t="s">
        <v>2164</v>
      </c>
      <c r="F414" s="9" t="s">
        <v>37</v>
      </c>
      <c r="G414" s="9" t="b">
        <v>0</v>
      </c>
      <c r="H414" s="9" t="s">
        <v>807</v>
      </c>
      <c r="I414" s="9">
        <v>6.0</v>
      </c>
      <c r="J414" s="9">
        <v>0.01</v>
      </c>
      <c r="K414" s="9">
        <v>0.83</v>
      </c>
    </row>
    <row r="415" ht="15.75" customHeight="1">
      <c r="A415" s="7" t="s">
        <v>2165</v>
      </c>
      <c r="B415" s="13" t="s">
        <v>900</v>
      </c>
      <c r="C415" s="14" t="s">
        <v>144</v>
      </c>
      <c r="D415" s="14" t="s">
        <v>46</v>
      </c>
      <c r="E415" s="14" t="s">
        <v>2168</v>
      </c>
      <c r="F415" s="9" t="s">
        <v>147</v>
      </c>
      <c r="G415" s="9" t="b">
        <v>0</v>
      </c>
      <c r="H415" s="9" t="s">
        <v>188</v>
      </c>
      <c r="I415" s="9">
        <v>5.0</v>
      </c>
      <c r="J415" s="9">
        <v>0.0</v>
      </c>
      <c r="K415" s="9">
        <v>0.0</v>
      </c>
    </row>
    <row r="416" ht="15.75" customHeight="1">
      <c r="A416" s="7" t="s">
        <v>2169</v>
      </c>
      <c r="B416" s="13" t="s">
        <v>717</v>
      </c>
      <c r="C416" s="14" t="s">
        <v>144</v>
      </c>
      <c r="D416" s="14" t="s">
        <v>46</v>
      </c>
      <c r="E416" s="14" t="s">
        <v>2172</v>
      </c>
      <c r="F416" s="9" t="s">
        <v>147</v>
      </c>
      <c r="G416" s="9" t="b">
        <v>0</v>
      </c>
      <c r="I416" s="9">
        <v>5.0</v>
      </c>
      <c r="J416" s="9">
        <v>0.0</v>
      </c>
      <c r="K416" s="9">
        <v>0.2</v>
      </c>
    </row>
    <row r="417" ht="15.75" customHeight="1">
      <c r="A417" s="7" t="s">
        <v>2174</v>
      </c>
      <c r="B417" s="13" t="s">
        <v>823</v>
      </c>
      <c r="C417" s="14" t="s">
        <v>521</v>
      </c>
      <c r="D417" s="14" t="s">
        <v>25</v>
      </c>
      <c r="E417" s="15"/>
      <c r="F417" s="9" t="s">
        <v>523</v>
      </c>
      <c r="H417" s="9" t="s">
        <v>172</v>
      </c>
      <c r="I417" s="9">
        <v>5.0</v>
      </c>
      <c r="J417" s="9">
        <v>0.0</v>
      </c>
      <c r="K417" s="9">
        <v>1.0</v>
      </c>
    </row>
    <row r="418" ht="15.75" customHeight="1">
      <c r="A418" s="7" t="s">
        <v>2176</v>
      </c>
      <c r="B418" s="13" t="s">
        <v>29</v>
      </c>
      <c r="C418" s="14" t="s">
        <v>34</v>
      </c>
      <c r="D418" s="14" t="s">
        <v>46</v>
      </c>
      <c r="E418" s="14" t="s">
        <v>2180</v>
      </c>
      <c r="F418" s="9" t="s">
        <v>37</v>
      </c>
      <c r="G418" s="9" t="b">
        <v>0</v>
      </c>
      <c r="H418" s="9" t="s">
        <v>2181</v>
      </c>
      <c r="I418" s="9">
        <v>5.0</v>
      </c>
      <c r="J418" s="9">
        <v>0.0</v>
      </c>
      <c r="K418" s="9">
        <v>0.0</v>
      </c>
    </row>
    <row r="419" ht="15.75" customHeight="1">
      <c r="A419" s="7" t="s">
        <v>2182</v>
      </c>
      <c r="B419" s="13" t="s">
        <v>206</v>
      </c>
      <c r="C419" s="14" t="s">
        <v>144</v>
      </c>
      <c r="D419" s="14" t="s">
        <v>35</v>
      </c>
      <c r="E419" s="14" t="s">
        <v>2184</v>
      </c>
      <c r="F419" s="9" t="s">
        <v>147</v>
      </c>
      <c r="G419" s="9" t="b">
        <v>0</v>
      </c>
      <c r="H419" s="9" t="s">
        <v>803</v>
      </c>
      <c r="I419" s="9">
        <v>5.0</v>
      </c>
      <c r="J419" s="9">
        <v>0.0</v>
      </c>
      <c r="K419" s="9">
        <v>0.4</v>
      </c>
    </row>
    <row r="420" ht="15.75" customHeight="1">
      <c r="A420" s="7" t="s">
        <v>2185</v>
      </c>
      <c r="B420" s="13" t="s">
        <v>168</v>
      </c>
      <c r="C420" s="14" t="s">
        <v>169</v>
      </c>
      <c r="D420" s="14" t="s">
        <v>46</v>
      </c>
      <c r="E420" s="14" t="s">
        <v>2186</v>
      </c>
      <c r="F420" s="9" t="s">
        <v>94</v>
      </c>
      <c r="G420" s="9" t="b">
        <v>0</v>
      </c>
      <c r="H420" s="9" t="s">
        <v>170</v>
      </c>
      <c r="I420" s="9">
        <v>5.0</v>
      </c>
      <c r="J420" s="9">
        <v>0.0</v>
      </c>
      <c r="K420" s="9">
        <v>1.2</v>
      </c>
    </row>
    <row r="421" ht="15.75" customHeight="1">
      <c r="A421" s="7" t="s">
        <v>2188</v>
      </c>
      <c r="B421" s="13" t="s">
        <v>826</v>
      </c>
      <c r="C421" s="14" t="s">
        <v>309</v>
      </c>
      <c r="D421" s="14" t="s">
        <v>46</v>
      </c>
      <c r="E421" s="14" t="s">
        <v>2192</v>
      </c>
      <c r="F421" s="9" t="s">
        <v>311</v>
      </c>
      <c r="G421" s="9" t="b">
        <v>0</v>
      </c>
      <c r="I421" s="9">
        <v>5.0</v>
      </c>
      <c r="J421" s="9">
        <v>0.0</v>
      </c>
      <c r="K421" s="9">
        <v>0.4</v>
      </c>
    </row>
    <row r="422" ht="15.75" customHeight="1">
      <c r="A422" s="7" t="s">
        <v>2193</v>
      </c>
      <c r="B422" s="13" t="s">
        <v>915</v>
      </c>
      <c r="C422" s="14" t="s">
        <v>521</v>
      </c>
      <c r="D422" s="14" t="s">
        <v>46</v>
      </c>
      <c r="E422" s="15"/>
      <c r="F422" s="9" t="s">
        <v>523</v>
      </c>
      <c r="H422" s="9" t="s">
        <v>172</v>
      </c>
      <c r="I422" s="9">
        <v>5.0</v>
      </c>
      <c r="J422" s="9">
        <v>0.0</v>
      </c>
      <c r="K422" s="9">
        <v>0.0</v>
      </c>
    </row>
    <row r="423" ht="15.75" customHeight="1">
      <c r="A423" s="7" t="s">
        <v>2196</v>
      </c>
      <c r="B423" s="13" t="s">
        <v>19</v>
      </c>
      <c r="C423" s="14" t="s">
        <v>23</v>
      </c>
      <c r="D423" s="14" t="s">
        <v>46</v>
      </c>
      <c r="E423" s="14" t="s">
        <v>2199</v>
      </c>
      <c r="F423" s="9" t="s">
        <v>27</v>
      </c>
      <c r="G423" s="9" t="b">
        <v>0</v>
      </c>
      <c r="H423" s="9" t="s">
        <v>2200</v>
      </c>
      <c r="I423" s="9">
        <v>5.0</v>
      </c>
      <c r="J423" s="9">
        <v>0.0</v>
      </c>
      <c r="K423" s="9">
        <v>1.8</v>
      </c>
    </row>
    <row r="424" ht="15.75" customHeight="1">
      <c r="A424" s="7" t="s">
        <v>2201</v>
      </c>
      <c r="B424" s="13" t="s">
        <v>160</v>
      </c>
      <c r="C424" s="14" t="s">
        <v>34</v>
      </c>
      <c r="D424" s="14" t="s">
        <v>46</v>
      </c>
      <c r="E424" s="14" t="s">
        <v>2205</v>
      </c>
      <c r="F424" s="9" t="s">
        <v>37</v>
      </c>
      <c r="G424" s="9" t="b">
        <v>0</v>
      </c>
      <c r="H424" s="9" t="s">
        <v>969</v>
      </c>
      <c r="I424" s="9">
        <v>5.0</v>
      </c>
      <c r="J424" s="9">
        <v>0.0</v>
      </c>
      <c r="K424" s="9">
        <v>0.0</v>
      </c>
    </row>
    <row r="425" ht="15.75" customHeight="1">
      <c r="A425" s="7" t="s">
        <v>2206</v>
      </c>
      <c r="B425" s="13" t="s">
        <v>760</v>
      </c>
      <c r="C425" s="14" t="s">
        <v>144</v>
      </c>
      <c r="D425" s="14" t="s">
        <v>46</v>
      </c>
      <c r="E425" s="14" t="s">
        <v>2208</v>
      </c>
      <c r="F425" s="9" t="s">
        <v>147</v>
      </c>
      <c r="G425" s="9" t="b">
        <v>0</v>
      </c>
      <c r="I425" s="9">
        <v>5.0</v>
      </c>
      <c r="J425" s="9">
        <v>0.0</v>
      </c>
      <c r="K425" s="9">
        <v>1.6</v>
      </c>
    </row>
    <row r="426" ht="15.75" customHeight="1">
      <c r="A426" s="7" t="s">
        <v>2210</v>
      </c>
      <c r="B426" s="13" t="s">
        <v>835</v>
      </c>
      <c r="C426" s="14" t="s">
        <v>34</v>
      </c>
      <c r="D426" s="14" t="s">
        <v>270</v>
      </c>
      <c r="E426" s="14" t="s">
        <v>2212</v>
      </c>
      <c r="F426" s="9" t="s">
        <v>37</v>
      </c>
      <c r="G426" s="9" t="b">
        <v>0</v>
      </c>
      <c r="H426" s="9" t="s">
        <v>2213</v>
      </c>
      <c r="I426" s="9">
        <v>5.0</v>
      </c>
      <c r="J426" s="9">
        <v>0.0</v>
      </c>
      <c r="K426" s="9">
        <v>0.0</v>
      </c>
    </row>
    <row r="427" ht="15.75" customHeight="1">
      <c r="A427" s="7" t="s">
        <v>2214</v>
      </c>
      <c r="B427" s="13" t="s">
        <v>182</v>
      </c>
      <c r="C427" s="14" t="s">
        <v>23</v>
      </c>
      <c r="D427" s="14" t="s">
        <v>46</v>
      </c>
      <c r="E427" s="14" t="s">
        <v>2216</v>
      </c>
      <c r="F427" s="9" t="s">
        <v>27</v>
      </c>
      <c r="G427" s="9" t="b">
        <v>0</v>
      </c>
      <c r="H427" s="9" t="s">
        <v>2217</v>
      </c>
      <c r="I427" s="9">
        <v>5.0</v>
      </c>
      <c r="J427" s="9">
        <v>0.0</v>
      </c>
      <c r="K427" s="9">
        <v>0.0</v>
      </c>
    </row>
    <row r="428" ht="15.75" customHeight="1">
      <c r="A428" s="7" t="s">
        <v>2218</v>
      </c>
      <c r="B428" s="13" t="s">
        <v>937</v>
      </c>
      <c r="C428" s="14" t="s">
        <v>521</v>
      </c>
      <c r="D428" s="14" t="s">
        <v>46</v>
      </c>
      <c r="E428" s="14" t="s">
        <v>2221</v>
      </c>
      <c r="F428" s="9" t="s">
        <v>523</v>
      </c>
      <c r="G428" s="9" t="b">
        <v>0</v>
      </c>
      <c r="H428" s="9" t="s">
        <v>188</v>
      </c>
      <c r="I428" s="9">
        <v>5.0</v>
      </c>
      <c r="J428" s="9">
        <v>0.0</v>
      </c>
      <c r="K428" s="9">
        <v>0.0</v>
      </c>
    </row>
    <row r="429" ht="15.75" customHeight="1">
      <c r="A429" s="7" t="s">
        <v>2223</v>
      </c>
      <c r="B429" s="13" t="s">
        <v>726</v>
      </c>
      <c r="C429" s="14" t="s">
        <v>23</v>
      </c>
      <c r="D429" s="14" t="s">
        <v>46</v>
      </c>
      <c r="E429" s="14" t="s">
        <v>2226</v>
      </c>
      <c r="F429" s="9" t="s">
        <v>27</v>
      </c>
      <c r="G429" s="9" t="b">
        <v>0</v>
      </c>
      <c r="H429" s="9" t="s">
        <v>2227</v>
      </c>
      <c r="I429" s="9">
        <v>5.0</v>
      </c>
      <c r="J429" s="9">
        <v>0.0</v>
      </c>
      <c r="K429" s="9">
        <v>1.0</v>
      </c>
    </row>
    <row r="430" ht="15.75" customHeight="1">
      <c r="A430" s="7" t="s">
        <v>2228</v>
      </c>
      <c r="B430" s="13" t="s">
        <v>753</v>
      </c>
      <c r="C430" s="14" t="s">
        <v>144</v>
      </c>
      <c r="D430" s="14" t="s">
        <v>46</v>
      </c>
      <c r="E430" s="14" t="s">
        <v>2233</v>
      </c>
      <c r="F430" s="9" t="s">
        <v>147</v>
      </c>
      <c r="G430" s="9" t="b">
        <v>0</v>
      </c>
      <c r="I430" s="9">
        <v>5.0</v>
      </c>
      <c r="J430" s="9">
        <v>0.0</v>
      </c>
      <c r="K430" s="9">
        <v>1.4</v>
      </c>
    </row>
    <row r="431" ht="15.75" customHeight="1">
      <c r="A431" s="7" t="s">
        <v>2234</v>
      </c>
      <c r="B431" s="13" t="s">
        <v>54</v>
      </c>
      <c r="C431" s="14" t="s">
        <v>169</v>
      </c>
      <c r="D431" s="14" t="s">
        <v>25</v>
      </c>
      <c r="E431" s="14" t="s">
        <v>517</v>
      </c>
      <c r="F431" s="9" t="s">
        <v>94</v>
      </c>
      <c r="G431" s="9" t="b">
        <v>0</v>
      </c>
      <c r="H431" s="9" t="s">
        <v>2235</v>
      </c>
      <c r="I431" s="9">
        <v>5.0</v>
      </c>
      <c r="J431" s="9">
        <v>0.0</v>
      </c>
      <c r="K431" s="9">
        <v>0.0</v>
      </c>
    </row>
    <row r="432" ht="15.75" customHeight="1">
      <c r="A432" s="7" t="s">
        <v>2236</v>
      </c>
      <c r="B432" s="13" t="s">
        <v>943</v>
      </c>
      <c r="C432" s="14" t="s">
        <v>23</v>
      </c>
      <c r="D432" s="14" t="s">
        <v>62</v>
      </c>
      <c r="E432" s="14" t="s">
        <v>2238</v>
      </c>
      <c r="F432" s="9" t="s">
        <v>27</v>
      </c>
      <c r="G432" s="9" t="b">
        <v>0</v>
      </c>
      <c r="H432" s="9" t="s">
        <v>2239</v>
      </c>
      <c r="I432" s="9">
        <v>5.0</v>
      </c>
      <c r="J432" s="9">
        <v>0.0</v>
      </c>
      <c r="K432" s="9">
        <v>0.0</v>
      </c>
    </row>
    <row r="433" ht="15.75" customHeight="1">
      <c r="A433" s="7" t="s">
        <v>2241</v>
      </c>
      <c r="B433" s="13" t="s">
        <v>211</v>
      </c>
      <c r="C433" s="14" t="s">
        <v>34</v>
      </c>
      <c r="D433" s="14" t="s">
        <v>46</v>
      </c>
      <c r="E433" s="14" t="s">
        <v>2242</v>
      </c>
      <c r="F433" s="9" t="s">
        <v>37</v>
      </c>
      <c r="G433" s="9" t="b">
        <v>0</v>
      </c>
      <c r="H433" s="9" t="s">
        <v>2243</v>
      </c>
      <c r="I433" s="9">
        <v>5.0</v>
      </c>
      <c r="J433" s="9">
        <v>0.0</v>
      </c>
      <c r="K433" s="9">
        <v>0.0</v>
      </c>
    </row>
    <row r="434" ht="15.75" customHeight="1">
      <c r="A434" s="7" t="s">
        <v>2244</v>
      </c>
      <c r="B434" s="13" t="s">
        <v>643</v>
      </c>
      <c r="C434" s="14" t="s">
        <v>521</v>
      </c>
      <c r="D434" s="14" t="s">
        <v>46</v>
      </c>
      <c r="E434" s="14" t="s">
        <v>2246</v>
      </c>
      <c r="F434" s="9" t="s">
        <v>523</v>
      </c>
      <c r="G434" s="9" t="b">
        <v>0</v>
      </c>
      <c r="I434" s="9">
        <v>5.0</v>
      </c>
      <c r="J434" s="9">
        <v>0.0</v>
      </c>
      <c r="K434" s="9">
        <v>0.8</v>
      </c>
    </row>
    <row r="435" ht="15.75" customHeight="1">
      <c r="A435" s="7" t="s">
        <v>2247</v>
      </c>
      <c r="B435" s="13" t="s">
        <v>643</v>
      </c>
      <c r="C435" s="14" t="s">
        <v>144</v>
      </c>
      <c r="D435" s="14" t="s">
        <v>46</v>
      </c>
      <c r="E435" s="14" t="s">
        <v>2249</v>
      </c>
      <c r="F435" s="9" t="s">
        <v>147</v>
      </c>
      <c r="G435" s="9" t="b">
        <v>0</v>
      </c>
      <c r="I435" s="9">
        <v>5.0</v>
      </c>
      <c r="J435" s="9">
        <v>0.0</v>
      </c>
      <c r="K435" s="9">
        <v>0.0</v>
      </c>
    </row>
    <row r="436" ht="15.75" customHeight="1">
      <c r="A436" s="7" t="s">
        <v>2250</v>
      </c>
      <c r="B436" s="13" t="s">
        <v>730</v>
      </c>
      <c r="C436" s="14" t="s">
        <v>144</v>
      </c>
      <c r="D436" s="14" t="s">
        <v>46</v>
      </c>
      <c r="E436" s="14" t="s">
        <v>2252</v>
      </c>
      <c r="F436" s="9" t="s">
        <v>147</v>
      </c>
      <c r="G436" s="9" t="b">
        <v>0</v>
      </c>
      <c r="H436" s="9" t="s">
        <v>188</v>
      </c>
      <c r="I436" s="9">
        <v>5.0</v>
      </c>
      <c r="J436" s="9">
        <v>0.0</v>
      </c>
      <c r="K436" s="9">
        <v>1.4</v>
      </c>
    </row>
    <row r="437" ht="15.75" customHeight="1">
      <c r="A437" s="7" t="s">
        <v>2253</v>
      </c>
      <c r="B437" s="13" t="s">
        <v>793</v>
      </c>
      <c r="C437" s="14" t="s">
        <v>34</v>
      </c>
      <c r="D437" s="14" t="s">
        <v>46</v>
      </c>
      <c r="E437" s="14" t="s">
        <v>2257</v>
      </c>
      <c r="F437" s="9" t="s">
        <v>37</v>
      </c>
      <c r="G437" s="9" t="b">
        <v>0</v>
      </c>
      <c r="H437" s="9" t="s">
        <v>2259</v>
      </c>
      <c r="I437" s="9">
        <v>5.0</v>
      </c>
      <c r="J437" s="9">
        <v>0.0</v>
      </c>
      <c r="K437" s="9">
        <v>0.6</v>
      </c>
    </row>
    <row r="438" ht="15.75" customHeight="1">
      <c r="A438" s="7" t="s">
        <v>2260</v>
      </c>
      <c r="B438" s="13" t="s">
        <v>848</v>
      </c>
      <c r="C438" s="14" t="s">
        <v>34</v>
      </c>
      <c r="D438" s="14" t="s">
        <v>46</v>
      </c>
      <c r="E438" s="14" t="s">
        <v>2262</v>
      </c>
      <c r="F438" s="9" t="s">
        <v>37</v>
      </c>
      <c r="G438" s="9" t="b">
        <v>0</v>
      </c>
      <c r="H438" s="9" t="s">
        <v>799</v>
      </c>
      <c r="I438" s="9">
        <v>5.0</v>
      </c>
      <c r="J438" s="9">
        <v>0.0</v>
      </c>
      <c r="K438" s="9">
        <v>1.4</v>
      </c>
    </row>
    <row r="439" ht="15.75" customHeight="1">
      <c r="A439" s="7" t="s">
        <v>2264</v>
      </c>
      <c r="B439" s="13" t="s">
        <v>956</v>
      </c>
      <c r="C439" s="14" t="s">
        <v>521</v>
      </c>
      <c r="D439" s="14" t="s">
        <v>46</v>
      </c>
      <c r="E439" s="14" t="s">
        <v>2265</v>
      </c>
      <c r="F439" s="9" t="s">
        <v>523</v>
      </c>
      <c r="G439" s="9" t="b">
        <v>0</v>
      </c>
      <c r="H439" s="9" t="s">
        <v>552</v>
      </c>
      <c r="I439" s="9">
        <v>5.0</v>
      </c>
      <c r="J439" s="9">
        <v>0.0</v>
      </c>
      <c r="K439" s="9">
        <v>0.0</v>
      </c>
    </row>
    <row r="440" ht="15.75" customHeight="1">
      <c r="A440" s="7" t="s">
        <v>2266</v>
      </c>
      <c r="B440" s="13" t="s">
        <v>277</v>
      </c>
      <c r="C440" s="14" t="s">
        <v>169</v>
      </c>
      <c r="D440" s="14" t="s">
        <v>169</v>
      </c>
      <c r="E440" s="15"/>
      <c r="F440" s="9" t="s">
        <v>94</v>
      </c>
      <c r="H440" s="9" t="s">
        <v>172</v>
      </c>
      <c r="I440" s="9">
        <v>5.0</v>
      </c>
      <c r="J440" s="9">
        <v>0.0</v>
      </c>
      <c r="K440" s="9">
        <v>0.2</v>
      </c>
    </row>
    <row r="441" ht="15.75" customHeight="1">
      <c r="A441" s="7" t="s">
        <v>2268</v>
      </c>
      <c r="B441" s="13" t="s">
        <v>277</v>
      </c>
      <c r="C441" s="14" t="s">
        <v>23</v>
      </c>
      <c r="D441" s="14" t="s">
        <v>169</v>
      </c>
      <c r="E441" s="14" t="s">
        <v>2270</v>
      </c>
      <c r="F441" s="9" t="s">
        <v>27</v>
      </c>
      <c r="G441" s="9" t="b">
        <v>0</v>
      </c>
      <c r="I441" s="9">
        <v>5.0</v>
      </c>
      <c r="J441" s="9">
        <v>0.0</v>
      </c>
      <c r="K441" s="9">
        <v>0.6</v>
      </c>
    </row>
    <row r="442" ht="15.75" customHeight="1">
      <c r="A442" s="7" t="s">
        <v>2272</v>
      </c>
      <c r="B442" s="13" t="s">
        <v>277</v>
      </c>
      <c r="C442" s="14" t="s">
        <v>144</v>
      </c>
      <c r="D442" s="14" t="s">
        <v>169</v>
      </c>
      <c r="E442" s="14" t="s">
        <v>2274</v>
      </c>
      <c r="F442" s="9" t="s">
        <v>147</v>
      </c>
      <c r="G442" s="9" t="b">
        <v>0</v>
      </c>
      <c r="I442" s="9">
        <v>5.0</v>
      </c>
      <c r="J442" s="9">
        <v>0.0</v>
      </c>
      <c r="K442" s="9">
        <v>0.0</v>
      </c>
    </row>
    <row r="443" ht="15.75" customHeight="1">
      <c r="A443" s="7" t="s">
        <v>2276</v>
      </c>
      <c r="B443" s="13" t="s">
        <v>139</v>
      </c>
      <c r="C443" s="14" t="s">
        <v>521</v>
      </c>
      <c r="D443" s="14" t="s">
        <v>35</v>
      </c>
      <c r="E443" s="14" t="s">
        <v>2278</v>
      </c>
      <c r="F443" s="9" t="s">
        <v>523</v>
      </c>
      <c r="G443" s="9" t="b">
        <v>0</v>
      </c>
      <c r="H443" s="9" t="s">
        <v>720</v>
      </c>
      <c r="I443" s="9">
        <v>5.0</v>
      </c>
      <c r="J443" s="9">
        <v>0.0</v>
      </c>
      <c r="K443" s="9">
        <v>2.2</v>
      </c>
    </row>
    <row r="444" ht="15.75" customHeight="1">
      <c r="A444" s="7" t="s">
        <v>2279</v>
      </c>
      <c r="B444" s="13" t="s">
        <v>855</v>
      </c>
      <c r="C444" s="14" t="s">
        <v>34</v>
      </c>
      <c r="D444" s="14" t="s">
        <v>25</v>
      </c>
      <c r="E444" s="14" t="s">
        <v>2281</v>
      </c>
      <c r="F444" s="9" t="s">
        <v>37</v>
      </c>
      <c r="G444" s="9" t="b">
        <v>0</v>
      </c>
      <c r="H444" s="9" t="s">
        <v>2282</v>
      </c>
      <c r="I444" s="9">
        <v>5.0</v>
      </c>
      <c r="J444" s="9">
        <v>0.0</v>
      </c>
      <c r="K444" s="9">
        <v>0.2</v>
      </c>
    </row>
    <row r="445" ht="15.75" customHeight="1">
      <c r="A445" s="7" t="s">
        <v>2284</v>
      </c>
      <c r="B445" s="13" t="s">
        <v>815</v>
      </c>
      <c r="C445" s="14" t="s">
        <v>61</v>
      </c>
      <c r="D445" s="14" t="s">
        <v>35</v>
      </c>
      <c r="E445" s="14" t="s">
        <v>2286</v>
      </c>
      <c r="F445" s="9" t="s">
        <v>64</v>
      </c>
      <c r="G445" s="9" t="b">
        <v>0</v>
      </c>
      <c r="H445" s="9" t="s">
        <v>2287</v>
      </c>
      <c r="I445" s="9">
        <v>5.0</v>
      </c>
      <c r="J445" s="9">
        <v>0.0</v>
      </c>
      <c r="K445" s="9">
        <v>1.4</v>
      </c>
    </row>
    <row r="446" ht="15.75" customHeight="1">
      <c r="A446" s="7" t="s">
        <v>2288</v>
      </c>
      <c r="B446" s="13" t="s">
        <v>862</v>
      </c>
      <c r="C446" s="14" t="s">
        <v>521</v>
      </c>
      <c r="D446" s="14" t="s">
        <v>46</v>
      </c>
      <c r="E446" s="14" t="s">
        <v>2293</v>
      </c>
      <c r="F446" s="9" t="s">
        <v>523</v>
      </c>
      <c r="G446" s="9" t="b">
        <v>0</v>
      </c>
      <c r="H446" s="9" t="s">
        <v>865</v>
      </c>
      <c r="I446" s="9">
        <v>5.0</v>
      </c>
      <c r="J446" s="9">
        <v>0.0</v>
      </c>
      <c r="K446" s="9">
        <v>1.4</v>
      </c>
    </row>
    <row r="447" ht="15.75" customHeight="1">
      <c r="A447" s="7" t="s">
        <v>2294</v>
      </c>
      <c r="B447" s="13" t="s">
        <v>866</v>
      </c>
      <c r="C447" s="14" t="s">
        <v>521</v>
      </c>
      <c r="D447" s="14" t="s">
        <v>25</v>
      </c>
      <c r="E447" s="14" t="s">
        <v>2297</v>
      </c>
      <c r="F447" s="9" t="s">
        <v>523</v>
      </c>
      <c r="G447" s="9" t="b">
        <v>0</v>
      </c>
      <c r="I447" s="9">
        <v>5.0</v>
      </c>
      <c r="J447" s="9">
        <v>0.0</v>
      </c>
      <c r="K447" s="9">
        <v>1.2</v>
      </c>
    </row>
    <row r="448" ht="15.75" customHeight="1">
      <c r="A448" s="7" t="s">
        <v>2298</v>
      </c>
      <c r="B448" s="13" t="s">
        <v>867</v>
      </c>
      <c r="C448" s="14" t="s">
        <v>34</v>
      </c>
      <c r="D448" s="14" t="s">
        <v>46</v>
      </c>
      <c r="E448" s="14" t="s">
        <v>2300</v>
      </c>
      <c r="F448" s="9" t="s">
        <v>37</v>
      </c>
      <c r="G448" s="9" t="b">
        <v>0</v>
      </c>
      <c r="H448" s="9" t="s">
        <v>2301</v>
      </c>
      <c r="I448" s="9">
        <v>5.0</v>
      </c>
      <c r="J448" s="9">
        <v>0.0</v>
      </c>
      <c r="K448" s="9">
        <v>0.0</v>
      </c>
    </row>
    <row r="449" ht="15.75" customHeight="1">
      <c r="A449" s="7" t="s">
        <v>2303</v>
      </c>
      <c r="B449" s="13" t="s">
        <v>874</v>
      </c>
      <c r="C449" s="14" t="s">
        <v>34</v>
      </c>
      <c r="D449" s="14" t="s">
        <v>46</v>
      </c>
      <c r="E449" s="14" t="s">
        <v>2305</v>
      </c>
      <c r="F449" s="9" t="s">
        <v>37</v>
      </c>
      <c r="G449" s="9" t="b">
        <v>0</v>
      </c>
      <c r="H449" s="9" t="s">
        <v>2306</v>
      </c>
      <c r="I449" s="9">
        <v>5.0</v>
      </c>
      <c r="J449" s="9">
        <v>0.0</v>
      </c>
      <c r="K449" s="9">
        <v>0.8</v>
      </c>
    </row>
    <row r="450" ht="15.75" customHeight="1">
      <c r="A450" s="7" t="s">
        <v>2307</v>
      </c>
      <c r="B450" s="13" t="s">
        <v>15</v>
      </c>
      <c r="C450" s="14" t="s">
        <v>23</v>
      </c>
      <c r="D450" s="14" t="s">
        <v>46</v>
      </c>
      <c r="E450" s="14" t="s">
        <v>2309</v>
      </c>
      <c r="F450" s="9" t="s">
        <v>27</v>
      </c>
      <c r="G450" s="9" t="b">
        <v>0</v>
      </c>
      <c r="H450" s="9" t="s">
        <v>2310</v>
      </c>
      <c r="I450" s="9">
        <v>5.0</v>
      </c>
      <c r="J450" s="9">
        <v>0.0</v>
      </c>
      <c r="K450" s="9">
        <v>0.2</v>
      </c>
    </row>
    <row r="451" ht="15.75" customHeight="1">
      <c r="A451" s="7" t="s">
        <v>2311</v>
      </c>
      <c r="B451" s="13" t="s">
        <v>15</v>
      </c>
      <c r="C451" s="14" t="s">
        <v>23</v>
      </c>
      <c r="D451" s="14" t="s">
        <v>46</v>
      </c>
      <c r="E451" s="14" t="s">
        <v>2313</v>
      </c>
      <c r="F451" s="9" t="s">
        <v>27</v>
      </c>
      <c r="G451" s="9" t="b">
        <v>0</v>
      </c>
      <c r="H451" s="9" t="s">
        <v>2314</v>
      </c>
      <c r="I451" s="9">
        <v>5.0</v>
      </c>
      <c r="J451" s="9">
        <v>0.0</v>
      </c>
      <c r="K451" s="9">
        <v>0.0</v>
      </c>
    </row>
    <row r="452" ht="15.75" customHeight="1">
      <c r="A452" s="7" t="s">
        <v>2315</v>
      </c>
      <c r="B452" s="13" t="s">
        <v>15</v>
      </c>
      <c r="C452" s="14" t="s">
        <v>23</v>
      </c>
      <c r="D452" s="14" t="s">
        <v>46</v>
      </c>
      <c r="E452" s="14" t="s">
        <v>2317</v>
      </c>
      <c r="F452" s="9" t="s">
        <v>27</v>
      </c>
      <c r="G452" s="9" t="b">
        <v>0</v>
      </c>
      <c r="H452" s="9" t="s">
        <v>2318</v>
      </c>
      <c r="I452" s="9">
        <v>5.0</v>
      </c>
      <c r="J452" s="9">
        <v>0.0</v>
      </c>
      <c r="K452" s="9">
        <v>0.0</v>
      </c>
    </row>
    <row r="453" ht="15.75" customHeight="1">
      <c r="A453" s="7" t="s">
        <v>2319</v>
      </c>
      <c r="B453" s="13" t="s">
        <v>15</v>
      </c>
      <c r="C453" s="14" t="s">
        <v>23</v>
      </c>
      <c r="D453" s="14" t="s">
        <v>46</v>
      </c>
      <c r="E453" s="14" t="s">
        <v>2321</v>
      </c>
      <c r="F453" s="9" t="s">
        <v>27</v>
      </c>
      <c r="G453" s="9" t="b">
        <v>0</v>
      </c>
      <c r="H453" s="9" t="s">
        <v>2322</v>
      </c>
      <c r="I453" s="9">
        <v>5.0</v>
      </c>
      <c r="J453" s="9">
        <v>0.0</v>
      </c>
      <c r="K453" s="9">
        <v>0.4</v>
      </c>
    </row>
    <row r="454" ht="15.75" customHeight="1">
      <c r="A454" s="7" t="s">
        <v>2323</v>
      </c>
      <c r="B454" s="13" t="s">
        <v>15</v>
      </c>
      <c r="C454" s="14" t="s">
        <v>23</v>
      </c>
      <c r="D454" s="14" t="s">
        <v>46</v>
      </c>
      <c r="E454" s="14" t="s">
        <v>2325</v>
      </c>
      <c r="F454" s="9" t="s">
        <v>27</v>
      </c>
      <c r="G454" s="9" t="b">
        <v>0</v>
      </c>
      <c r="H454" s="9" t="s">
        <v>2326</v>
      </c>
      <c r="I454" s="9">
        <v>5.0</v>
      </c>
      <c r="J454" s="9">
        <v>0.0</v>
      </c>
      <c r="K454" s="9">
        <v>0.0</v>
      </c>
    </row>
    <row r="455" ht="15.75" customHeight="1">
      <c r="A455" s="7" t="s">
        <v>2327</v>
      </c>
      <c r="B455" s="13" t="s">
        <v>881</v>
      </c>
      <c r="C455" s="14" t="s">
        <v>169</v>
      </c>
      <c r="D455" s="14" t="s">
        <v>46</v>
      </c>
      <c r="E455" s="15"/>
      <c r="F455" s="9" t="s">
        <v>94</v>
      </c>
      <c r="H455" s="9" t="s">
        <v>172</v>
      </c>
      <c r="I455" s="9">
        <v>5.0</v>
      </c>
      <c r="J455" s="9">
        <v>0.0</v>
      </c>
      <c r="K455" s="9">
        <v>0.0</v>
      </c>
    </row>
    <row r="456" ht="15.75" customHeight="1">
      <c r="A456" s="7" t="s">
        <v>2330</v>
      </c>
      <c r="B456" s="13" t="s">
        <v>277</v>
      </c>
      <c r="C456" s="14" t="s">
        <v>169</v>
      </c>
      <c r="D456" s="14" t="s">
        <v>169</v>
      </c>
      <c r="E456" s="14" t="s">
        <v>1439</v>
      </c>
      <c r="F456" s="9" t="s">
        <v>94</v>
      </c>
      <c r="G456" s="9" t="b">
        <v>0</v>
      </c>
      <c r="I456" s="9">
        <v>5.0</v>
      </c>
      <c r="J456" s="9">
        <v>0.0</v>
      </c>
      <c r="K456" s="9">
        <v>0.4</v>
      </c>
    </row>
    <row r="457" ht="15.75" customHeight="1">
      <c r="A457" s="7" t="s">
        <v>2333</v>
      </c>
      <c r="B457" s="13" t="s">
        <v>516</v>
      </c>
      <c r="C457" s="14" t="s">
        <v>61</v>
      </c>
      <c r="D457" s="14" t="s">
        <v>46</v>
      </c>
      <c r="E457" s="14" t="s">
        <v>2335</v>
      </c>
      <c r="F457" s="9" t="s">
        <v>64</v>
      </c>
      <c r="G457" s="9" t="b">
        <v>0</v>
      </c>
      <c r="I457" s="9">
        <v>5.0</v>
      </c>
      <c r="J457" s="9">
        <v>0.0</v>
      </c>
      <c r="K457" s="9">
        <v>1.4</v>
      </c>
    </row>
    <row r="458" ht="15.75" customHeight="1">
      <c r="A458" s="7" t="s">
        <v>2336</v>
      </c>
      <c r="B458" s="13" t="s">
        <v>882</v>
      </c>
      <c r="C458" s="14" t="s">
        <v>144</v>
      </c>
      <c r="D458" s="14" t="s">
        <v>46</v>
      </c>
      <c r="E458" s="14" t="s">
        <v>2338</v>
      </c>
      <c r="F458" s="9" t="s">
        <v>147</v>
      </c>
      <c r="G458" s="9" t="b">
        <v>0</v>
      </c>
      <c r="I458" s="9">
        <v>5.0</v>
      </c>
      <c r="J458" s="9">
        <v>0.0</v>
      </c>
      <c r="K458" s="9">
        <v>1.8</v>
      </c>
    </row>
    <row r="459" ht="15.75" customHeight="1">
      <c r="A459" s="7" t="s">
        <v>2339</v>
      </c>
      <c r="B459" s="13" t="s">
        <v>171</v>
      </c>
      <c r="C459" s="14" t="s">
        <v>34</v>
      </c>
      <c r="D459" s="14" t="s">
        <v>46</v>
      </c>
      <c r="E459" s="14" t="s">
        <v>2342</v>
      </c>
      <c r="F459" s="9" t="s">
        <v>37</v>
      </c>
      <c r="G459" s="9" t="b">
        <v>0</v>
      </c>
      <c r="H459" s="9" t="s">
        <v>2343</v>
      </c>
      <c r="I459" s="9">
        <v>5.0</v>
      </c>
      <c r="J459" s="9">
        <v>0.0</v>
      </c>
      <c r="K459" s="9">
        <v>1.8</v>
      </c>
    </row>
    <row r="460" ht="15.75" customHeight="1">
      <c r="A460" s="7" t="s">
        <v>2345</v>
      </c>
      <c r="B460" s="13" t="s">
        <v>886</v>
      </c>
      <c r="C460" s="14" t="s">
        <v>169</v>
      </c>
      <c r="D460" s="14" t="s">
        <v>25</v>
      </c>
      <c r="E460" s="15"/>
      <c r="F460" s="9" t="s">
        <v>94</v>
      </c>
      <c r="H460" s="9" t="s">
        <v>172</v>
      </c>
      <c r="I460" s="9">
        <v>5.0</v>
      </c>
      <c r="J460" s="9">
        <v>0.0</v>
      </c>
      <c r="K460" s="9">
        <v>0.0</v>
      </c>
    </row>
    <row r="461" ht="15.75" customHeight="1">
      <c r="A461" s="7" t="s">
        <v>2347</v>
      </c>
      <c r="B461" s="13" t="s">
        <v>52</v>
      </c>
      <c r="C461" s="14" t="s">
        <v>169</v>
      </c>
      <c r="D461" s="14" t="s">
        <v>46</v>
      </c>
      <c r="E461" s="14" t="s">
        <v>2349</v>
      </c>
      <c r="F461" s="9" t="s">
        <v>94</v>
      </c>
      <c r="G461" s="9" t="b">
        <v>0</v>
      </c>
      <c r="H461" s="9" t="s">
        <v>1178</v>
      </c>
      <c r="I461" s="9">
        <v>5.0</v>
      </c>
      <c r="J461" s="9">
        <v>0.0</v>
      </c>
      <c r="K461" s="9">
        <v>1.0</v>
      </c>
    </row>
    <row r="462" ht="15.75" customHeight="1">
      <c r="A462" s="7" t="s">
        <v>2350</v>
      </c>
      <c r="B462" s="13" t="s">
        <v>98</v>
      </c>
      <c r="C462" s="14" t="s">
        <v>169</v>
      </c>
      <c r="D462" s="14" t="s">
        <v>35</v>
      </c>
      <c r="E462" s="14" t="s">
        <v>2352</v>
      </c>
      <c r="F462" s="9" t="s">
        <v>94</v>
      </c>
      <c r="G462" s="9" t="b">
        <v>0</v>
      </c>
      <c r="H462" s="9" t="s">
        <v>2353</v>
      </c>
      <c r="I462" s="9">
        <v>5.0</v>
      </c>
      <c r="J462" s="9">
        <v>0.0</v>
      </c>
      <c r="K462" s="9">
        <v>1.0</v>
      </c>
    </row>
    <row r="463" ht="15.75" customHeight="1">
      <c r="A463" s="7" t="s">
        <v>2354</v>
      </c>
      <c r="B463" s="13" t="s">
        <v>22</v>
      </c>
      <c r="C463" s="14" t="s">
        <v>169</v>
      </c>
      <c r="D463" s="14" t="s">
        <v>46</v>
      </c>
      <c r="E463" s="14" t="s">
        <v>2357</v>
      </c>
      <c r="F463" s="9" t="s">
        <v>94</v>
      </c>
      <c r="G463" s="9" t="b">
        <v>0</v>
      </c>
      <c r="H463" s="9" t="s">
        <v>2358</v>
      </c>
      <c r="I463" s="9">
        <v>4.0</v>
      </c>
      <c r="J463" s="9">
        <v>0.0</v>
      </c>
      <c r="K463" s="9">
        <v>0.75</v>
      </c>
    </row>
    <row r="464" ht="15.75" customHeight="1">
      <c r="A464" s="7" t="s">
        <v>2359</v>
      </c>
      <c r="B464" s="13" t="s">
        <v>328</v>
      </c>
      <c r="C464" s="14" t="s">
        <v>144</v>
      </c>
      <c r="D464" s="14" t="s">
        <v>46</v>
      </c>
      <c r="E464" s="14" t="s">
        <v>2361</v>
      </c>
      <c r="F464" s="9" t="s">
        <v>147</v>
      </c>
      <c r="G464" s="9" t="b">
        <v>0</v>
      </c>
      <c r="H464" s="9" t="s">
        <v>552</v>
      </c>
      <c r="I464" s="9">
        <v>4.0</v>
      </c>
      <c r="J464" s="9">
        <v>0.0</v>
      </c>
      <c r="K464" s="9">
        <v>0.0</v>
      </c>
    </row>
    <row r="465" ht="15.75" customHeight="1">
      <c r="A465" s="7" t="s">
        <v>2362</v>
      </c>
      <c r="B465" s="13" t="s">
        <v>1019</v>
      </c>
      <c r="C465" s="14" t="s">
        <v>169</v>
      </c>
      <c r="D465" s="14" t="s">
        <v>46</v>
      </c>
      <c r="E465" s="15"/>
      <c r="F465" s="9" t="s">
        <v>94</v>
      </c>
      <c r="H465" s="9" t="s">
        <v>172</v>
      </c>
      <c r="I465" s="9">
        <v>4.0</v>
      </c>
      <c r="J465" s="9">
        <v>0.0</v>
      </c>
      <c r="K465" s="9">
        <v>0.0</v>
      </c>
    </row>
    <row r="466" ht="15.75" customHeight="1">
      <c r="A466" s="7" t="s">
        <v>2366</v>
      </c>
      <c r="B466" s="13" t="s">
        <v>244</v>
      </c>
      <c r="C466" s="14" t="s">
        <v>144</v>
      </c>
      <c r="D466" s="14" t="s">
        <v>35</v>
      </c>
      <c r="E466" s="14" t="s">
        <v>2368</v>
      </c>
      <c r="F466" s="9" t="s">
        <v>147</v>
      </c>
      <c r="G466" s="9" t="b">
        <v>0</v>
      </c>
      <c r="H466" s="9" t="s">
        <v>927</v>
      </c>
      <c r="I466" s="9">
        <v>4.0</v>
      </c>
      <c r="J466" s="9">
        <v>0.0</v>
      </c>
      <c r="K466" s="9">
        <v>1.0</v>
      </c>
    </row>
    <row r="467" ht="15.75" customHeight="1">
      <c r="A467" s="7" t="s">
        <v>2369</v>
      </c>
      <c r="B467" s="13" t="s">
        <v>907</v>
      </c>
      <c r="C467" s="14" t="s">
        <v>521</v>
      </c>
      <c r="D467" s="14" t="s">
        <v>46</v>
      </c>
      <c r="E467" s="15"/>
      <c r="F467" s="9" t="s">
        <v>523</v>
      </c>
      <c r="H467" s="9" t="s">
        <v>172</v>
      </c>
      <c r="I467" s="9">
        <v>4.0</v>
      </c>
      <c r="J467" s="9">
        <v>0.0</v>
      </c>
      <c r="K467" s="9">
        <v>0.0</v>
      </c>
    </row>
    <row r="468" ht="15.75" customHeight="1">
      <c r="A468" s="7" t="s">
        <v>2371</v>
      </c>
      <c r="B468" s="13" t="s">
        <v>1034</v>
      </c>
      <c r="C468" s="14" t="s">
        <v>521</v>
      </c>
      <c r="D468" s="14" t="s">
        <v>46</v>
      </c>
      <c r="E468" s="14" t="s">
        <v>2373</v>
      </c>
      <c r="F468" s="9" t="s">
        <v>523</v>
      </c>
      <c r="G468" s="9" t="b">
        <v>0</v>
      </c>
      <c r="H468" s="9" t="s">
        <v>720</v>
      </c>
      <c r="I468" s="9">
        <v>4.0</v>
      </c>
      <c r="J468" s="9">
        <v>0.0</v>
      </c>
      <c r="K468" s="9">
        <v>0.5</v>
      </c>
    </row>
    <row r="469" ht="15.75" customHeight="1">
      <c r="A469" s="7" t="s">
        <v>2374</v>
      </c>
      <c r="B469" s="14" t="s">
        <v>909</v>
      </c>
      <c r="C469" s="14" t="s">
        <v>144</v>
      </c>
      <c r="D469" s="14" t="s">
        <v>46</v>
      </c>
      <c r="E469" s="14" t="s">
        <v>2377</v>
      </c>
      <c r="F469" s="9" t="s">
        <v>147</v>
      </c>
      <c r="G469" s="9" t="b">
        <v>0</v>
      </c>
      <c r="I469" s="9">
        <v>4.0</v>
      </c>
      <c r="J469" s="9">
        <v>0.0</v>
      </c>
      <c r="K469" s="9">
        <v>0.75</v>
      </c>
    </row>
    <row r="470" ht="15.75" customHeight="1">
      <c r="A470" s="7" t="s">
        <v>2378</v>
      </c>
      <c r="B470" s="13" t="s">
        <v>206</v>
      </c>
      <c r="C470" s="14" t="s">
        <v>144</v>
      </c>
      <c r="D470" s="14" t="s">
        <v>35</v>
      </c>
      <c r="E470" s="14" t="s">
        <v>2381</v>
      </c>
      <c r="F470" s="9" t="s">
        <v>147</v>
      </c>
      <c r="G470" s="9" t="b">
        <v>0</v>
      </c>
      <c r="H470" s="9" t="s">
        <v>803</v>
      </c>
      <c r="I470" s="9">
        <v>4.0</v>
      </c>
      <c r="J470" s="9">
        <v>0.0</v>
      </c>
      <c r="K470" s="9">
        <v>1.0</v>
      </c>
    </row>
    <row r="471" ht="15.75" customHeight="1">
      <c r="A471" s="7" t="s">
        <v>2383</v>
      </c>
      <c r="B471" s="13" t="s">
        <v>168</v>
      </c>
      <c r="C471" s="14" t="s">
        <v>521</v>
      </c>
      <c r="D471" s="14" t="s">
        <v>46</v>
      </c>
      <c r="E471" s="14" t="s">
        <v>2385</v>
      </c>
      <c r="F471" s="9" t="s">
        <v>523</v>
      </c>
      <c r="G471" s="9" t="b">
        <v>0</v>
      </c>
      <c r="H471" s="9" t="s">
        <v>825</v>
      </c>
      <c r="I471" s="9">
        <v>4.0</v>
      </c>
      <c r="J471" s="9">
        <v>0.0</v>
      </c>
      <c r="K471" s="9">
        <v>1.0</v>
      </c>
    </row>
    <row r="472" ht="15.75" customHeight="1">
      <c r="A472" s="7" t="s">
        <v>2387</v>
      </c>
      <c r="B472" s="13" t="s">
        <v>912</v>
      </c>
      <c r="C472" s="14" t="s">
        <v>34</v>
      </c>
      <c r="D472" s="14" t="s">
        <v>270</v>
      </c>
      <c r="E472" s="14" t="s">
        <v>2389</v>
      </c>
      <c r="F472" s="9" t="s">
        <v>37</v>
      </c>
      <c r="G472" s="9" t="b">
        <v>0</v>
      </c>
      <c r="H472" s="9" t="s">
        <v>2390</v>
      </c>
      <c r="I472" s="9">
        <v>4.0</v>
      </c>
      <c r="J472" s="9">
        <v>0.0</v>
      </c>
      <c r="K472" s="9">
        <v>0.0</v>
      </c>
    </row>
    <row r="473" ht="15.75" customHeight="1">
      <c r="A473" s="7" t="s">
        <v>2391</v>
      </c>
      <c r="B473" s="13" t="s">
        <v>277</v>
      </c>
      <c r="C473" s="14" t="s">
        <v>1203</v>
      </c>
      <c r="D473" s="14" t="s">
        <v>169</v>
      </c>
      <c r="E473" s="14" t="s">
        <v>2392</v>
      </c>
      <c r="F473" s="9" t="s">
        <v>1205</v>
      </c>
      <c r="G473" s="9" t="b">
        <v>0</v>
      </c>
      <c r="I473" s="9">
        <v>4.0</v>
      </c>
      <c r="J473" s="9">
        <v>0.0</v>
      </c>
      <c r="K473" s="9">
        <v>0.0</v>
      </c>
    </row>
    <row r="474" ht="15.75" customHeight="1">
      <c r="A474" s="7" t="s">
        <v>2394</v>
      </c>
      <c r="B474" s="13" t="s">
        <v>19</v>
      </c>
      <c r="C474" s="14" t="s">
        <v>23</v>
      </c>
      <c r="D474" s="14" t="s">
        <v>46</v>
      </c>
      <c r="E474" s="14" t="s">
        <v>2395</v>
      </c>
      <c r="F474" s="9" t="s">
        <v>27</v>
      </c>
      <c r="G474" s="9" t="b">
        <v>0</v>
      </c>
      <c r="H474" s="9" t="s">
        <v>2396</v>
      </c>
      <c r="I474" s="9">
        <v>4.0</v>
      </c>
      <c r="J474" s="9">
        <v>0.0</v>
      </c>
      <c r="K474" s="9">
        <v>0.0</v>
      </c>
    </row>
    <row r="475" ht="15.75" customHeight="1">
      <c r="A475" s="7" t="s">
        <v>2398</v>
      </c>
      <c r="B475" s="13" t="s">
        <v>19</v>
      </c>
      <c r="C475" s="14" t="s">
        <v>169</v>
      </c>
      <c r="D475" s="14" t="s">
        <v>46</v>
      </c>
      <c r="E475" s="14" t="s">
        <v>2399</v>
      </c>
      <c r="F475" s="9" t="s">
        <v>94</v>
      </c>
      <c r="G475" s="9" t="b">
        <v>0</v>
      </c>
      <c r="H475" s="9" t="s">
        <v>2400</v>
      </c>
      <c r="I475" s="9">
        <v>4.0</v>
      </c>
      <c r="J475" s="9">
        <v>0.0</v>
      </c>
      <c r="K475" s="9">
        <v>1.0</v>
      </c>
    </row>
    <row r="476" ht="15.75" customHeight="1">
      <c r="A476" s="7" t="s">
        <v>2401</v>
      </c>
      <c r="B476" s="13" t="s">
        <v>19</v>
      </c>
      <c r="C476" s="14" t="s">
        <v>23</v>
      </c>
      <c r="D476" s="14" t="s">
        <v>46</v>
      </c>
      <c r="E476" s="14" t="s">
        <v>2403</v>
      </c>
      <c r="F476" s="9" t="s">
        <v>27</v>
      </c>
      <c r="G476" s="9" t="b">
        <v>0</v>
      </c>
      <c r="H476" s="9" t="s">
        <v>188</v>
      </c>
      <c r="I476" s="9">
        <v>4.0</v>
      </c>
      <c r="J476" s="9">
        <v>0.0</v>
      </c>
      <c r="K476" s="9">
        <v>0.5</v>
      </c>
    </row>
    <row r="477" ht="15.75" customHeight="1">
      <c r="A477" s="7" t="s">
        <v>2404</v>
      </c>
      <c r="B477" s="13" t="s">
        <v>19</v>
      </c>
      <c r="C477" s="14" t="s">
        <v>23</v>
      </c>
      <c r="D477" s="14" t="s">
        <v>46</v>
      </c>
      <c r="E477" s="14" t="s">
        <v>2405</v>
      </c>
      <c r="F477" s="9" t="s">
        <v>27</v>
      </c>
      <c r="G477" s="9" t="b">
        <v>0</v>
      </c>
      <c r="H477" s="9" t="s">
        <v>188</v>
      </c>
      <c r="I477" s="9">
        <v>4.0</v>
      </c>
      <c r="J477" s="9">
        <v>0.0</v>
      </c>
      <c r="K477" s="9">
        <v>0.0</v>
      </c>
    </row>
    <row r="478" ht="15.75" customHeight="1">
      <c r="A478" s="7" t="s">
        <v>2406</v>
      </c>
      <c r="B478" s="13" t="s">
        <v>19</v>
      </c>
      <c r="C478" s="14" t="s">
        <v>23</v>
      </c>
      <c r="D478" s="14" t="s">
        <v>46</v>
      </c>
      <c r="E478" s="14" t="s">
        <v>2407</v>
      </c>
      <c r="F478" s="9" t="s">
        <v>27</v>
      </c>
      <c r="G478" s="9" t="b">
        <v>0</v>
      </c>
      <c r="H478" s="9" t="s">
        <v>188</v>
      </c>
      <c r="I478" s="9">
        <v>4.0</v>
      </c>
      <c r="J478" s="9">
        <v>0.0</v>
      </c>
      <c r="K478" s="9">
        <v>0.0</v>
      </c>
    </row>
    <row r="479" ht="15.75" customHeight="1">
      <c r="A479" s="7" t="s">
        <v>2408</v>
      </c>
      <c r="B479" s="13" t="s">
        <v>160</v>
      </c>
      <c r="C479" s="14" t="s">
        <v>34</v>
      </c>
      <c r="D479" s="14" t="s">
        <v>46</v>
      </c>
      <c r="E479" s="14" t="s">
        <v>2409</v>
      </c>
      <c r="F479" s="9" t="s">
        <v>37</v>
      </c>
      <c r="G479" s="9" t="b">
        <v>0</v>
      </c>
      <c r="H479" s="9" t="s">
        <v>969</v>
      </c>
      <c r="I479" s="9">
        <v>4.0</v>
      </c>
      <c r="J479" s="9">
        <v>0.0</v>
      </c>
      <c r="K479" s="9">
        <v>0.0</v>
      </c>
    </row>
    <row r="480" ht="15.75" customHeight="1">
      <c r="A480" s="7" t="s">
        <v>2412</v>
      </c>
      <c r="B480" s="13" t="s">
        <v>703</v>
      </c>
      <c r="C480" s="14" t="s">
        <v>34</v>
      </c>
      <c r="D480" s="14" t="s">
        <v>46</v>
      </c>
      <c r="E480" s="14" t="s">
        <v>2415</v>
      </c>
      <c r="F480" s="9" t="s">
        <v>37</v>
      </c>
      <c r="G480" s="9" t="b">
        <v>0</v>
      </c>
      <c r="H480" s="9" t="s">
        <v>2416</v>
      </c>
      <c r="I480" s="9">
        <v>4.0</v>
      </c>
      <c r="J480" s="9">
        <v>0.0</v>
      </c>
      <c r="K480" s="9">
        <v>1.0</v>
      </c>
    </row>
    <row r="481" ht="15.75" customHeight="1">
      <c r="A481" s="7" t="s">
        <v>2417</v>
      </c>
      <c r="B481" s="13" t="s">
        <v>925</v>
      </c>
      <c r="C481" s="14" t="s">
        <v>34</v>
      </c>
      <c r="D481" s="14" t="s">
        <v>46</v>
      </c>
      <c r="E481" s="14" t="s">
        <v>2420</v>
      </c>
      <c r="F481" s="9" t="s">
        <v>37</v>
      </c>
      <c r="G481" s="9" t="b">
        <v>0</v>
      </c>
      <c r="H481" s="9" t="s">
        <v>2421</v>
      </c>
      <c r="I481" s="9">
        <v>4.0</v>
      </c>
      <c r="J481" s="9">
        <v>0.0</v>
      </c>
      <c r="K481" s="9">
        <v>0.0</v>
      </c>
    </row>
    <row r="482" ht="15.75" customHeight="1">
      <c r="A482" s="7" t="s">
        <v>2422</v>
      </c>
      <c r="B482" s="13" t="s">
        <v>70</v>
      </c>
      <c r="C482" s="14" t="s">
        <v>169</v>
      </c>
      <c r="D482" s="14" t="s">
        <v>46</v>
      </c>
      <c r="E482" s="14" t="s">
        <v>2424</v>
      </c>
      <c r="F482" s="9" t="s">
        <v>94</v>
      </c>
      <c r="G482" s="9" t="b">
        <v>0</v>
      </c>
      <c r="H482" s="9" t="s">
        <v>1091</v>
      </c>
      <c r="I482" s="9">
        <v>4.0</v>
      </c>
      <c r="J482" s="9">
        <v>0.0</v>
      </c>
      <c r="K482" s="9">
        <v>0.0</v>
      </c>
    </row>
    <row r="483" ht="15.75" customHeight="1">
      <c r="A483" s="7" t="s">
        <v>2426</v>
      </c>
      <c r="B483" s="13" t="s">
        <v>775</v>
      </c>
      <c r="C483" s="14" t="s">
        <v>521</v>
      </c>
      <c r="D483" s="14" t="s">
        <v>46</v>
      </c>
      <c r="E483" s="14" t="s">
        <v>2429</v>
      </c>
      <c r="F483" s="9" t="s">
        <v>523</v>
      </c>
      <c r="G483" s="9" t="b">
        <v>0</v>
      </c>
      <c r="I483" s="9">
        <v>4.0</v>
      </c>
      <c r="J483" s="9">
        <v>0.0</v>
      </c>
      <c r="K483" s="9">
        <v>1.5</v>
      </c>
    </row>
    <row r="484" ht="15.75" customHeight="1">
      <c r="A484" s="7" t="s">
        <v>2431</v>
      </c>
      <c r="B484" s="13" t="s">
        <v>385</v>
      </c>
      <c r="C484" s="14" t="s">
        <v>521</v>
      </c>
      <c r="D484" s="14" t="s">
        <v>46</v>
      </c>
      <c r="E484" s="14" t="s">
        <v>2432</v>
      </c>
      <c r="F484" s="9" t="s">
        <v>523</v>
      </c>
      <c r="G484" s="9" t="b">
        <v>0</v>
      </c>
      <c r="H484" s="9" t="s">
        <v>2434</v>
      </c>
      <c r="I484" s="9">
        <v>4.0</v>
      </c>
      <c r="J484" s="9">
        <v>0.0</v>
      </c>
      <c r="K484" s="9">
        <v>1.5</v>
      </c>
    </row>
    <row r="485" ht="15.75" customHeight="1">
      <c r="A485" s="7" t="s">
        <v>2435</v>
      </c>
      <c r="B485" s="13" t="s">
        <v>33</v>
      </c>
      <c r="C485" s="14" t="s">
        <v>23</v>
      </c>
      <c r="D485" s="14" t="s">
        <v>62</v>
      </c>
      <c r="E485" s="14" t="s">
        <v>2438</v>
      </c>
      <c r="F485" s="9" t="s">
        <v>27</v>
      </c>
      <c r="G485" s="9" t="b">
        <v>0</v>
      </c>
      <c r="H485" s="9" t="s">
        <v>2439</v>
      </c>
      <c r="I485" s="9">
        <v>4.0</v>
      </c>
      <c r="J485" s="9">
        <v>0.0</v>
      </c>
      <c r="K485" s="9">
        <v>0.0</v>
      </c>
    </row>
    <row r="486" ht="15.75" customHeight="1">
      <c r="A486" s="7" t="s">
        <v>2440</v>
      </c>
      <c r="B486" s="13" t="s">
        <v>33</v>
      </c>
      <c r="C486" s="14" t="s">
        <v>23</v>
      </c>
      <c r="D486" s="14" t="s">
        <v>62</v>
      </c>
      <c r="E486" s="14" t="s">
        <v>2442</v>
      </c>
      <c r="F486" s="9" t="s">
        <v>27</v>
      </c>
      <c r="G486" s="9" t="b">
        <v>0</v>
      </c>
      <c r="H486" s="9" t="s">
        <v>2444</v>
      </c>
      <c r="I486" s="9">
        <v>4.0</v>
      </c>
      <c r="J486" s="9">
        <v>0.0</v>
      </c>
      <c r="K486" s="9">
        <v>1.0</v>
      </c>
    </row>
    <row r="487" ht="15.75" customHeight="1">
      <c r="A487" s="7" t="s">
        <v>2445</v>
      </c>
      <c r="B487" s="13" t="s">
        <v>128</v>
      </c>
      <c r="C487" s="14" t="s">
        <v>34</v>
      </c>
      <c r="D487" s="14" t="s">
        <v>169</v>
      </c>
      <c r="E487" s="14" t="s">
        <v>2447</v>
      </c>
      <c r="F487" s="9" t="s">
        <v>37</v>
      </c>
      <c r="G487" s="9" t="b">
        <v>0</v>
      </c>
      <c r="H487" s="9" t="s">
        <v>2449</v>
      </c>
      <c r="I487" s="9">
        <v>4.0</v>
      </c>
      <c r="J487" s="9">
        <v>0.0</v>
      </c>
      <c r="K487" s="9">
        <v>1.0</v>
      </c>
    </row>
    <row r="488" ht="15.75" customHeight="1">
      <c r="A488" s="7" t="s">
        <v>2450</v>
      </c>
      <c r="B488" s="13" t="s">
        <v>934</v>
      </c>
      <c r="C488" s="14" t="s">
        <v>34</v>
      </c>
      <c r="D488" s="14" t="s">
        <v>46</v>
      </c>
      <c r="E488" s="14" t="s">
        <v>2454</v>
      </c>
      <c r="F488" s="9" t="s">
        <v>37</v>
      </c>
      <c r="G488" s="9" t="b">
        <v>0</v>
      </c>
      <c r="H488" s="9" t="s">
        <v>935</v>
      </c>
      <c r="I488" s="9">
        <v>4.0</v>
      </c>
      <c r="J488" s="9">
        <v>0.0</v>
      </c>
      <c r="K488" s="9">
        <v>0.5</v>
      </c>
    </row>
    <row r="489" ht="15.75" customHeight="1">
      <c r="A489" s="7" t="s">
        <v>2455</v>
      </c>
      <c r="B489" s="13" t="s">
        <v>182</v>
      </c>
      <c r="C489" s="14" t="s">
        <v>169</v>
      </c>
      <c r="D489" s="14" t="s">
        <v>46</v>
      </c>
      <c r="E489" s="14" t="s">
        <v>2457</v>
      </c>
      <c r="F489" s="9" t="s">
        <v>94</v>
      </c>
      <c r="G489" s="9" t="b">
        <v>0</v>
      </c>
      <c r="H489" s="9" t="s">
        <v>2458</v>
      </c>
      <c r="I489" s="9">
        <v>4.0</v>
      </c>
      <c r="J489" s="9">
        <v>0.0</v>
      </c>
      <c r="K489" s="9">
        <v>0.25</v>
      </c>
    </row>
    <row r="490" ht="15.75" customHeight="1">
      <c r="A490" s="7" t="s">
        <v>2459</v>
      </c>
      <c r="B490" s="13" t="s">
        <v>838</v>
      </c>
      <c r="C490" s="14" t="s">
        <v>169</v>
      </c>
      <c r="D490" s="14" t="s">
        <v>46</v>
      </c>
      <c r="E490" s="14" t="s">
        <v>2461</v>
      </c>
      <c r="F490" s="9" t="s">
        <v>94</v>
      </c>
      <c r="G490" s="9" t="b">
        <v>0</v>
      </c>
      <c r="H490" s="9" t="s">
        <v>2462</v>
      </c>
      <c r="I490" s="9">
        <v>4.0</v>
      </c>
      <c r="J490" s="9">
        <v>0.0</v>
      </c>
      <c r="K490" s="9">
        <v>0.25</v>
      </c>
    </row>
    <row r="491" ht="15.75" customHeight="1">
      <c r="A491" s="7" t="s">
        <v>2463</v>
      </c>
      <c r="B491" s="13" t="s">
        <v>819</v>
      </c>
      <c r="C491" s="14" t="s">
        <v>144</v>
      </c>
      <c r="D491" s="14" t="s">
        <v>46</v>
      </c>
      <c r="E491" s="14" t="s">
        <v>2466</v>
      </c>
      <c r="F491" s="9" t="s">
        <v>147</v>
      </c>
      <c r="G491" s="9" t="b">
        <v>0</v>
      </c>
      <c r="I491" s="9">
        <v>4.0</v>
      </c>
      <c r="J491" s="9">
        <v>0.0</v>
      </c>
      <c r="K491" s="9">
        <v>0.75</v>
      </c>
    </row>
    <row r="492" ht="15.75" customHeight="1">
      <c r="A492" s="7" t="s">
        <v>2467</v>
      </c>
      <c r="B492" s="13" t="s">
        <v>939</v>
      </c>
      <c r="C492" s="14" t="s">
        <v>144</v>
      </c>
      <c r="D492" s="14" t="s">
        <v>46</v>
      </c>
      <c r="E492" s="14" t="s">
        <v>2468</v>
      </c>
      <c r="F492" s="9" t="s">
        <v>147</v>
      </c>
      <c r="G492" s="9" t="b">
        <v>0</v>
      </c>
      <c r="H492" s="9" t="s">
        <v>188</v>
      </c>
      <c r="I492" s="9">
        <v>4.0</v>
      </c>
      <c r="J492" s="9">
        <v>0.0</v>
      </c>
      <c r="K492" s="9">
        <v>0.0</v>
      </c>
    </row>
    <row r="493" ht="15.75" customHeight="1">
      <c r="A493" s="7" t="s">
        <v>2469</v>
      </c>
      <c r="B493" s="13" t="s">
        <v>840</v>
      </c>
      <c r="C493" s="14" t="s">
        <v>169</v>
      </c>
      <c r="D493" s="14" t="s">
        <v>25</v>
      </c>
      <c r="E493" s="14" t="s">
        <v>2470</v>
      </c>
      <c r="F493" s="9" t="s">
        <v>94</v>
      </c>
      <c r="G493" s="9" t="b">
        <v>0</v>
      </c>
      <c r="H493" s="9" t="s">
        <v>842</v>
      </c>
      <c r="I493" s="9">
        <v>4.0</v>
      </c>
      <c r="J493" s="9">
        <v>0.0</v>
      </c>
      <c r="K493" s="9">
        <v>0.0</v>
      </c>
    </row>
    <row r="494" ht="15.75" customHeight="1">
      <c r="A494" s="7" t="s">
        <v>2471</v>
      </c>
      <c r="B494" s="13" t="s">
        <v>456</v>
      </c>
      <c r="C494" s="14" t="s">
        <v>144</v>
      </c>
      <c r="D494" s="14" t="s">
        <v>46</v>
      </c>
      <c r="E494" s="14" t="s">
        <v>2472</v>
      </c>
      <c r="F494" s="9" t="s">
        <v>147</v>
      </c>
      <c r="G494" s="9" t="b">
        <v>0</v>
      </c>
      <c r="H494" s="9" t="s">
        <v>188</v>
      </c>
      <c r="I494" s="9">
        <v>4.0</v>
      </c>
      <c r="J494" s="9">
        <v>0.0</v>
      </c>
      <c r="K494" s="9">
        <v>0.0</v>
      </c>
    </row>
    <row r="495" ht="15.75" customHeight="1">
      <c r="A495" s="7" t="s">
        <v>2473</v>
      </c>
      <c r="B495" s="13" t="s">
        <v>940</v>
      </c>
      <c r="C495" s="14" t="s">
        <v>521</v>
      </c>
      <c r="D495" s="14" t="s">
        <v>25</v>
      </c>
      <c r="E495" s="14" t="s">
        <v>2474</v>
      </c>
      <c r="F495" s="9" t="s">
        <v>523</v>
      </c>
      <c r="G495" s="9" t="b">
        <v>0</v>
      </c>
      <c r="H495" s="9" t="s">
        <v>188</v>
      </c>
      <c r="I495" s="9">
        <v>4.0</v>
      </c>
      <c r="J495" s="9">
        <v>0.0</v>
      </c>
      <c r="K495" s="9">
        <v>1.0</v>
      </c>
    </row>
    <row r="496" ht="15.75" customHeight="1">
      <c r="A496" s="7" t="s">
        <v>2475</v>
      </c>
      <c r="B496" s="13" t="s">
        <v>54</v>
      </c>
      <c r="C496" s="14" t="s">
        <v>169</v>
      </c>
      <c r="D496" s="14" t="s">
        <v>25</v>
      </c>
      <c r="E496" s="14" t="s">
        <v>2476</v>
      </c>
      <c r="F496" s="9" t="s">
        <v>94</v>
      </c>
      <c r="G496" s="9" t="b">
        <v>0</v>
      </c>
      <c r="H496" s="9" t="s">
        <v>2477</v>
      </c>
      <c r="I496" s="9">
        <v>4.0</v>
      </c>
      <c r="J496" s="9">
        <v>0.0</v>
      </c>
      <c r="K496" s="9">
        <v>1.0</v>
      </c>
    </row>
    <row r="497" ht="15.75" customHeight="1">
      <c r="A497" s="7" t="s">
        <v>2478</v>
      </c>
      <c r="B497" s="13" t="s">
        <v>54</v>
      </c>
      <c r="C497" s="14" t="s">
        <v>169</v>
      </c>
      <c r="D497" s="14" t="s">
        <v>25</v>
      </c>
      <c r="E497" s="14" t="s">
        <v>2479</v>
      </c>
      <c r="F497" s="9" t="s">
        <v>94</v>
      </c>
      <c r="G497" s="9" t="b">
        <v>0</v>
      </c>
      <c r="H497" s="9" t="s">
        <v>2480</v>
      </c>
      <c r="I497" s="9">
        <v>4.0</v>
      </c>
      <c r="J497" s="9">
        <v>0.0</v>
      </c>
      <c r="K497" s="9">
        <v>0.0</v>
      </c>
    </row>
    <row r="498" ht="15.75" customHeight="1">
      <c r="A498" s="7" t="s">
        <v>2481</v>
      </c>
      <c r="B498" s="13" t="s">
        <v>277</v>
      </c>
      <c r="C498" s="14" t="s">
        <v>169</v>
      </c>
      <c r="D498" s="14" t="s">
        <v>169</v>
      </c>
      <c r="E498" s="15"/>
      <c r="F498" s="9" t="s">
        <v>94</v>
      </c>
      <c r="H498" s="9" t="s">
        <v>172</v>
      </c>
      <c r="I498" s="9">
        <v>4.0</v>
      </c>
      <c r="J498" s="9">
        <v>0.0</v>
      </c>
      <c r="K498" s="9">
        <v>0.0</v>
      </c>
    </row>
    <row r="499" ht="15.75" customHeight="1">
      <c r="A499" s="7" t="s">
        <v>2482</v>
      </c>
      <c r="B499" s="13" t="s">
        <v>947</v>
      </c>
      <c r="C499" s="14" t="s">
        <v>34</v>
      </c>
      <c r="D499" s="14" t="s">
        <v>270</v>
      </c>
      <c r="E499" s="14" t="s">
        <v>2483</v>
      </c>
      <c r="F499" s="9" t="s">
        <v>37</v>
      </c>
      <c r="G499" s="9" t="b">
        <v>0</v>
      </c>
      <c r="H499" s="9" t="s">
        <v>2484</v>
      </c>
      <c r="I499" s="9">
        <v>4.0</v>
      </c>
      <c r="J499" s="9">
        <v>0.0</v>
      </c>
      <c r="K499" s="9">
        <v>0.0</v>
      </c>
    </row>
    <row r="500" ht="15.75" customHeight="1">
      <c r="A500" s="7" t="s">
        <v>2485</v>
      </c>
      <c r="B500" s="13" t="s">
        <v>211</v>
      </c>
      <c r="C500" s="14" t="s">
        <v>34</v>
      </c>
      <c r="D500" s="14" t="s">
        <v>46</v>
      </c>
      <c r="E500" s="14" t="s">
        <v>2486</v>
      </c>
      <c r="F500" s="9" t="s">
        <v>37</v>
      </c>
      <c r="G500" s="9" t="b">
        <v>0</v>
      </c>
      <c r="H500" s="9" t="s">
        <v>955</v>
      </c>
      <c r="I500" s="9">
        <v>4.0</v>
      </c>
      <c r="J500" s="9">
        <v>0.0</v>
      </c>
      <c r="K500" s="9">
        <v>1.0</v>
      </c>
    </row>
    <row r="501" ht="15.75" customHeight="1">
      <c r="A501" s="7" t="s">
        <v>2487</v>
      </c>
      <c r="B501" s="13" t="s">
        <v>643</v>
      </c>
      <c r="C501" s="14" t="s">
        <v>144</v>
      </c>
      <c r="D501" s="14" t="s">
        <v>46</v>
      </c>
      <c r="E501" s="14" t="s">
        <v>2488</v>
      </c>
      <c r="F501" s="9" t="s">
        <v>147</v>
      </c>
      <c r="G501" s="9" t="b">
        <v>0</v>
      </c>
      <c r="I501" s="9">
        <v>4.0</v>
      </c>
      <c r="J501" s="9">
        <v>0.0</v>
      </c>
      <c r="K501" s="9">
        <v>0.0</v>
      </c>
    </row>
    <row r="502" ht="15.75" customHeight="1">
      <c r="A502" s="7" t="s">
        <v>2489</v>
      </c>
      <c r="B502" s="14" t="s">
        <v>218</v>
      </c>
      <c r="C502" s="14" t="s">
        <v>169</v>
      </c>
      <c r="D502" s="14" t="s">
        <v>35</v>
      </c>
      <c r="E502" s="14" t="s">
        <v>2490</v>
      </c>
      <c r="F502" s="9" t="s">
        <v>94</v>
      </c>
      <c r="G502" s="9" t="b">
        <v>0</v>
      </c>
      <c r="H502" s="9" t="s">
        <v>2491</v>
      </c>
      <c r="I502" s="9">
        <v>4.0</v>
      </c>
      <c r="J502" s="9">
        <v>0.0</v>
      </c>
      <c r="K502" s="9">
        <v>1.25</v>
      </c>
    </row>
    <row r="503" ht="15.75" customHeight="1">
      <c r="A503" s="7" t="s">
        <v>2492</v>
      </c>
      <c r="B503" s="13" t="s">
        <v>103</v>
      </c>
      <c r="C503" s="14" t="s">
        <v>34</v>
      </c>
      <c r="D503" s="14" t="s">
        <v>46</v>
      </c>
      <c r="E503" s="14" t="s">
        <v>2493</v>
      </c>
      <c r="F503" s="9" t="s">
        <v>37</v>
      </c>
      <c r="G503" s="9" t="b">
        <v>0</v>
      </c>
      <c r="H503" s="9" t="s">
        <v>2494</v>
      </c>
      <c r="I503" s="9">
        <v>4.0</v>
      </c>
      <c r="J503" s="9">
        <v>0.0</v>
      </c>
      <c r="K503" s="9">
        <v>0.25</v>
      </c>
    </row>
    <row r="504" ht="15.75" customHeight="1">
      <c r="A504" s="7" t="s">
        <v>2495</v>
      </c>
      <c r="B504" s="13" t="s">
        <v>958</v>
      </c>
      <c r="C504" s="14" t="s">
        <v>34</v>
      </c>
      <c r="D504" s="14" t="s">
        <v>62</v>
      </c>
      <c r="E504" s="14" t="s">
        <v>2496</v>
      </c>
      <c r="F504" s="9" t="s">
        <v>37</v>
      </c>
      <c r="G504" s="9" t="b">
        <v>0</v>
      </c>
      <c r="H504" s="9" t="s">
        <v>2497</v>
      </c>
      <c r="I504" s="9">
        <v>4.0</v>
      </c>
      <c r="J504" s="9">
        <v>0.0</v>
      </c>
      <c r="K504" s="9">
        <v>0.0</v>
      </c>
    </row>
    <row r="505" ht="15.75" customHeight="1">
      <c r="A505" s="7" t="s">
        <v>2498</v>
      </c>
      <c r="B505" s="13" t="s">
        <v>962</v>
      </c>
      <c r="C505" s="14" t="s">
        <v>521</v>
      </c>
      <c r="D505" s="14" t="s">
        <v>169</v>
      </c>
      <c r="E505" s="14" t="s">
        <v>2499</v>
      </c>
      <c r="F505" s="9" t="s">
        <v>523</v>
      </c>
      <c r="G505" s="9" t="b">
        <v>0</v>
      </c>
      <c r="H505" s="9" t="s">
        <v>720</v>
      </c>
      <c r="I505" s="9">
        <v>4.0</v>
      </c>
      <c r="J505" s="9">
        <v>0.0</v>
      </c>
      <c r="K505" s="9">
        <v>0.0</v>
      </c>
    </row>
    <row r="506" ht="15.75" customHeight="1">
      <c r="A506" s="7" t="s">
        <v>2500</v>
      </c>
      <c r="B506" s="13" t="s">
        <v>375</v>
      </c>
      <c r="C506" s="14" t="s">
        <v>521</v>
      </c>
      <c r="D506" s="14" t="s">
        <v>46</v>
      </c>
      <c r="E506" s="14" t="s">
        <v>2501</v>
      </c>
      <c r="F506" s="9" t="s">
        <v>523</v>
      </c>
      <c r="G506" s="9" t="b">
        <v>0</v>
      </c>
      <c r="H506" s="9" t="s">
        <v>2502</v>
      </c>
      <c r="I506" s="9">
        <v>4.0</v>
      </c>
      <c r="J506" s="9">
        <v>0.0</v>
      </c>
      <c r="K506" s="9">
        <v>2.5</v>
      </c>
    </row>
    <row r="507" ht="15.75" customHeight="1">
      <c r="A507" s="7" t="s">
        <v>2503</v>
      </c>
      <c r="B507" s="13" t="s">
        <v>854</v>
      </c>
      <c r="C507" s="14" t="s">
        <v>309</v>
      </c>
      <c r="D507" s="14" t="s">
        <v>46</v>
      </c>
      <c r="E507" s="14" t="s">
        <v>2504</v>
      </c>
      <c r="F507" s="9" t="s">
        <v>311</v>
      </c>
      <c r="G507" s="9" t="b">
        <v>0</v>
      </c>
      <c r="I507" s="9">
        <v>4.0</v>
      </c>
      <c r="J507" s="9">
        <v>0.0</v>
      </c>
      <c r="K507" s="9">
        <v>1.0</v>
      </c>
    </row>
    <row r="508" ht="15.75" customHeight="1">
      <c r="A508" s="7" t="s">
        <v>2505</v>
      </c>
      <c r="B508" s="13" t="s">
        <v>189</v>
      </c>
      <c r="C508" s="14" t="s">
        <v>169</v>
      </c>
      <c r="D508" s="14" t="s">
        <v>46</v>
      </c>
      <c r="E508" s="14" t="s">
        <v>2506</v>
      </c>
      <c r="F508" s="9" t="s">
        <v>94</v>
      </c>
      <c r="G508" s="9" t="b">
        <v>0</v>
      </c>
      <c r="H508" s="9" t="s">
        <v>2507</v>
      </c>
      <c r="I508" s="9">
        <v>4.0</v>
      </c>
      <c r="J508" s="9">
        <v>0.0</v>
      </c>
      <c r="K508" s="9">
        <v>0.0</v>
      </c>
    </row>
    <row r="509" ht="15.75" customHeight="1">
      <c r="A509" s="7" t="s">
        <v>2508</v>
      </c>
      <c r="B509" s="13" t="s">
        <v>1105</v>
      </c>
      <c r="C509" s="14" t="s">
        <v>34</v>
      </c>
      <c r="D509" s="14" t="s">
        <v>46</v>
      </c>
      <c r="E509" s="14" t="s">
        <v>2509</v>
      </c>
      <c r="F509" s="9" t="s">
        <v>37</v>
      </c>
      <c r="G509" s="9" t="b">
        <v>0</v>
      </c>
      <c r="I509" s="9">
        <v>4.0</v>
      </c>
      <c r="J509" s="9">
        <v>0.0</v>
      </c>
      <c r="K509" s="9">
        <v>1.0</v>
      </c>
    </row>
    <row r="510" ht="15.75" customHeight="1">
      <c r="A510" s="7" t="s">
        <v>2510</v>
      </c>
      <c r="B510" s="13" t="s">
        <v>308</v>
      </c>
      <c r="C510" s="14" t="s">
        <v>169</v>
      </c>
      <c r="D510" s="14" t="s">
        <v>169</v>
      </c>
      <c r="E510" s="14" t="s">
        <v>2511</v>
      </c>
      <c r="F510" s="9" t="s">
        <v>94</v>
      </c>
      <c r="G510" s="9" t="b">
        <v>0</v>
      </c>
      <c r="H510" s="9" t="s">
        <v>843</v>
      </c>
      <c r="I510" s="9">
        <v>4.0</v>
      </c>
      <c r="J510" s="9">
        <v>0.0</v>
      </c>
      <c r="K510" s="9">
        <v>2.0</v>
      </c>
    </row>
    <row r="511" ht="15.75" customHeight="1">
      <c r="A511" s="7" t="s">
        <v>2512</v>
      </c>
      <c r="B511" s="13" t="s">
        <v>965</v>
      </c>
      <c r="C511" s="14" t="s">
        <v>34</v>
      </c>
      <c r="D511" s="14" t="s">
        <v>46</v>
      </c>
      <c r="E511" s="14" t="s">
        <v>2513</v>
      </c>
      <c r="F511" s="9" t="s">
        <v>37</v>
      </c>
      <c r="G511" s="9" t="b">
        <v>0</v>
      </c>
      <c r="H511" s="9" t="s">
        <v>591</v>
      </c>
      <c r="I511" s="9">
        <v>4.0</v>
      </c>
      <c r="J511" s="9">
        <v>0.0</v>
      </c>
      <c r="K511" s="9">
        <v>0.0</v>
      </c>
    </row>
    <row r="512" ht="15.75" customHeight="1">
      <c r="A512" s="7" t="s">
        <v>2514</v>
      </c>
      <c r="B512" s="13" t="s">
        <v>698</v>
      </c>
      <c r="C512" s="14" t="s">
        <v>34</v>
      </c>
      <c r="D512" s="14" t="s">
        <v>35</v>
      </c>
      <c r="E512" s="14" t="s">
        <v>2515</v>
      </c>
      <c r="F512" s="9" t="s">
        <v>37</v>
      </c>
      <c r="G512" s="9" t="b">
        <v>0</v>
      </c>
      <c r="H512" s="9" t="s">
        <v>2516</v>
      </c>
      <c r="I512" s="9">
        <v>4.0</v>
      </c>
      <c r="J512" s="9">
        <v>0.0</v>
      </c>
      <c r="K512" s="9">
        <v>1.0</v>
      </c>
    </row>
    <row r="513" ht="15.75" customHeight="1">
      <c r="A513" s="7" t="s">
        <v>2517</v>
      </c>
      <c r="B513" s="13" t="s">
        <v>564</v>
      </c>
      <c r="C513" s="14" t="s">
        <v>34</v>
      </c>
      <c r="D513" s="14" t="s">
        <v>46</v>
      </c>
      <c r="E513" s="14" t="s">
        <v>2518</v>
      </c>
      <c r="F513" s="9" t="s">
        <v>37</v>
      </c>
      <c r="G513" s="9" t="b">
        <v>0</v>
      </c>
      <c r="H513" s="9" t="s">
        <v>2519</v>
      </c>
      <c r="I513" s="9">
        <v>4.0</v>
      </c>
      <c r="J513" s="9">
        <v>0.0</v>
      </c>
      <c r="K513" s="9">
        <v>1.0</v>
      </c>
    </row>
    <row r="514" ht="15.75" customHeight="1">
      <c r="A514" s="7" t="s">
        <v>2520</v>
      </c>
      <c r="B514" s="14" t="s">
        <v>200</v>
      </c>
      <c r="C514" s="14" t="s">
        <v>169</v>
      </c>
      <c r="D514" s="14" t="s">
        <v>46</v>
      </c>
      <c r="E514" s="14" t="s">
        <v>2521</v>
      </c>
      <c r="F514" s="9" t="s">
        <v>94</v>
      </c>
      <c r="G514" s="9" t="b">
        <v>0</v>
      </c>
      <c r="I514" s="9">
        <v>4.0</v>
      </c>
      <c r="J514" s="9">
        <v>0.0</v>
      </c>
      <c r="K514" s="9">
        <v>1.25</v>
      </c>
    </row>
    <row r="515" ht="15.75" customHeight="1">
      <c r="A515" s="7" t="s">
        <v>2522</v>
      </c>
      <c r="B515" s="14" t="s">
        <v>200</v>
      </c>
      <c r="C515" s="14" t="s">
        <v>144</v>
      </c>
      <c r="D515" s="14" t="s">
        <v>46</v>
      </c>
      <c r="E515" s="14" t="s">
        <v>2523</v>
      </c>
      <c r="F515" s="9" t="s">
        <v>147</v>
      </c>
      <c r="G515" s="9" t="b">
        <v>0</v>
      </c>
      <c r="I515" s="9">
        <v>4.0</v>
      </c>
      <c r="J515" s="9">
        <v>0.0</v>
      </c>
      <c r="K515" s="9">
        <v>0.25</v>
      </c>
    </row>
    <row r="516" ht="15.75" customHeight="1">
      <c r="A516" s="7" t="s">
        <v>2524</v>
      </c>
      <c r="B516" s="14" t="s">
        <v>966</v>
      </c>
      <c r="C516" s="14" t="s">
        <v>61</v>
      </c>
      <c r="D516" s="14" t="s">
        <v>46</v>
      </c>
      <c r="E516" s="14" t="s">
        <v>2525</v>
      </c>
      <c r="F516" s="9" t="s">
        <v>64</v>
      </c>
      <c r="G516" s="9" t="b">
        <v>0</v>
      </c>
      <c r="H516" s="9" t="s">
        <v>188</v>
      </c>
      <c r="I516" s="9">
        <v>4.0</v>
      </c>
      <c r="J516" s="9">
        <v>0.0</v>
      </c>
      <c r="K516" s="9">
        <v>1.5</v>
      </c>
    </row>
    <row r="517" ht="15.75" customHeight="1">
      <c r="A517" s="7" t="s">
        <v>2526</v>
      </c>
      <c r="B517" s="13" t="s">
        <v>967</v>
      </c>
      <c r="C517" s="14" t="s">
        <v>34</v>
      </c>
      <c r="D517" s="14" t="s">
        <v>46</v>
      </c>
      <c r="E517" s="14" t="s">
        <v>2527</v>
      </c>
      <c r="F517" s="9" t="s">
        <v>37</v>
      </c>
      <c r="G517" s="9" t="b">
        <v>0</v>
      </c>
      <c r="H517" s="9" t="s">
        <v>2528</v>
      </c>
      <c r="I517" s="9">
        <v>4.0</v>
      </c>
      <c r="J517" s="9">
        <v>0.0</v>
      </c>
      <c r="K517" s="9">
        <v>0.0</v>
      </c>
    </row>
    <row r="518" ht="15.75" customHeight="1">
      <c r="A518" s="7" t="s">
        <v>2529</v>
      </c>
      <c r="B518" s="14" t="s">
        <v>1120</v>
      </c>
      <c r="C518" s="14" t="s">
        <v>144</v>
      </c>
      <c r="D518" s="14" t="s">
        <v>46</v>
      </c>
      <c r="E518" s="14" t="s">
        <v>2530</v>
      </c>
      <c r="F518" s="9" t="s">
        <v>147</v>
      </c>
      <c r="G518" s="9" t="b">
        <v>0</v>
      </c>
      <c r="I518" s="9">
        <v>4.0</v>
      </c>
      <c r="J518" s="9">
        <v>0.0</v>
      </c>
      <c r="K518" s="9">
        <v>1.25</v>
      </c>
    </row>
    <row r="519" ht="15.75" customHeight="1">
      <c r="A519" s="7" t="s">
        <v>2531</v>
      </c>
      <c r="B519" s="13" t="s">
        <v>436</v>
      </c>
      <c r="C519" s="14" t="s">
        <v>169</v>
      </c>
      <c r="D519" s="14" t="s">
        <v>46</v>
      </c>
      <c r="E519" s="14" t="s">
        <v>2532</v>
      </c>
      <c r="F519" s="9" t="s">
        <v>94</v>
      </c>
      <c r="G519" s="9" t="b">
        <v>0</v>
      </c>
      <c r="H519" s="9" t="s">
        <v>188</v>
      </c>
      <c r="I519" s="9">
        <v>4.0</v>
      </c>
      <c r="J519" s="9">
        <v>0.0</v>
      </c>
      <c r="K519" s="9">
        <v>0.75</v>
      </c>
    </row>
    <row r="520" ht="15.75" customHeight="1">
      <c r="A520" s="7" t="s">
        <v>2533</v>
      </c>
      <c r="B520" s="13" t="s">
        <v>645</v>
      </c>
      <c r="C520" s="14" t="s">
        <v>34</v>
      </c>
      <c r="D520" s="14" t="s">
        <v>46</v>
      </c>
      <c r="E520" s="15"/>
      <c r="F520" s="9" t="s">
        <v>37</v>
      </c>
      <c r="G520" s="9" t="b">
        <v>0</v>
      </c>
      <c r="H520" s="9" t="s">
        <v>648</v>
      </c>
      <c r="I520" s="9">
        <v>4.0</v>
      </c>
      <c r="J520" s="9">
        <v>0.0</v>
      </c>
      <c r="K520" s="9">
        <v>0.0</v>
      </c>
    </row>
    <row r="521" ht="15.75" customHeight="1">
      <c r="A521" s="7" t="s">
        <v>2534</v>
      </c>
      <c r="B521" s="13" t="s">
        <v>972</v>
      </c>
      <c r="C521" s="14" t="s">
        <v>521</v>
      </c>
      <c r="D521" s="14" t="s">
        <v>46</v>
      </c>
      <c r="E521" s="14" t="s">
        <v>2535</v>
      </c>
      <c r="F521" s="9" t="s">
        <v>523</v>
      </c>
      <c r="G521" s="9" t="b">
        <v>0</v>
      </c>
      <c r="H521" s="9" t="s">
        <v>188</v>
      </c>
      <c r="I521" s="9">
        <v>4.0</v>
      </c>
      <c r="J521" s="9">
        <v>0.0</v>
      </c>
      <c r="K521" s="9">
        <v>0.5</v>
      </c>
    </row>
    <row r="522" ht="15.75" customHeight="1">
      <c r="A522" s="7" t="s">
        <v>2536</v>
      </c>
      <c r="B522" s="13" t="s">
        <v>817</v>
      </c>
      <c r="C522" s="14" t="s">
        <v>169</v>
      </c>
      <c r="D522" s="14" t="s">
        <v>35</v>
      </c>
      <c r="E522" s="15"/>
      <c r="F522" s="9" t="s">
        <v>94</v>
      </c>
      <c r="G522" s="9" t="b">
        <v>0</v>
      </c>
      <c r="H522" s="9" t="s">
        <v>2537</v>
      </c>
      <c r="I522" s="9">
        <v>4.0</v>
      </c>
      <c r="J522" s="9">
        <v>0.0</v>
      </c>
      <c r="K522" s="9">
        <v>1.75</v>
      </c>
    </row>
    <row r="523" ht="15.75" customHeight="1">
      <c r="A523" s="7" t="s">
        <v>2538</v>
      </c>
      <c r="B523" s="13" t="s">
        <v>973</v>
      </c>
      <c r="C523" s="14" t="s">
        <v>34</v>
      </c>
      <c r="D523" s="14" t="s">
        <v>46</v>
      </c>
      <c r="E523" s="14" t="s">
        <v>2539</v>
      </c>
      <c r="F523" s="9" t="s">
        <v>37</v>
      </c>
      <c r="G523" s="9" t="b">
        <v>0</v>
      </c>
      <c r="I523" s="9">
        <v>4.0</v>
      </c>
      <c r="J523" s="9">
        <v>0.0</v>
      </c>
      <c r="K523" s="9">
        <v>0.0</v>
      </c>
    </row>
    <row r="524" ht="15.75" customHeight="1">
      <c r="A524" s="7" t="s">
        <v>2540</v>
      </c>
      <c r="B524" s="13" t="s">
        <v>88</v>
      </c>
      <c r="C524" s="14" t="s">
        <v>235</v>
      </c>
      <c r="D524" s="14" t="s">
        <v>25</v>
      </c>
      <c r="E524" s="14" t="s">
        <v>2541</v>
      </c>
      <c r="F524" s="9" t="s">
        <v>237</v>
      </c>
      <c r="G524" s="9" t="b">
        <v>0</v>
      </c>
      <c r="H524" s="9" t="s">
        <v>181</v>
      </c>
      <c r="I524" s="9">
        <v>4.0</v>
      </c>
      <c r="J524" s="9">
        <v>0.0</v>
      </c>
      <c r="K524" s="9">
        <v>1.0</v>
      </c>
    </row>
    <row r="525" ht="15.75" customHeight="1">
      <c r="A525" s="7" t="s">
        <v>2542</v>
      </c>
      <c r="B525" s="13" t="s">
        <v>88</v>
      </c>
      <c r="C525" s="14" t="s">
        <v>235</v>
      </c>
      <c r="D525" s="14" t="s">
        <v>25</v>
      </c>
      <c r="E525" s="14" t="s">
        <v>2543</v>
      </c>
      <c r="F525" s="9" t="s">
        <v>237</v>
      </c>
      <c r="G525" s="9" t="b">
        <v>0</v>
      </c>
      <c r="H525" s="9" t="s">
        <v>2544</v>
      </c>
      <c r="I525" s="9">
        <v>4.0</v>
      </c>
      <c r="J525" s="9">
        <v>0.0</v>
      </c>
      <c r="K525" s="9">
        <v>1.75</v>
      </c>
    </row>
    <row r="526" ht="15.75" customHeight="1">
      <c r="A526" s="7" t="s">
        <v>2545</v>
      </c>
      <c r="B526" s="13" t="s">
        <v>1124</v>
      </c>
      <c r="C526" s="14" t="s">
        <v>1203</v>
      </c>
      <c r="D526" s="14" t="s">
        <v>270</v>
      </c>
      <c r="E526" s="14" t="s">
        <v>2546</v>
      </c>
      <c r="F526" s="9" t="s">
        <v>1205</v>
      </c>
      <c r="G526" s="9" t="b">
        <v>0</v>
      </c>
      <c r="H526" s="9" t="s">
        <v>1126</v>
      </c>
      <c r="I526" s="9">
        <v>4.0</v>
      </c>
      <c r="J526" s="9">
        <v>0.0</v>
      </c>
      <c r="K526" s="9">
        <v>2.0</v>
      </c>
    </row>
    <row r="527" ht="15.75" customHeight="1">
      <c r="A527" s="7" t="s">
        <v>2547</v>
      </c>
      <c r="B527" s="13" t="s">
        <v>876</v>
      </c>
      <c r="C527" s="14" t="s">
        <v>34</v>
      </c>
      <c r="D527" s="14" t="s">
        <v>46</v>
      </c>
      <c r="E527" s="14" t="s">
        <v>2548</v>
      </c>
      <c r="F527" s="9" t="s">
        <v>37</v>
      </c>
      <c r="G527" s="9" t="b">
        <v>0</v>
      </c>
      <c r="H527" s="9" t="s">
        <v>2549</v>
      </c>
      <c r="I527" s="9">
        <v>4.0</v>
      </c>
      <c r="J527" s="9">
        <v>0.0</v>
      </c>
      <c r="K527" s="9">
        <v>1.75</v>
      </c>
    </row>
    <row r="528" ht="15.75" customHeight="1">
      <c r="A528" s="7" t="s">
        <v>2550</v>
      </c>
      <c r="B528" s="13" t="s">
        <v>227</v>
      </c>
      <c r="C528" s="14" t="s">
        <v>34</v>
      </c>
      <c r="D528" s="14" t="s">
        <v>169</v>
      </c>
      <c r="E528" s="14" t="s">
        <v>498</v>
      </c>
      <c r="F528" s="9" t="s">
        <v>37</v>
      </c>
      <c r="G528" s="9" t="b">
        <v>0</v>
      </c>
      <c r="H528" s="9" t="s">
        <v>2551</v>
      </c>
      <c r="I528" s="9">
        <v>4.0</v>
      </c>
      <c r="J528" s="9">
        <v>0.0</v>
      </c>
      <c r="K528" s="9">
        <v>1.25</v>
      </c>
    </row>
    <row r="529" ht="15.75" customHeight="1">
      <c r="A529" s="7" t="s">
        <v>2552</v>
      </c>
      <c r="B529" s="13" t="s">
        <v>898</v>
      </c>
      <c r="C529" s="14" t="s">
        <v>34</v>
      </c>
      <c r="D529" s="14" t="s">
        <v>46</v>
      </c>
      <c r="E529" s="14" t="s">
        <v>2553</v>
      </c>
      <c r="F529" s="9" t="s">
        <v>37</v>
      </c>
      <c r="G529" s="9" t="b">
        <v>0</v>
      </c>
      <c r="H529" s="9" t="s">
        <v>2554</v>
      </c>
      <c r="I529" s="9">
        <v>4.0</v>
      </c>
      <c r="J529" s="9">
        <v>0.0</v>
      </c>
      <c r="K529" s="9">
        <v>1.25</v>
      </c>
    </row>
    <row r="530" ht="15.75" customHeight="1">
      <c r="A530" s="7" t="s">
        <v>2555</v>
      </c>
      <c r="B530" s="13" t="s">
        <v>15</v>
      </c>
      <c r="C530" s="14" t="s">
        <v>23</v>
      </c>
      <c r="D530" s="14" t="s">
        <v>46</v>
      </c>
      <c r="E530" s="14" t="s">
        <v>2556</v>
      </c>
      <c r="F530" s="9" t="s">
        <v>27</v>
      </c>
      <c r="G530" s="9" t="b">
        <v>0</v>
      </c>
      <c r="H530" s="9" t="s">
        <v>2557</v>
      </c>
      <c r="I530" s="9">
        <v>4.0</v>
      </c>
      <c r="J530" s="9">
        <v>0.0</v>
      </c>
      <c r="K530" s="9">
        <v>0.0</v>
      </c>
    </row>
    <row r="531" ht="15.75" customHeight="1">
      <c r="A531" s="7" t="s">
        <v>2558</v>
      </c>
      <c r="B531" s="13" t="s">
        <v>15</v>
      </c>
      <c r="C531" s="14" t="s">
        <v>23</v>
      </c>
      <c r="D531" s="14" t="s">
        <v>46</v>
      </c>
      <c r="E531" s="14" t="s">
        <v>2559</v>
      </c>
      <c r="F531" s="9" t="s">
        <v>27</v>
      </c>
      <c r="G531" s="9" t="b">
        <v>0</v>
      </c>
      <c r="H531" s="9" t="s">
        <v>2560</v>
      </c>
      <c r="I531" s="9">
        <v>4.0</v>
      </c>
      <c r="J531" s="9">
        <v>0.0</v>
      </c>
      <c r="K531" s="9">
        <v>0.25</v>
      </c>
    </row>
    <row r="532" ht="15.75" customHeight="1">
      <c r="A532" s="7" t="s">
        <v>2561</v>
      </c>
      <c r="B532" s="13" t="s">
        <v>15</v>
      </c>
      <c r="C532" s="14" t="s">
        <v>23</v>
      </c>
      <c r="D532" s="14" t="s">
        <v>46</v>
      </c>
      <c r="E532" s="14" t="s">
        <v>248</v>
      </c>
      <c r="F532" s="9" t="s">
        <v>27</v>
      </c>
      <c r="G532" s="9" t="b">
        <v>0</v>
      </c>
      <c r="H532" s="9" t="s">
        <v>2562</v>
      </c>
      <c r="I532" s="9">
        <v>4.0</v>
      </c>
      <c r="J532" s="9">
        <v>0.0</v>
      </c>
      <c r="K532" s="9">
        <v>0.0</v>
      </c>
    </row>
    <row r="533" ht="15.75" customHeight="1">
      <c r="A533" s="7" t="s">
        <v>2563</v>
      </c>
      <c r="B533" s="13" t="s">
        <v>15</v>
      </c>
      <c r="C533" s="14" t="s">
        <v>34</v>
      </c>
      <c r="D533" s="14" t="s">
        <v>46</v>
      </c>
      <c r="E533" s="14" t="s">
        <v>2564</v>
      </c>
      <c r="F533" s="9" t="s">
        <v>37</v>
      </c>
      <c r="G533" s="9" t="b">
        <v>0</v>
      </c>
      <c r="H533" s="9" t="s">
        <v>2565</v>
      </c>
      <c r="I533" s="9">
        <v>4.0</v>
      </c>
      <c r="J533" s="9">
        <v>0.0</v>
      </c>
      <c r="K533" s="9">
        <v>0.0</v>
      </c>
    </row>
    <row r="534" ht="15.75" customHeight="1">
      <c r="A534" s="7" t="s">
        <v>2566</v>
      </c>
      <c r="B534" s="13" t="s">
        <v>977</v>
      </c>
      <c r="C534" s="14" t="s">
        <v>34</v>
      </c>
      <c r="D534" s="14" t="s">
        <v>169</v>
      </c>
      <c r="E534" s="14" t="s">
        <v>2567</v>
      </c>
      <c r="F534" s="9" t="s">
        <v>37</v>
      </c>
      <c r="G534" s="9" t="b">
        <v>0</v>
      </c>
      <c r="H534" s="9" t="s">
        <v>2568</v>
      </c>
      <c r="I534" s="9">
        <v>4.0</v>
      </c>
      <c r="J534" s="9">
        <v>0.0</v>
      </c>
      <c r="K534" s="9">
        <v>0.5</v>
      </c>
    </row>
    <row r="535" ht="15.75" customHeight="1">
      <c r="A535" s="7" t="s">
        <v>2569</v>
      </c>
      <c r="B535" s="13" t="s">
        <v>380</v>
      </c>
      <c r="C535" s="14" t="s">
        <v>34</v>
      </c>
      <c r="D535" s="14" t="s">
        <v>62</v>
      </c>
      <c r="E535" s="14" t="s">
        <v>2570</v>
      </c>
      <c r="F535" s="9" t="s">
        <v>37</v>
      </c>
      <c r="G535" s="9" t="b">
        <v>0</v>
      </c>
      <c r="I535" s="9">
        <v>4.0</v>
      </c>
      <c r="J535" s="9">
        <v>0.0</v>
      </c>
      <c r="K535" s="9">
        <v>0.0</v>
      </c>
    </row>
    <row r="536" ht="15.75" customHeight="1">
      <c r="A536" s="7" t="s">
        <v>2571</v>
      </c>
      <c r="B536" s="13" t="s">
        <v>326</v>
      </c>
      <c r="C536" s="14" t="s">
        <v>61</v>
      </c>
      <c r="D536" s="14" t="s">
        <v>62</v>
      </c>
      <c r="E536" s="14" t="s">
        <v>2572</v>
      </c>
      <c r="F536" s="9" t="s">
        <v>64</v>
      </c>
      <c r="G536" s="9" t="b">
        <v>0</v>
      </c>
      <c r="H536" s="9" t="s">
        <v>2573</v>
      </c>
      <c r="I536" s="9">
        <v>4.0</v>
      </c>
      <c r="J536" s="9">
        <v>0.0</v>
      </c>
      <c r="K536" s="9">
        <v>0.0</v>
      </c>
    </row>
    <row r="537" ht="15.75" customHeight="1">
      <c r="A537" s="7" t="s">
        <v>2574</v>
      </c>
      <c r="B537" s="13" t="s">
        <v>326</v>
      </c>
      <c r="C537" s="14" t="s">
        <v>34</v>
      </c>
      <c r="D537" s="14" t="s">
        <v>62</v>
      </c>
      <c r="E537" s="14" t="s">
        <v>2575</v>
      </c>
      <c r="F537" s="9" t="s">
        <v>37</v>
      </c>
      <c r="G537" s="9" t="b">
        <v>0</v>
      </c>
      <c r="I537" s="9">
        <v>4.0</v>
      </c>
      <c r="J537" s="9">
        <v>0.0</v>
      </c>
      <c r="K537" s="9">
        <v>1.75</v>
      </c>
    </row>
    <row r="538" ht="15.75" customHeight="1">
      <c r="A538" s="7" t="s">
        <v>2576</v>
      </c>
      <c r="B538" s="13" t="s">
        <v>353</v>
      </c>
      <c r="C538" s="14" t="s">
        <v>309</v>
      </c>
      <c r="D538" s="14" t="s">
        <v>270</v>
      </c>
      <c r="E538" s="14" t="s">
        <v>2577</v>
      </c>
      <c r="F538" s="9" t="s">
        <v>311</v>
      </c>
      <c r="G538" s="9" t="b">
        <v>0</v>
      </c>
      <c r="I538" s="9">
        <v>4.0</v>
      </c>
      <c r="J538" s="9">
        <v>0.0</v>
      </c>
      <c r="K538" s="9">
        <v>2.25</v>
      </c>
    </row>
    <row r="539" ht="15.75" customHeight="1">
      <c r="A539" s="7" t="s">
        <v>2578</v>
      </c>
      <c r="B539" s="13" t="s">
        <v>979</v>
      </c>
      <c r="C539" s="14" t="s">
        <v>34</v>
      </c>
      <c r="D539" s="14" t="s">
        <v>270</v>
      </c>
      <c r="E539" s="14" t="s">
        <v>2579</v>
      </c>
      <c r="F539" s="9" t="s">
        <v>37</v>
      </c>
      <c r="G539" s="9" t="b">
        <v>0</v>
      </c>
      <c r="H539" s="9" t="s">
        <v>2580</v>
      </c>
      <c r="I539" s="9">
        <v>4.0</v>
      </c>
      <c r="J539" s="9">
        <v>0.0</v>
      </c>
      <c r="K539" s="9">
        <v>0.25</v>
      </c>
    </row>
    <row r="540" ht="15.75" customHeight="1">
      <c r="A540" s="7" t="s">
        <v>2581</v>
      </c>
      <c r="B540" s="13" t="s">
        <v>984</v>
      </c>
      <c r="C540" s="14" t="s">
        <v>169</v>
      </c>
      <c r="D540" s="14" t="s">
        <v>62</v>
      </c>
      <c r="E540" s="14" t="s">
        <v>2582</v>
      </c>
      <c r="F540" s="9" t="s">
        <v>94</v>
      </c>
      <c r="G540" s="9" t="b">
        <v>0</v>
      </c>
      <c r="H540" s="9" t="s">
        <v>2583</v>
      </c>
      <c r="I540" s="9">
        <v>4.0</v>
      </c>
      <c r="J540" s="9">
        <v>0.0</v>
      </c>
      <c r="K540" s="9">
        <v>0.0</v>
      </c>
    </row>
    <row r="541" ht="15.75" customHeight="1">
      <c r="A541" s="7" t="s">
        <v>2584</v>
      </c>
      <c r="B541" s="13" t="s">
        <v>175</v>
      </c>
      <c r="C541" s="14" t="s">
        <v>34</v>
      </c>
      <c r="D541" s="14" t="s">
        <v>270</v>
      </c>
      <c r="E541" s="14" t="s">
        <v>2585</v>
      </c>
      <c r="F541" s="9" t="s">
        <v>37</v>
      </c>
      <c r="G541" s="9" t="b">
        <v>0</v>
      </c>
      <c r="H541" s="9" t="s">
        <v>2586</v>
      </c>
      <c r="I541" s="9">
        <v>4.0</v>
      </c>
      <c r="J541" s="9">
        <v>0.0</v>
      </c>
      <c r="K541" s="9">
        <v>0.0</v>
      </c>
    </row>
    <row r="542" ht="15.75" customHeight="1">
      <c r="A542" s="7" t="s">
        <v>2587</v>
      </c>
      <c r="B542" s="13" t="s">
        <v>892</v>
      </c>
      <c r="C542" s="14" t="s">
        <v>1203</v>
      </c>
      <c r="D542" s="14" t="s">
        <v>46</v>
      </c>
      <c r="E542" s="14" t="s">
        <v>2588</v>
      </c>
      <c r="F542" s="9" t="s">
        <v>1205</v>
      </c>
      <c r="G542" s="9" t="b">
        <v>0</v>
      </c>
      <c r="H542" s="9" t="s">
        <v>482</v>
      </c>
      <c r="I542" s="9">
        <v>4.0</v>
      </c>
      <c r="J542" s="9">
        <v>0.0</v>
      </c>
      <c r="K542" s="9">
        <v>1.75</v>
      </c>
    </row>
    <row r="543" ht="15.75" customHeight="1">
      <c r="A543" s="7" t="s">
        <v>2589</v>
      </c>
      <c r="B543" s="13" t="s">
        <v>52</v>
      </c>
      <c r="C543" s="14" t="s">
        <v>34</v>
      </c>
      <c r="D543" s="14" t="s">
        <v>46</v>
      </c>
      <c r="E543" s="14" t="s">
        <v>2590</v>
      </c>
      <c r="F543" s="9" t="s">
        <v>37</v>
      </c>
      <c r="G543" s="9" t="b">
        <v>0</v>
      </c>
      <c r="H543" s="9" t="s">
        <v>1178</v>
      </c>
      <c r="I543" s="9">
        <v>4.0</v>
      </c>
      <c r="J543" s="9">
        <v>0.0</v>
      </c>
      <c r="K543" s="9">
        <v>0.25</v>
      </c>
    </row>
    <row r="544" ht="15.75" customHeight="1">
      <c r="A544" s="7" t="s">
        <v>2591</v>
      </c>
      <c r="B544" s="13" t="s">
        <v>277</v>
      </c>
      <c r="C544" s="14" t="s">
        <v>169</v>
      </c>
      <c r="D544" s="14" t="s">
        <v>169</v>
      </c>
      <c r="E544" s="15"/>
      <c r="F544" s="9" t="s">
        <v>94</v>
      </c>
      <c r="H544" s="9" t="s">
        <v>172</v>
      </c>
      <c r="I544" s="9">
        <v>3.0</v>
      </c>
      <c r="J544" s="9">
        <v>0.0</v>
      </c>
      <c r="K544" s="9">
        <v>0.0</v>
      </c>
    </row>
    <row r="545" ht="15.75" customHeight="1">
      <c r="A545" s="7" t="s">
        <v>2592</v>
      </c>
      <c r="B545" s="13" t="s">
        <v>1013</v>
      </c>
      <c r="C545" s="14" t="s">
        <v>34</v>
      </c>
      <c r="D545" s="14" t="s">
        <v>46</v>
      </c>
      <c r="E545" s="14" t="s">
        <v>2593</v>
      </c>
      <c r="F545" s="9" t="s">
        <v>37</v>
      </c>
      <c r="G545" s="9" t="b">
        <v>0</v>
      </c>
      <c r="H545" s="9" t="s">
        <v>2594</v>
      </c>
      <c r="I545" s="9">
        <v>3.0</v>
      </c>
      <c r="J545" s="9">
        <v>0.0</v>
      </c>
      <c r="K545" s="9">
        <v>9.33</v>
      </c>
    </row>
    <row r="546" ht="15.75" customHeight="1">
      <c r="A546" s="7" t="s">
        <v>2595</v>
      </c>
      <c r="B546" s="13" t="s">
        <v>22</v>
      </c>
      <c r="C546" s="14" t="s">
        <v>169</v>
      </c>
      <c r="D546" s="14" t="s">
        <v>46</v>
      </c>
      <c r="E546" s="14" t="s">
        <v>2596</v>
      </c>
      <c r="F546" s="9" t="s">
        <v>94</v>
      </c>
      <c r="G546" s="9" t="b">
        <v>0</v>
      </c>
      <c r="H546" s="9" t="s">
        <v>2358</v>
      </c>
      <c r="I546" s="9">
        <v>3.0</v>
      </c>
      <c r="J546" s="9">
        <v>0.0</v>
      </c>
      <c r="K546" s="9">
        <v>0.0</v>
      </c>
    </row>
    <row r="547" ht="15.75" customHeight="1">
      <c r="A547" s="7" t="s">
        <v>2597</v>
      </c>
      <c r="B547" s="13" t="s">
        <v>22</v>
      </c>
      <c r="C547" s="14" t="s">
        <v>23</v>
      </c>
      <c r="D547" s="14" t="s">
        <v>46</v>
      </c>
      <c r="E547" s="14" t="s">
        <v>2598</v>
      </c>
      <c r="F547" s="9" t="s">
        <v>27</v>
      </c>
      <c r="G547" s="9" t="b">
        <v>0</v>
      </c>
      <c r="H547" s="9" t="s">
        <v>2599</v>
      </c>
      <c r="I547" s="9">
        <v>3.0</v>
      </c>
      <c r="J547" s="9">
        <v>0.0</v>
      </c>
      <c r="K547" s="9">
        <v>0.0</v>
      </c>
    </row>
    <row r="548" ht="15.75" customHeight="1">
      <c r="A548" s="7" t="s">
        <v>2600</v>
      </c>
      <c r="B548" s="13" t="s">
        <v>22</v>
      </c>
      <c r="C548" s="14" t="s">
        <v>169</v>
      </c>
      <c r="D548" s="14" t="s">
        <v>46</v>
      </c>
      <c r="E548" s="14" t="s">
        <v>2601</v>
      </c>
      <c r="F548" s="9" t="s">
        <v>94</v>
      </c>
      <c r="G548" s="9" t="b">
        <v>0</v>
      </c>
      <c r="H548" s="9" t="s">
        <v>2602</v>
      </c>
      <c r="I548" s="9">
        <v>3.0</v>
      </c>
      <c r="J548" s="9">
        <v>0.0</v>
      </c>
      <c r="K548" s="9">
        <v>0.0</v>
      </c>
    </row>
    <row r="549" ht="15.75" customHeight="1">
      <c r="A549" s="7" t="s">
        <v>2603</v>
      </c>
      <c r="B549" s="13" t="s">
        <v>22</v>
      </c>
      <c r="C549" s="14" t="s">
        <v>169</v>
      </c>
      <c r="D549" s="14" t="s">
        <v>46</v>
      </c>
      <c r="E549" s="14" t="s">
        <v>2604</v>
      </c>
      <c r="F549" s="9" t="s">
        <v>94</v>
      </c>
      <c r="G549" s="9" t="b">
        <v>0</v>
      </c>
      <c r="H549" s="9" t="s">
        <v>2599</v>
      </c>
      <c r="I549" s="9">
        <v>3.0</v>
      </c>
      <c r="J549" s="9">
        <v>0.0</v>
      </c>
      <c r="K549" s="9">
        <v>0.0</v>
      </c>
    </row>
    <row r="550" ht="15.75" customHeight="1">
      <c r="A550" s="7" t="s">
        <v>2605</v>
      </c>
      <c r="B550" s="13" t="s">
        <v>22</v>
      </c>
      <c r="C550" s="14" t="s">
        <v>23</v>
      </c>
      <c r="D550" s="14" t="s">
        <v>46</v>
      </c>
      <c r="E550" s="14" t="s">
        <v>2606</v>
      </c>
      <c r="F550" s="9" t="s">
        <v>27</v>
      </c>
      <c r="G550" s="9" t="b">
        <v>0</v>
      </c>
      <c r="H550" s="9" t="s">
        <v>2607</v>
      </c>
      <c r="I550" s="9">
        <v>3.0</v>
      </c>
      <c r="J550" s="9">
        <v>0.0</v>
      </c>
      <c r="K550" s="9">
        <v>0.0</v>
      </c>
    </row>
    <row r="551" ht="15.75" customHeight="1">
      <c r="A551" s="7" t="s">
        <v>2608</v>
      </c>
      <c r="B551" s="13" t="s">
        <v>1218</v>
      </c>
      <c r="C551" s="14" t="s">
        <v>34</v>
      </c>
      <c r="D551" s="14" t="s">
        <v>46</v>
      </c>
      <c r="E551" s="14" t="s">
        <v>2609</v>
      </c>
      <c r="F551" s="9" t="s">
        <v>37</v>
      </c>
      <c r="G551" s="9" t="b">
        <v>0</v>
      </c>
      <c r="H551" s="9" t="s">
        <v>2610</v>
      </c>
      <c r="I551" s="9">
        <v>3.0</v>
      </c>
      <c r="J551" s="9">
        <v>0.0</v>
      </c>
      <c r="K551" s="9">
        <v>2.0</v>
      </c>
    </row>
    <row r="552" ht="15.75" customHeight="1">
      <c r="A552" s="7" t="s">
        <v>2611</v>
      </c>
      <c r="B552" s="14" t="s">
        <v>1029</v>
      </c>
      <c r="C552" s="14" t="s">
        <v>144</v>
      </c>
      <c r="D552" s="14" t="s">
        <v>46</v>
      </c>
      <c r="E552" s="14" t="s">
        <v>2612</v>
      </c>
      <c r="F552" s="9" t="s">
        <v>147</v>
      </c>
      <c r="G552" s="9" t="b">
        <v>0</v>
      </c>
      <c r="H552" s="9" t="s">
        <v>2613</v>
      </c>
      <c r="I552" s="9">
        <v>3.0</v>
      </c>
      <c r="J552" s="9">
        <v>0.0</v>
      </c>
      <c r="K552" s="9">
        <v>1.0</v>
      </c>
    </row>
    <row r="553" ht="15.75" customHeight="1">
      <c r="A553" s="7" t="s">
        <v>2614</v>
      </c>
      <c r="B553" s="13" t="s">
        <v>1229</v>
      </c>
      <c r="C553" s="14" t="s">
        <v>521</v>
      </c>
      <c r="D553" s="14" t="s">
        <v>46</v>
      </c>
      <c r="E553" s="14" t="s">
        <v>2615</v>
      </c>
      <c r="F553" s="9" t="s">
        <v>523</v>
      </c>
      <c r="G553" s="9" t="b">
        <v>0</v>
      </c>
      <c r="I553" s="9">
        <v>3.0</v>
      </c>
      <c r="J553" s="9">
        <v>0.0</v>
      </c>
      <c r="K553" s="9">
        <v>1.33</v>
      </c>
    </row>
    <row r="554" ht="15.75" customHeight="1">
      <c r="A554" s="7" t="s">
        <v>2616</v>
      </c>
      <c r="B554" s="13" t="s">
        <v>390</v>
      </c>
      <c r="C554" s="14" t="s">
        <v>61</v>
      </c>
      <c r="D554" s="14" t="s">
        <v>46</v>
      </c>
      <c r="E554" s="14" t="s">
        <v>2617</v>
      </c>
      <c r="F554" s="9" t="s">
        <v>64</v>
      </c>
      <c r="G554" s="9" t="b">
        <v>0</v>
      </c>
      <c r="H554" s="9" t="s">
        <v>2618</v>
      </c>
      <c r="I554" s="9">
        <v>3.0</v>
      </c>
      <c r="J554" s="9">
        <v>0.0</v>
      </c>
      <c r="K554" s="9">
        <v>0.0</v>
      </c>
    </row>
    <row r="555" ht="15.75" customHeight="1">
      <c r="A555" s="7" t="s">
        <v>2619</v>
      </c>
      <c r="B555" s="13" t="s">
        <v>282</v>
      </c>
      <c r="C555" s="14" t="s">
        <v>34</v>
      </c>
      <c r="D555" s="14" t="s">
        <v>46</v>
      </c>
      <c r="E555" s="14" t="s">
        <v>2620</v>
      </c>
      <c r="F555" s="9" t="s">
        <v>37</v>
      </c>
      <c r="G555" s="9" t="b">
        <v>0</v>
      </c>
      <c r="H555" s="9" t="s">
        <v>2621</v>
      </c>
      <c r="I555" s="9">
        <v>3.0</v>
      </c>
      <c r="J555" s="9">
        <v>0.0</v>
      </c>
      <c r="K555" s="9">
        <v>1.0</v>
      </c>
    </row>
    <row r="556" ht="15.75" customHeight="1">
      <c r="A556" s="7" t="s">
        <v>2622</v>
      </c>
      <c r="B556" s="13" t="s">
        <v>277</v>
      </c>
      <c r="C556" s="14" t="s">
        <v>144</v>
      </c>
      <c r="D556" s="14" t="s">
        <v>169</v>
      </c>
      <c r="E556" s="14" t="s">
        <v>2623</v>
      </c>
      <c r="F556" s="9" t="s">
        <v>147</v>
      </c>
      <c r="G556" s="9" t="b">
        <v>0</v>
      </c>
      <c r="H556" s="9" t="s">
        <v>2624</v>
      </c>
      <c r="I556" s="9">
        <v>3.0</v>
      </c>
      <c r="J556" s="9">
        <v>0.0</v>
      </c>
      <c r="K556" s="9">
        <v>0.0</v>
      </c>
    </row>
    <row r="557" ht="15.75" customHeight="1">
      <c r="A557" s="7" t="s">
        <v>2625</v>
      </c>
      <c r="B557" s="13" t="s">
        <v>1040</v>
      </c>
      <c r="C557" s="14" t="s">
        <v>144</v>
      </c>
      <c r="D557" s="14" t="s">
        <v>46</v>
      </c>
      <c r="E557" s="14" t="s">
        <v>2626</v>
      </c>
      <c r="F557" s="9" t="s">
        <v>147</v>
      </c>
      <c r="G557" s="9" t="b">
        <v>0</v>
      </c>
      <c r="I557" s="9">
        <v>3.0</v>
      </c>
      <c r="J557" s="9">
        <v>0.0</v>
      </c>
      <c r="K557" s="9">
        <v>0.0</v>
      </c>
    </row>
    <row r="558" ht="15.75" customHeight="1">
      <c r="A558" s="7" t="s">
        <v>2627</v>
      </c>
      <c r="B558" s="13" t="s">
        <v>394</v>
      </c>
      <c r="C558" s="14" t="s">
        <v>34</v>
      </c>
      <c r="D558" s="14" t="s">
        <v>270</v>
      </c>
      <c r="E558" s="14" t="s">
        <v>2628</v>
      </c>
      <c r="F558" s="9" t="s">
        <v>37</v>
      </c>
      <c r="G558" s="9" t="b">
        <v>0</v>
      </c>
      <c r="H558" s="9" t="s">
        <v>2629</v>
      </c>
      <c r="I558" s="9">
        <v>3.0</v>
      </c>
      <c r="J558" s="9">
        <v>0.0</v>
      </c>
      <c r="K558" s="9">
        <v>1.67</v>
      </c>
    </row>
    <row r="559" ht="15.75" customHeight="1">
      <c r="A559" s="7" t="s">
        <v>2630</v>
      </c>
      <c r="B559" s="13" t="s">
        <v>19</v>
      </c>
      <c r="C559" s="14" t="s">
        <v>23</v>
      </c>
      <c r="D559" s="14" t="s">
        <v>46</v>
      </c>
      <c r="E559" s="14" t="s">
        <v>2631</v>
      </c>
      <c r="F559" s="9" t="s">
        <v>27</v>
      </c>
      <c r="G559" s="9" t="b">
        <v>0</v>
      </c>
      <c r="H559" s="9" t="s">
        <v>2632</v>
      </c>
      <c r="I559" s="9">
        <v>3.0</v>
      </c>
      <c r="J559" s="9">
        <v>0.0</v>
      </c>
      <c r="K559" s="9">
        <v>0.0</v>
      </c>
    </row>
    <row r="560" ht="15.75" customHeight="1">
      <c r="A560" s="7" t="s">
        <v>2633</v>
      </c>
      <c r="B560" s="13" t="s">
        <v>19</v>
      </c>
      <c r="C560" s="14" t="s">
        <v>23</v>
      </c>
      <c r="D560" s="14" t="s">
        <v>46</v>
      </c>
      <c r="E560" s="14" t="s">
        <v>2634</v>
      </c>
      <c r="F560" s="9" t="s">
        <v>27</v>
      </c>
      <c r="G560" s="9" t="b">
        <v>0</v>
      </c>
      <c r="H560" s="9" t="s">
        <v>2635</v>
      </c>
      <c r="I560" s="9">
        <v>3.0</v>
      </c>
      <c r="J560" s="9">
        <v>0.0</v>
      </c>
      <c r="K560" s="9">
        <v>0.33</v>
      </c>
    </row>
    <row r="561" ht="15.75" customHeight="1">
      <c r="A561" s="7" t="s">
        <v>2636</v>
      </c>
      <c r="B561" s="13" t="s">
        <v>19</v>
      </c>
      <c r="C561" s="14" t="s">
        <v>169</v>
      </c>
      <c r="D561" s="14" t="s">
        <v>46</v>
      </c>
      <c r="E561" s="14" t="s">
        <v>2637</v>
      </c>
      <c r="F561" s="9" t="s">
        <v>94</v>
      </c>
      <c r="G561" s="9" t="b">
        <v>0</v>
      </c>
      <c r="H561" s="9" t="s">
        <v>2638</v>
      </c>
      <c r="I561" s="9">
        <v>3.0</v>
      </c>
      <c r="J561" s="9">
        <v>0.0</v>
      </c>
      <c r="K561" s="9">
        <v>2.0</v>
      </c>
    </row>
    <row r="562" ht="15.75" customHeight="1">
      <c r="A562" s="7" t="s">
        <v>2639</v>
      </c>
      <c r="B562" s="13" t="s">
        <v>1044</v>
      </c>
      <c r="C562" s="14" t="s">
        <v>169</v>
      </c>
      <c r="D562" s="14" t="s">
        <v>46</v>
      </c>
      <c r="E562" s="14" t="s">
        <v>2640</v>
      </c>
      <c r="F562" s="9" t="s">
        <v>94</v>
      </c>
      <c r="G562" s="9" t="b">
        <v>0</v>
      </c>
      <c r="I562" s="9">
        <v>3.0</v>
      </c>
      <c r="J562" s="9">
        <v>0.0</v>
      </c>
      <c r="K562" s="9">
        <v>0.33</v>
      </c>
    </row>
    <row r="563" ht="15.75" customHeight="1">
      <c r="A563" s="7" t="s">
        <v>2641</v>
      </c>
      <c r="B563" s="13" t="s">
        <v>70</v>
      </c>
      <c r="C563" s="14" t="s">
        <v>23</v>
      </c>
      <c r="D563" s="14" t="s">
        <v>46</v>
      </c>
      <c r="E563" s="14" t="s">
        <v>2642</v>
      </c>
      <c r="F563" s="9" t="s">
        <v>27</v>
      </c>
      <c r="G563" s="9" t="b">
        <v>0</v>
      </c>
      <c r="H563" s="9" t="s">
        <v>1849</v>
      </c>
      <c r="I563" s="9">
        <v>3.0</v>
      </c>
      <c r="J563" s="9">
        <v>0.0</v>
      </c>
      <c r="K563" s="9">
        <v>0.0</v>
      </c>
    </row>
    <row r="564" ht="15.75" customHeight="1">
      <c r="A564" s="7" t="s">
        <v>2643</v>
      </c>
      <c r="B564" s="13" t="s">
        <v>930</v>
      </c>
      <c r="C564" s="14" t="s">
        <v>144</v>
      </c>
      <c r="D564" s="14" t="s">
        <v>46</v>
      </c>
      <c r="E564" s="14" t="s">
        <v>2644</v>
      </c>
      <c r="F564" s="9" t="s">
        <v>147</v>
      </c>
      <c r="G564" s="9" t="b">
        <v>0</v>
      </c>
      <c r="I564" s="9">
        <v>3.0</v>
      </c>
      <c r="J564" s="9">
        <v>0.0</v>
      </c>
      <c r="K564" s="9">
        <v>0.67</v>
      </c>
    </row>
    <row r="565" ht="15.75" customHeight="1">
      <c r="A565" s="7" t="s">
        <v>2645</v>
      </c>
      <c r="B565" s="13" t="s">
        <v>756</v>
      </c>
      <c r="C565" s="14" t="s">
        <v>34</v>
      </c>
      <c r="D565" s="14" t="s">
        <v>35</v>
      </c>
      <c r="E565" s="14" t="s">
        <v>2646</v>
      </c>
      <c r="F565" s="9" t="s">
        <v>37</v>
      </c>
      <c r="G565" s="9" t="b">
        <v>0</v>
      </c>
      <c r="H565" s="9" t="s">
        <v>2647</v>
      </c>
      <c r="I565" s="9">
        <v>3.0</v>
      </c>
      <c r="J565" s="9">
        <v>0.0</v>
      </c>
      <c r="K565" s="9">
        <v>1.33</v>
      </c>
    </row>
    <row r="566" ht="15.75" customHeight="1">
      <c r="A566" s="7" t="s">
        <v>2648</v>
      </c>
      <c r="B566" s="13" t="s">
        <v>51</v>
      </c>
      <c r="C566" s="14" t="s">
        <v>144</v>
      </c>
      <c r="D566" s="14" t="s">
        <v>35</v>
      </c>
      <c r="E566" s="14" t="s">
        <v>2649</v>
      </c>
      <c r="F566" s="9" t="s">
        <v>147</v>
      </c>
      <c r="G566" s="9" t="b">
        <v>0</v>
      </c>
      <c r="H566" s="9" t="s">
        <v>1139</v>
      </c>
      <c r="I566" s="9">
        <v>3.0</v>
      </c>
      <c r="J566" s="9">
        <v>0.0</v>
      </c>
      <c r="K566" s="9">
        <v>0.67</v>
      </c>
    </row>
    <row r="567" ht="15.75" customHeight="1">
      <c r="A567" s="7" t="s">
        <v>2650</v>
      </c>
      <c r="B567" s="13" t="s">
        <v>1048</v>
      </c>
      <c r="C567" s="14" t="s">
        <v>144</v>
      </c>
      <c r="D567" s="14" t="s">
        <v>46</v>
      </c>
      <c r="E567" s="14" t="s">
        <v>2651</v>
      </c>
      <c r="F567" s="9" t="s">
        <v>147</v>
      </c>
      <c r="G567" s="9" t="b">
        <v>0</v>
      </c>
      <c r="H567" s="9" t="s">
        <v>799</v>
      </c>
      <c r="I567" s="9">
        <v>3.0</v>
      </c>
      <c r="J567" s="9">
        <v>0.0</v>
      </c>
      <c r="K567" s="9">
        <v>2.33</v>
      </c>
    </row>
    <row r="568" ht="15.75" customHeight="1">
      <c r="A568" s="7" t="s">
        <v>2652</v>
      </c>
      <c r="B568" s="14" t="s">
        <v>1261</v>
      </c>
      <c r="C568" s="14" t="s">
        <v>23</v>
      </c>
      <c r="D568" s="14" t="s">
        <v>46</v>
      </c>
      <c r="E568" s="14" t="s">
        <v>2653</v>
      </c>
      <c r="F568" s="9" t="s">
        <v>27</v>
      </c>
      <c r="G568" s="9" t="b">
        <v>0</v>
      </c>
      <c r="I568" s="9">
        <v>3.0</v>
      </c>
      <c r="J568" s="9">
        <v>0.0</v>
      </c>
      <c r="K568" s="9">
        <v>0.33</v>
      </c>
    </row>
    <row r="569" ht="15.75" customHeight="1">
      <c r="A569" s="7" t="s">
        <v>2654</v>
      </c>
      <c r="B569" s="13" t="s">
        <v>1059</v>
      </c>
      <c r="C569" s="14" t="s">
        <v>61</v>
      </c>
      <c r="D569" s="14" t="s">
        <v>46</v>
      </c>
      <c r="E569" s="15"/>
      <c r="F569" s="9" t="s">
        <v>64</v>
      </c>
      <c r="G569" s="9" t="b">
        <v>0</v>
      </c>
      <c r="I569" s="9">
        <v>3.0</v>
      </c>
      <c r="J569" s="9">
        <v>0.0</v>
      </c>
      <c r="K569" s="9">
        <v>1.0</v>
      </c>
    </row>
    <row r="570" ht="15.75" customHeight="1">
      <c r="A570" s="7" t="s">
        <v>2655</v>
      </c>
      <c r="B570" s="13" t="s">
        <v>1061</v>
      </c>
      <c r="C570" s="14" t="s">
        <v>34</v>
      </c>
      <c r="D570" s="14" t="s">
        <v>46</v>
      </c>
      <c r="E570" s="14" t="s">
        <v>2656</v>
      </c>
      <c r="F570" s="9" t="s">
        <v>37</v>
      </c>
      <c r="G570" s="9" t="b">
        <v>0</v>
      </c>
      <c r="H570" s="9" t="s">
        <v>2657</v>
      </c>
      <c r="I570" s="9">
        <v>3.0</v>
      </c>
      <c r="J570" s="9">
        <v>0.0</v>
      </c>
      <c r="K570" s="9">
        <v>0.0</v>
      </c>
    </row>
    <row r="571" ht="15.75" customHeight="1">
      <c r="A571" s="7" t="s">
        <v>2658</v>
      </c>
      <c r="B571" s="13" t="s">
        <v>1008</v>
      </c>
      <c r="C571" s="14" t="s">
        <v>34</v>
      </c>
      <c r="D571" s="14" t="s">
        <v>46</v>
      </c>
      <c r="E571" s="14" t="s">
        <v>2659</v>
      </c>
      <c r="F571" s="9" t="s">
        <v>37</v>
      </c>
      <c r="G571" s="9" t="b">
        <v>0</v>
      </c>
      <c r="I571" s="9">
        <v>3.0</v>
      </c>
      <c r="J571" s="9">
        <v>0.0</v>
      </c>
      <c r="K571" s="9">
        <v>2.33</v>
      </c>
    </row>
    <row r="572" ht="15.75" customHeight="1">
      <c r="A572" s="7" t="s">
        <v>2660</v>
      </c>
      <c r="B572" s="13" t="s">
        <v>456</v>
      </c>
      <c r="C572" s="14" t="s">
        <v>144</v>
      </c>
      <c r="D572" s="14" t="s">
        <v>46</v>
      </c>
      <c r="E572" s="14" t="s">
        <v>2661</v>
      </c>
      <c r="F572" s="9" t="s">
        <v>147</v>
      </c>
      <c r="G572" s="9" t="b">
        <v>0</v>
      </c>
      <c r="H572" s="9" t="s">
        <v>382</v>
      </c>
      <c r="I572" s="9">
        <v>3.0</v>
      </c>
      <c r="J572" s="9">
        <v>0.0</v>
      </c>
      <c r="K572" s="9">
        <v>1.0</v>
      </c>
    </row>
    <row r="573" ht="15.75" customHeight="1">
      <c r="A573" s="7" t="s">
        <v>2662</v>
      </c>
      <c r="B573" s="13" t="s">
        <v>1071</v>
      </c>
      <c r="C573" s="14" t="s">
        <v>169</v>
      </c>
      <c r="D573" s="14" t="s">
        <v>169</v>
      </c>
      <c r="E573" s="15"/>
      <c r="F573" s="9" t="s">
        <v>94</v>
      </c>
      <c r="H573" s="9" t="s">
        <v>172</v>
      </c>
      <c r="I573" s="9">
        <v>3.0</v>
      </c>
      <c r="J573" s="9">
        <v>0.0</v>
      </c>
      <c r="K573" s="9">
        <v>1.33</v>
      </c>
    </row>
    <row r="574" ht="15.75" customHeight="1">
      <c r="A574" s="7" t="s">
        <v>2663</v>
      </c>
      <c r="B574" s="13" t="s">
        <v>79</v>
      </c>
      <c r="C574" s="14" t="s">
        <v>144</v>
      </c>
      <c r="D574" s="14" t="s">
        <v>35</v>
      </c>
      <c r="E574" s="14" t="s">
        <v>2664</v>
      </c>
      <c r="F574" s="9" t="s">
        <v>147</v>
      </c>
      <c r="G574" s="9" t="b">
        <v>0</v>
      </c>
      <c r="H574" s="9" t="s">
        <v>2665</v>
      </c>
      <c r="I574" s="9">
        <v>3.0</v>
      </c>
      <c r="J574" s="9">
        <v>0.0</v>
      </c>
      <c r="K574" s="9">
        <v>0.67</v>
      </c>
    </row>
    <row r="575" ht="15.75" customHeight="1">
      <c r="A575" s="7" t="s">
        <v>2666</v>
      </c>
      <c r="B575" s="13" t="s">
        <v>54</v>
      </c>
      <c r="C575" s="14" t="s">
        <v>169</v>
      </c>
      <c r="D575" s="14" t="s">
        <v>25</v>
      </c>
      <c r="E575" s="14" t="s">
        <v>517</v>
      </c>
      <c r="F575" s="9" t="s">
        <v>94</v>
      </c>
      <c r="G575" s="9" t="b">
        <v>0</v>
      </c>
      <c r="H575" s="9" t="s">
        <v>2667</v>
      </c>
      <c r="I575" s="9">
        <v>3.0</v>
      </c>
      <c r="J575" s="9">
        <v>0.0</v>
      </c>
      <c r="K575" s="9">
        <v>0.0</v>
      </c>
    </row>
    <row r="576" ht="15.75" customHeight="1">
      <c r="A576" s="7" t="s">
        <v>2668</v>
      </c>
      <c r="B576" s="13" t="s">
        <v>54</v>
      </c>
      <c r="C576" s="14" t="s">
        <v>169</v>
      </c>
      <c r="D576" s="14" t="s">
        <v>25</v>
      </c>
      <c r="E576" s="14" t="s">
        <v>517</v>
      </c>
      <c r="F576" s="9" t="s">
        <v>94</v>
      </c>
      <c r="G576" s="9" t="b">
        <v>0</v>
      </c>
      <c r="H576" s="9" t="s">
        <v>2669</v>
      </c>
      <c r="I576" s="9">
        <v>3.0</v>
      </c>
      <c r="J576" s="9">
        <v>0.0</v>
      </c>
      <c r="K576" s="9">
        <v>0.0</v>
      </c>
    </row>
    <row r="577" ht="15.75" customHeight="1">
      <c r="A577" s="7" t="s">
        <v>2670</v>
      </c>
      <c r="B577" s="13" t="s">
        <v>277</v>
      </c>
      <c r="C577" s="14" t="s">
        <v>23</v>
      </c>
      <c r="D577" s="14" t="s">
        <v>169</v>
      </c>
      <c r="E577" s="17" t="s">
        <v>2671</v>
      </c>
      <c r="F577" s="9" t="s">
        <v>27</v>
      </c>
      <c r="G577" s="9" t="b">
        <v>0</v>
      </c>
      <c r="I577" s="9">
        <v>3.0</v>
      </c>
      <c r="J577" s="9">
        <v>0.0</v>
      </c>
      <c r="K577" s="9">
        <v>0.0</v>
      </c>
    </row>
    <row r="578" ht="15.75" customHeight="1">
      <c r="A578" s="7" t="s">
        <v>2672</v>
      </c>
      <c r="B578" s="13" t="s">
        <v>1077</v>
      </c>
      <c r="C578" s="14" t="s">
        <v>34</v>
      </c>
      <c r="D578" s="14" t="s">
        <v>46</v>
      </c>
      <c r="E578" s="14" t="s">
        <v>2673</v>
      </c>
      <c r="F578" s="9" t="s">
        <v>37</v>
      </c>
      <c r="G578" s="9" t="b">
        <v>0</v>
      </c>
      <c r="H578" s="9" t="s">
        <v>2674</v>
      </c>
      <c r="I578" s="9">
        <v>3.0</v>
      </c>
      <c r="J578" s="9">
        <v>0.0</v>
      </c>
      <c r="K578" s="9">
        <v>1.67</v>
      </c>
    </row>
    <row r="579" ht="15.75" customHeight="1">
      <c r="A579" s="7" t="s">
        <v>2675</v>
      </c>
      <c r="B579" s="13" t="s">
        <v>1080</v>
      </c>
      <c r="C579" s="14" t="s">
        <v>61</v>
      </c>
      <c r="D579" s="14" t="s">
        <v>46</v>
      </c>
      <c r="E579" s="14" t="s">
        <v>2676</v>
      </c>
      <c r="F579" s="9" t="s">
        <v>64</v>
      </c>
      <c r="G579" s="9" t="b">
        <v>0</v>
      </c>
      <c r="H579" s="9" t="s">
        <v>1081</v>
      </c>
      <c r="I579" s="9">
        <v>3.0</v>
      </c>
      <c r="J579" s="9">
        <v>0.0</v>
      </c>
      <c r="K579" s="9">
        <v>1.0</v>
      </c>
    </row>
    <row r="580" ht="15.75" customHeight="1">
      <c r="A580" s="7" t="s">
        <v>2677</v>
      </c>
      <c r="B580" s="13" t="s">
        <v>457</v>
      </c>
      <c r="C580" s="14" t="s">
        <v>309</v>
      </c>
      <c r="D580" s="14" t="s">
        <v>46</v>
      </c>
      <c r="E580" s="14" t="s">
        <v>2678</v>
      </c>
      <c r="F580" s="9" t="s">
        <v>311</v>
      </c>
      <c r="G580" s="9" t="b">
        <v>0</v>
      </c>
      <c r="H580" s="9" t="s">
        <v>482</v>
      </c>
      <c r="I580" s="9">
        <v>3.0</v>
      </c>
      <c r="J580" s="9">
        <v>0.0</v>
      </c>
      <c r="K580" s="9">
        <v>0.33</v>
      </c>
    </row>
    <row r="581" ht="15.75" customHeight="1">
      <c r="A581" s="7" t="s">
        <v>2679</v>
      </c>
      <c r="B581" s="13" t="s">
        <v>1084</v>
      </c>
      <c r="C581" s="14" t="s">
        <v>521</v>
      </c>
      <c r="D581" s="14" t="s">
        <v>46</v>
      </c>
      <c r="E581" s="14" t="s">
        <v>2680</v>
      </c>
      <c r="F581" s="9" t="s">
        <v>523</v>
      </c>
      <c r="G581" s="9" t="b">
        <v>0</v>
      </c>
      <c r="I581" s="9">
        <v>3.0</v>
      </c>
      <c r="J581" s="9">
        <v>0.0</v>
      </c>
      <c r="K581" s="9">
        <v>1.0</v>
      </c>
    </row>
    <row r="582" ht="15.75" customHeight="1">
      <c r="A582" s="7" t="s">
        <v>2681</v>
      </c>
      <c r="B582" s="13" t="s">
        <v>550</v>
      </c>
      <c r="C582" s="14" t="s">
        <v>144</v>
      </c>
      <c r="D582" s="14" t="s">
        <v>46</v>
      </c>
      <c r="E582" s="14" t="s">
        <v>2682</v>
      </c>
      <c r="F582" s="9" t="s">
        <v>147</v>
      </c>
      <c r="G582" s="9" t="b">
        <v>0</v>
      </c>
      <c r="H582" s="9" t="s">
        <v>2683</v>
      </c>
      <c r="I582" s="9">
        <v>3.0</v>
      </c>
      <c r="J582" s="9">
        <v>0.0</v>
      </c>
      <c r="K582" s="9">
        <v>0.67</v>
      </c>
    </row>
    <row r="583" ht="15.75" customHeight="1">
      <c r="A583" s="7" t="s">
        <v>2684</v>
      </c>
      <c r="B583" s="13" t="s">
        <v>42</v>
      </c>
      <c r="C583" s="14" t="s">
        <v>34</v>
      </c>
      <c r="D583" s="14" t="s">
        <v>35</v>
      </c>
      <c r="E583" s="14" t="s">
        <v>2685</v>
      </c>
      <c r="F583" s="9" t="s">
        <v>37</v>
      </c>
      <c r="G583" s="9" t="b">
        <v>0</v>
      </c>
      <c r="H583" s="9" t="s">
        <v>2686</v>
      </c>
      <c r="I583" s="9">
        <v>3.0</v>
      </c>
      <c r="J583" s="9">
        <v>0.0</v>
      </c>
      <c r="K583" s="9">
        <v>0.33</v>
      </c>
    </row>
    <row r="584" ht="15.75" customHeight="1">
      <c r="A584" s="7" t="s">
        <v>2687</v>
      </c>
      <c r="B584" s="13" t="s">
        <v>664</v>
      </c>
      <c r="C584" s="14" t="s">
        <v>169</v>
      </c>
      <c r="D584" s="14" t="s">
        <v>46</v>
      </c>
      <c r="E584" s="14" t="s">
        <v>2688</v>
      </c>
      <c r="F584" s="9" t="s">
        <v>94</v>
      </c>
      <c r="G584" s="9" t="b">
        <v>0</v>
      </c>
      <c r="H584" s="9" t="s">
        <v>340</v>
      </c>
      <c r="I584" s="9">
        <v>3.0</v>
      </c>
      <c r="J584" s="9">
        <v>0.0</v>
      </c>
      <c r="K584" s="9">
        <v>0.33</v>
      </c>
    </row>
    <row r="585" ht="15.75" customHeight="1">
      <c r="A585" s="7" t="s">
        <v>2689</v>
      </c>
      <c r="B585" s="13" t="s">
        <v>1286</v>
      </c>
      <c r="C585" s="14" t="s">
        <v>521</v>
      </c>
      <c r="D585" s="14" t="s">
        <v>46</v>
      </c>
      <c r="E585" s="14" t="s">
        <v>2690</v>
      </c>
      <c r="F585" s="9" t="s">
        <v>523</v>
      </c>
      <c r="G585" s="9" t="b">
        <v>0</v>
      </c>
      <c r="H585" s="9" t="s">
        <v>188</v>
      </c>
      <c r="I585" s="9">
        <v>3.0</v>
      </c>
      <c r="J585" s="9">
        <v>0.0</v>
      </c>
      <c r="K585" s="9">
        <v>0.67</v>
      </c>
    </row>
    <row r="586" ht="15.75" customHeight="1">
      <c r="A586" s="7" t="s">
        <v>2691</v>
      </c>
      <c r="B586" s="13" t="s">
        <v>1293</v>
      </c>
      <c r="C586" s="14" t="s">
        <v>521</v>
      </c>
      <c r="D586" s="14" t="s">
        <v>46</v>
      </c>
      <c r="E586" s="14" t="s">
        <v>2692</v>
      </c>
      <c r="F586" s="9" t="s">
        <v>523</v>
      </c>
      <c r="G586" s="9" t="b">
        <v>0</v>
      </c>
      <c r="I586" s="9">
        <v>3.0</v>
      </c>
      <c r="J586" s="9">
        <v>0.0</v>
      </c>
      <c r="K586" s="9">
        <v>0.0</v>
      </c>
    </row>
    <row r="587" ht="15.75" customHeight="1">
      <c r="A587" s="7" t="s">
        <v>2693</v>
      </c>
      <c r="B587" s="13" t="s">
        <v>1089</v>
      </c>
      <c r="C587" s="14" t="s">
        <v>34</v>
      </c>
      <c r="D587" s="14" t="s">
        <v>46</v>
      </c>
      <c r="E587" s="14" t="s">
        <v>2694</v>
      </c>
      <c r="F587" s="9" t="s">
        <v>37</v>
      </c>
      <c r="G587" s="9" t="b">
        <v>0</v>
      </c>
      <c r="H587" s="9" t="s">
        <v>2695</v>
      </c>
      <c r="I587" s="9">
        <v>3.0</v>
      </c>
      <c r="J587" s="9">
        <v>0.0</v>
      </c>
      <c r="K587" s="9">
        <v>0.33</v>
      </c>
    </row>
    <row r="588" ht="15.75" customHeight="1">
      <c r="A588" s="7" t="s">
        <v>2696</v>
      </c>
      <c r="B588" s="13" t="s">
        <v>84</v>
      </c>
      <c r="C588" s="14" t="s">
        <v>34</v>
      </c>
      <c r="D588" s="14" t="s">
        <v>46</v>
      </c>
      <c r="E588" s="17" t="s">
        <v>2697</v>
      </c>
      <c r="F588" s="9" t="s">
        <v>37</v>
      </c>
      <c r="G588" s="9" t="b">
        <v>0</v>
      </c>
      <c r="H588" s="9" t="s">
        <v>493</v>
      </c>
      <c r="I588" s="9">
        <v>3.0</v>
      </c>
      <c r="J588" s="9">
        <v>0.0</v>
      </c>
      <c r="K588" s="9">
        <v>0.67</v>
      </c>
    </row>
    <row r="589" ht="15.75" customHeight="1">
      <c r="A589" s="7" t="s">
        <v>2698</v>
      </c>
      <c r="B589" s="13" t="s">
        <v>808</v>
      </c>
      <c r="C589" s="14" t="s">
        <v>144</v>
      </c>
      <c r="D589" s="14" t="s">
        <v>46</v>
      </c>
      <c r="E589" s="14" t="s">
        <v>2699</v>
      </c>
      <c r="F589" s="9" t="s">
        <v>147</v>
      </c>
      <c r="G589" s="9" t="b">
        <v>0</v>
      </c>
      <c r="I589" s="9">
        <v>3.0</v>
      </c>
      <c r="J589" s="9">
        <v>0.0</v>
      </c>
      <c r="K589" s="9">
        <v>1.0</v>
      </c>
    </row>
    <row r="590" ht="15.75" customHeight="1">
      <c r="A590" s="7" t="s">
        <v>2700</v>
      </c>
      <c r="B590" s="13" t="s">
        <v>808</v>
      </c>
      <c r="C590" s="14" t="s">
        <v>144</v>
      </c>
      <c r="D590" s="14" t="s">
        <v>46</v>
      </c>
      <c r="E590" s="14" t="s">
        <v>2701</v>
      </c>
      <c r="F590" s="9" t="s">
        <v>147</v>
      </c>
      <c r="G590" s="9" t="b">
        <v>0</v>
      </c>
      <c r="I590" s="9">
        <v>3.0</v>
      </c>
      <c r="J590" s="9">
        <v>0.0</v>
      </c>
      <c r="K590" s="9">
        <v>1.0</v>
      </c>
    </row>
    <row r="591" ht="15.75" customHeight="1">
      <c r="A591" s="7" t="s">
        <v>2702</v>
      </c>
      <c r="B591" s="13" t="s">
        <v>1099</v>
      </c>
      <c r="C591" s="14" t="s">
        <v>521</v>
      </c>
      <c r="D591" s="14" t="s">
        <v>46</v>
      </c>
      <c r="E591" s="14" t="s">
        <v>2703</v>
      </c>
      <c r="F591" s="9" t="s">
        <v>523</v>
      </c>
      <c r="G591" s="9" t="b">
        <v>0</v>
      </c>
      <c r="I591" s="9">
        <v>3.0</v>
      </c>
      <c r="J591" s="9">
        <v>0.0</v>
      </c>
      <c r="K591" s="9">
        <v>0.67</v>
      </c>
    </row>
    <row r="592" ht="15.75" customHeight="1">
      <c r="A592" s="7" t="s">
        <v>2704</v>
      </c>
      <c r="B592" s="13" t="s">
        <v>1103</v>
      </c>
      <c r="C592" s="14" t="s">
        <v>61</v>
      </c>
      <c r="D592" s="14" t="s">
        <v>35</v>
      </c>
      <c r="E592" s="14" t="s">
        <v>2705</v>
      </c>
      <c r="F592" s="9" t="s">
        <v>64</v>
      </c>
      <c r="G592" s="9" t="b">
        <v>0</v>
      </c>
      <c r="H592" s="9" t="s">
        <v>2706</v>
      </c>
      <c r="I592" s="9">
        <v>3.0</v>
      </c>
      <c r="J592" s="9">
        <v>0.0</v>
      </c>
      <c r="K592" s="9">
        <v>0.67</v>
      </c>
    </row>
    <row r="593" ht="15.75" customHeight="1">
      <c r="A593" s="7" t="s">
        <v>2707</v>
      </c>
      <c r="B593" s="13" t="s">
        <v>252</v>
      </c>
      <c r="C593" s="14" t="s">
        <v>34</v>
      </c>
      <c r="D593" s="14" t="s">
        <v>169</v>
      </c>
      <c r="E593" s="14" t="s">
        <v>2708</v>
      </c>
      <c r="F593" s="9" t="s">
        <v>37</v>
      </c>
      <c r="G593" s="9" t="b">
        <v>0</v>
      </c>
      <c r="I593" s="9">
        <v>3.0</v>
      </c>
      <c r="J593" s="9">
        <v>0.0</v>
      </c>
      <c r="K593" s="9">
        <v>1.0</v>
      </c>
    </row>
    <row r="594" ht="15.75" customHeight="1">
      <c r="A594" s="7" t="s">
        <v>2709</v>
      </c>
      <c r="B594" s="13" t="s">
        <v>1020</v>
      </c>
      <c r="C594" s="14" t="s">
        <v>169</v>
      </c>
      <c r="D594" s="14" t="s">
        <v>169</v>
      </c>
      <c r="E594" s="15"/>
      <c r="F594" s="9" t="s">
        <v>94</v>
      </c>
      <c r="H594" s="9" t="s">
        <v>172</v>
      </c>
      <c r="I594" s="9">
        <v>3.0</v>
      </c>
      <c r="J594" s="9">
        <v>0.0</v>
      </c>
      <c r="K594" s="9">
        <v>0.0</v>
      </c>
    </row>
    <row r="595" ht="15.75" customHeight="1">
      <c r="A595" s="7" t="s">
        <v>2710</v>
      </c>
      <c r="B595" s="13" t="s">
        <v>1109</v>
      </c>
      <c r="C595" s="14" t="s">
        <v>144</v>
      </c>
      <c r="D595" s="14" t="s">
        <v>35</v>
      </c>
      <c r="E595" s="14" t="s">
        <v>2711</v>
      </c>
      <c r="F595" s="9" t="s">
        <v>147</v>
      </c>
      <c r="G595" s="9" t="b">
        <v>0</v>
      </c>
      <c r="H595" s="9" t="s">
        <v>1110</v>
      </c>
      <c r="I595" s="9">
        <v>3.0</v>
      </c>
      <c r="J595" s="9">
        <v>0.0</v>
      </c>
      <c r="K595" s="9">
        <v>0.67</v>
      </c>
    </row>
    <row r="596" ht="15.75" customHeight="1">
      <c r="A596" s="7" t="s">
        <v>2712</v>
      </c>
      <c r="B596" s="13" t="s">
        <v>860</v>
      </c>
      <c r="C596" s="14" t="s">
        <v>34</v>
      </c>
      <c r="D596" s="14" t="s">
        <v>35</v>
      </c>
      <c r="E596" s="14" t="s">
        <v>2713</v>
      </c>
      <c r="F596" s="9" t="s">
        <v>37</v>
      </c>
      <c r="G596" s="9" t="b">
        <v>0</v>
      </c>
      <c r="H596" s="9" t="s">
        <v>2714</v>
      </c>
      <c r="I596" s="9">
        <v>3.0</v>
      </c>
      <c r="J596" s="9">
        <v>0.0</v>
      </c>
      <c r="K596" s="9">
        <v>0.0</v>
      </c>
    </row>
    <row r="597" ht="15.75" customHeight="1">
      <c r="A597" s="7" t="s">
        <v>2715</v>
      </c>
      <c r="B597" s="13" t="s">
        <v>705</v>
      </c>
      <c r="C597" s="14" t="s">
        <v>34</v>
      </c>
      <c r="D597" s="14" t="s">
        <v>46</v>
      </c>
      <c r="E597" s="14" t="s">
        <v>2716</v>
      </c>
      <c r="F597" s="9" t="s">
        <v>37</v>
      </c>
      <c r="G597" s="9" t="b">
        <v>1</v>
      </c>
      <c r="H597" s="9" t="s">
        <v>2717</v>
      </c>
      <c r="I597" s="9">
        <v>3.0</v>
      </c>
      <c r="J597" s="9">
        <v>0.0</v>
      </c>
      <c r="K597" s="9">
        <v>1.33</v>
      </c>
    </row>
    <row r="598" ht="15.75" customHeight="1">
      <c r="A598" s="7" t="s">
        <v>2718</v>
      </c>
      <c r="B598" s="13" t="s">
        <v>705</v>
      </c>
      <c r="C598" s="14" t="s">
        <v>144</v>
      </c>
      <c r="D598" s="14" t="s">
        <v>46</v>
      </c>
      <c r="E598" s="14" t="s">
        <v>2719</v>
      </c>
      <c r="F598" s="9" t="s">
        <v>147</v>
      </c>
      <c r="G598" s="9" t="b">
        <v>0</v>
      </c>
      <c r="I598" s="9">
        <v>3.0</v>
      </c>
      <c r="J598" s="9">
        <v>0.0</v>
      </c>
      <c r="K598" s="9">
        <v>1.0</v>
      </c>
    </row>
    <row r="599" ht="15.75" customHeight="1">
      <c r="A599" s="7" t="s">
        <v>2720</v>
      </c>
      <c r="B599" s="13" t="s">
        <v>1115</v>
      </c>
      <c r="C599" s="14" t="s">
        <v>34</v>
      </c>
      <c r="D599" s="14" t="s">
        <v>46</v>
      </c>
      <c r="E599" s="14" t="s">
        <v>2721</v>
      </c>
      <c r="F599" s="9" t="s">
        <v>37</v>
      </c>
      <c r="G599" s="9" t="b">
        <v>0</v>
      </c>
      <c r="H599" s="9" t="s">
        <v>2722</v>
      </c>
      <c r="I599" s="9">
        <v>3.0</v>
      </c>
      <c r="J599" s="9">
        <v>0.0</v>
      </c>
      <c r="K599" s="9">
        <v>0.0</v>
      </c>
    </row>
    <row r="600" ht="15.75" customHeight="1">
      <c r="A600" s="7" t="s">
        <v>2723</v>
      </c>
      <c r="B600" s="13" t="s">
        <v>1121</v>
      </c>
      <c r="C600" s="14" t="s">
        <v>521</v>
      </c>
      <c r="D600" s="14" t="s">
        <v>46</v>
      </c>
      <c r="E600" s="14" t="s">
        <v>2724</v>
      </c>
      <c r="F600" s="9" t="s">
        <v>523</v>
      </c>
      <c r="G600" s="9" t="b">
        <v>0</v>
      </c>
      <c r="H600" s="9" t="s">
        <v>188</v>
      </c>
      <c r="I600" s="9">
        <v>3.0</v>
      </c>
      <c r="J600" s="9">
        <v>0.0</v>
      </c>
      <c r="K600" s="9">
        <v>0.67</v>
      </c>
    </row>
    <row r="601" ht="15.75" customHeight="1">
      <c r="A601" s="7" t="s">
        <v>2725</v>
      </c>
      <c r="B601" s="13" t="s">
        <v>88</v>
      </c>
      <c r="C601" s="14" t="s">
        <v>235</v>
      </c>
      <c r="D601" s="14" t="s">
        <v>25</v>
      </c>
      <c r="E601" s="14" t="s">
        <v>2726</v>
      </c>
      <c r="F601" s="9" t="s">
        <v>237</v>
      </c>
      <c r="G601" s="9" t="b">
        <v>0</v>
      </c>
      <c r="H601" s="9" t="s">
        <v>434</v>
      </c>
      <c r="I601" s="9">
        <v>3.0</v>
      </c>
      <c r="J601" s="9">
        <v>0.0</v>
      </c>
      <c r="K601" s="9">
        <v>0.67</v>
      </c>
    </row>
    <row r="602" ht="15.75" customHeight="1">
      <c r="A602" s="7" t="s">
        <v>2727</v>
      </c>
      <c r="B602" s="13" t="s">
        <v>1127</v>
      </c>
      <c r="C602" s="14" t="s">
        <v>169</v>
      </c>
      <c r="D602" s="14" t="s">
        <v>46</v>
      </c>
      <c r="E602" s="15"/>
      <c r="F602" s="9" t="s">
        <v>94</v>
      </c>
      <c r="H602" s="9" t="s">
        <v>172</v>
      </c>
      <c r="I602" s="9">
        <v>3.0</v>
      </c>
      <c r="J602" s="9">
        <v>0.0</v>
      </c>
      <c r="K602" s="9">
        <v>0.0</v>
      </c>
    </row>
    <row r="603" ht="15.75" customHeight="1">
      <c r="A603" s="7" t="s">
        <v>2728</v>
      </c>
      <c r="B603" s="13" t="s">
        <v>1343</v>
      </c>
      <c r="C603" s="14" t="s">
        <v>144</v>
      </c>
      <c r="D603" s="14" t="s">
        <v>46</v>
      </c>
      <c r="E603" s="14" t="s">
        <v>2729</v>
      </c>
      <c r="F603" s="9" t="s">
        <v>147</v>
      </c>
      <c r="G603" s="9" t="b">
        <v>0</v>
      </c>
      <c r="I603" s="9">
        <v>3.0</v>
      </c>
      <c r="J603" s="9">
        <v>0.0</v>
      </c>
      <c r="K603" s="9">
        <v>1.33</v>
      </c>
    </row>
    <row r="604" ht="15.75" customHeight="1">
      <c r="A604" s="7" t="s">
        <v>2730</v>
      </c>
      <c r="B604" s="14" t="s">
        <v>1131</v>
      </c>
      <c r="C604" s="14" t="s">
        <v>521</v>
      </c>
      <c r="D604" s="14" t="s">
        <v>46</v>
      </c>
      <c r="E604" s="14" t="s">
        <v>2731</v>
      </c>
      <c r="F604" s="9" t="s">
        <v>523</v>
      </c>
      <c r="G604" s="9" t="b">
        <v>0</v>
      </c>
      <c r="I604" s="9">
        <v>3.0</v>
      </c>
      <c r="J604" s="9">
        <v>0.0</v>
      </c>
      <c r="K604" s="9">
        <v>0.0</v>
      </c>
    </row>
    <row r="605" ht="15.75" customHeight="1">
      <c r="A605" s="7" t="s">
        <v>2732</v>
      </c>
      <c r="B605" s="13" t="s">
        <v>1163</v>
      </c>
      <c r="C605" s="14" t="s">
        <v>144</v>
      </c>
      <c r="D605" s="14" t="s">
        <v>46</v>
      </c>
      <c r="E605" s="14" t="s">
        <v>2733</v>
      </c>
      <c r="F605" s="9" t="s">
        <v>147</v>
      </c>
      <c r="G605" s="9" t="b">
        <v>0</v>
      </c>
      <c r="I605" s="9">
        <v>3.0</v>
      </c>
      <c r="J605" s="9">
        <v>0.0</v>
      </c>
      <c r="K605" s="9">
        <v>2.33</v>
      </c>
    </row>
    <row r="606" ht="15.75" customHeight="1">
      <c r="A606" s="7" t="s">
        <v>2734</v>
      </c>
      <c r="B606" s="13" t="s">
        <v>1132</v>
      </c>
      <c r="C606" s="14" t="s">
        <v>34</v>
      </c>
      <c r="D606" s="14" t="s">
        <v>46</v>
      </c>
      <c r="E606" s="14" t="s">
        <v>2735</v>
      </c>
      <c r="F606" s="9" t="s">
        <v>37</v>
      </c>
      <c r="G606" s="9" t="b">
        <v>0</v>
      </c>
      <c r="H606" s="9" t="s">
        <v>2736</v>
      </c>
      <c r="I606" s="9">
        <v>3.0</v>
      </c>
      <c r="J606" s="9">
        <v>0.0</v>
      </c>
      <c r="K606" s="9">
        <v>0.0</v>
      </c>
    </row>
    <row r="607" ht="15.75" customHeight="1">
      <c r="A607" s="7" t="s">
        <v>2737</v>
      </c>
      <c r="B607" s="13" t="s">
        <v>1137</v>
      </c>
      <c r="C607" s="14" t="s">
        <v>521</v>
      </c>
      <c r="D607" s="14" t="s">
        <v>46</v>
      </c>
      <c r="E607" s="14" t="s">
        <v>2738</v>
      </c>
      <c r="F607" s="9" t="s">
        <v>523</v>
      </c>
      <c r="G607" s="9" t="b">
        <v>0</v>
      </c>
      <c r="H607" s="9" t="s">
        <v>188</v>
      </c>
      <c r="I607" s="9">
        <v>3.0</v>
      </c>
      <c r="J607" s="9">
        <v>0.0</v>
      </c>
      <c r="K607" s="9">
        <v>1.0</v>
      </c>
    </row>
    <row r="608" ht="15.75" customHeight="1">
      <c r="A608" s="7" t="s">
        <v>2739</v>
      </c>
      <c r="B608" s="13" t="s">
        <v>1140</v>
      </c>
      <c r="C608" s="14" t="s">
        <v>309</v>
      </c>
      <c r="D608" s="14" t="s">
        <v>46</v>
      </c>
      <c r="E608" s="14" t="s">
        <v>2740</v>
      </c>
      <c r="F608" s="9" t="s">
        <v>311</v>
      </c>
      <c r="G608" s="9" t="b">
        <v>0</v>
      </c>
      <c r="I608" s="9">
        <v>3.0</v>
      </c>
      <c r="J608" s="9">
        <v>0.0</v>
      </c>
      <c r="K608" s="9">
        <v>1.0</v>
      </c>
    </row>
    <row r="609" ht="15.75" customHeight="1">
      <c r="A609" s="7" t="s">
        <v>2741</v>
      </c>
      <c r="B609" s="14" t="s">
        <v>405</v>
      </c>
      <c r="C609" s="14" t="s">
        <v>34</v>
      </c>
      <c r="D609" s="14" t="s">
        <v>46</v>
      </c>
      <c r="E609" s="14" t="s">
        <v>2742</v>
      </c>
      <c r="F609" s="9" t="s">
        <v>37</v>
      </c>
      <c r="G609" s="9" t="b">
        <v>0</v>
      </c>
      <c r="H609" s="9" t="s">
        <v>799</v>
      </c>
      <c r="I609" s="9">
        <v>3.0</v>
      </c>
      <c r="J609" s="9">
        <v>0.0</v>
      </c>
      <c r="K609" s="9">
        <v>0.67</v>
      </c>
    </row>
    <row r="610" ht="15.75" customHeight="1">
      <c r="A610" s="7" t="s">
        <v>2743</v>
      </c>
      <c r="B610" s="13" t="s">
        <v>380</v>
      </c>
      <c r="C610" s="14" t="s">
        <v>169</v>
      </c>
      <c r="D610" s="14" t="s">
        <v>62</v>
      </c>
      <c r="E610" s="14" t="s">
        <v>2744</v>
      </c>
      <c r="F610" s="9" t="s">
        <v>94</v>
      </c>
      <c r="G610" s="9" t="b">
        <v>0</v>
      </c>
      <c r="H610" s="9" t="s">
        <v>2745</v>
      </c>
      <c r="I610" s="9">
        <v>3.0</v>
      </c>
      <c r="J610" s="9">
        <v>0.0</v>
      </c>
      <c r="K610" s="9">
        <v>0.0</v>
      </c>
    </row>
    <row r="611" ht="15.75" customHeight="1">
      <c r="A611" s="7" t="s">
        <v>2746</v>
      </c>
      <c r="B611" s="13" t="s">
        <v>1142</v>
      </c>
      <c r="C611" s="14" t="s">
        <v>144</v>
      </c>
      <c r="D611" s="14" t="s">
        <v>46</v>
      </c>
      <c r="E611" s="14" t="s">
        <v>2747</v>
      </c>
      <c r="F611" s="9" t="s">
        <v>147</v>
      </c>
      <c r="G611" s="9" t="b">
        <v>0</v>
      </c>
      <c r="H611" s="9" t="s">
        <v>1152</v>
      </c>
      <c r="I611" s="9">
        <v>3.0</v>
      </c>
      <c r="J611" s="9">
        <v>0.0</v>
      </c>
      <c r="K611" s="9">
        <v>0.67</v>
      </c>
    </row>
    <row r="612" ht="15.75" customHeight="1">
      <c r="A612" s="7" t="s">
        <v>2748</v>
      </c>
      <c r="B612" s="13" t="s">
        <v>353</v>
      </c>
      <c r="C612" s="14" t="s">
        <v>1203</v>
      </c>
      <c r="D612" s="14" t="s">
        <v>270</v>
      </c>
      <c r="E612" s="14" t="s">
        <v>2749</v>
      </c>
      <c r="F612" s="9" t="s">
        <v>1205</v>
      </c>
      <c r="G612" s="9" t="b">
        <v>0</v>
      </c>
      <c r="I612" s="9">
        <v>3.0</v>
      </c>
      <c r="J612" s="9">
        <v>0.0</v>
      </c>
      <c r="K612" s="9">
        <v>1.33</v>
      </c>
    </row>
    <row r="613" ht="15.75" customHeight="1">
      <c r="A613" s="7" t="s">
        <v>2750</v>
      </c>
      <c r="B613" s="13" t="s">
        <v>72</v>
      </c>
      <c r="C613" s="14" t="s">
        <v>34</v>
      </c>
      <c r="D613" s="14" t="s">
        <v>35</v>
      </c>
      <c r="E613" s="14" t="s">
        <v>2751</v>
      </c>
      <c r="F613" s="9" t="s">
        <v>37</v>
      </c>
      <c r="G613" s="9" t="b">
        <v>0</v>
      </c>
      <c r="H613" s="9" t="s">
        <v>2752</v>
      </c>
      <c r="I613" s="9">
        <v>3.0</v>
      </c>
      <c r="J613" s="9">
        <v>0.0</v>
      </c>
      <c r="K613" s="9">
        <v>0.67</v>
      </c>
    </row>
    <row r="614" ht="15.75" customHeight="1">
      <c r="A614" s="7" t="s">
        <v>2753</v>
      </c>
      <c r="B614" s="13" t="s">
        <v>301</v>
      </c>
      <c r="C614" s="14" t="s">
        <v>144</v>
      </c>
      <c r="D614" s="14" t="s">
        <v>35</v>
      </c>
      <c r="E614" s="14" t="s">
        <v>2754</v>
      </c>
      <c r="F614" s="9" t="s">
        <v>147</v>
      </c>
      <c r="G614" s="9" t="b">
        <v>0</v>
      </c>
      <c r="H614" s="9" t="s">
        <v>2755</v>
      </c>
      <c r="I614" s="9">
        <v>3.0</v>
      </c>
      <c r="J614" s="9">
        <v>0.0</v>
      </c>
      <c r="K614" s="9">
        <v>1.0</v>
      </c>
    </row>
    <row r="615" ht="15.75" customHeight="1">
      <c r="A615" s="7" t="s">
        <v>2756</v>
      </c>
      <c r="B615" s="14" t="s">
        <v>813</v>
      </c>
      <c r="C615" s="14" t="s">
        <v>521</v>
      </c>
      <c r="D615" s="14" t="s">
        <v>35</v>
      </c>
      <c r="E615" s="14" t="s">
        <v>2757</v>
      </c>
      <c r="F615" s="9" t="s">
        <v>523</v>
      </c>
      <c r="G615" s="9" t="b">
        <v>0</v>
      </c>
      <c r="H615" s="9" t="s">
        <v>2758</v>
      </c>
      <c r="I615" s="9">
        <v>3.0</v>
      </c>
      <c r="J615" s="9">
        <v>0.0</v>
      </c>
      <c r="K615" s="9">
        <v>1.0</v>
      </c>
    </row>
    <row r="616" ht="15.75" customHeight="1">
      <c r="A616" s="7" t="s">
        <v>2759</v>
      </c>
      <c r="B616" s="14" t="s">
        <v>813</v>
      </c>
      <c r="C616" s="14" t="s">
        <v>169</v>
      </c>
      <c r="D616" s="14" t="s">
        <v>35</v>
      </c>
      <c r="E616" s="14" t="s">
        <v>2760</v>
      </c>
      <c r="F616" s="9" t="s">
        <v>94</v>
      </c>
      <c r="G616" s="9" t="b">
        <v>0</v>
      </c>
      <c r="H616" s="9" t="s">
        <v>2761</v>
      </c>
      <c r="I616" s="9">
        <v>3.0</v>
      </c>
      <c r="J616" s="9">
        <v>0.0</v>
      </c>
      <c r="K616" s="9">
        <v>1.33</v>
      </c>
    </row>
    <row r="617" ht="15.75" customHeight="1">
      <c r="A617" s="7" t="s">
        <v>2762</v>
      </c>
      <c r="B617" s="13" t="s">
        <v>1144</v>
      </c>
      <c r="C617" s="14" t="s">
        <v>521</v>
      </c>
      <c r="D617" s="14" t="s">
        <v>46</v>
      </c>
      <c r="E617" s="14" t="s">
        <v>2763</v>
      </c>
      <c r="F617" s="9" t="s">
        <v>523</v>
      </c>
      <c r="G617" s="9" t="b">
        <v>0</v>
      </c>
      <c r="I617" s="9">
        <v>3.0</v>
      </c>
      <c r="J617" s="9">
        <v>0.0</v>
      </c>
      <c r="K617" s="9">
        <v>0.0</v>
      </c>
    </row>
    <row r="618" ht="15.75" customHeight="1">
      <c r="A618" s="7" t="s">
        <v>2764</v>
      </c>
      <c r="B618" s="13" t="s">
        <v>1146</v>
      </c>
      <c r="C618" s="14" t="s">
        <v>144</v>
      </c>
      <c r="D618" s="14" t="s">
        <v>46</v>
      </c>
      <c r="E618" s="14" t="s">
        <v>2765</v>
      </c>
      <c r="F618" s="9" t="s">
        <v>147</v>
      </c>
      <c r="G618" s="9" t="b">
        <v>0</v>
      </c>
      <c r="I618" s="9">
        <v>3.0</v>
      </c>
      <c r="J618" s="9">
        <v>0.0</v>
      </c>
      <c r="K618" s="9">
        <v>0.67</v>
      </c>
    </row>
    <row r="619" ht="15.75" customHeight="1">
      <c r="A619" s="7" t="s">
        <v>2766</v>
      </c>
      <c r="B619" s="13" t="s">
        <v>171</v>
      </c>
      <c r="C619" s="14" t="s">
        <v>34</v>
      </c>
      <c r="D619" s="14" t="s">
        <v>46</v>
      </c>
      <c r="E619" s="14" t="s">
        <v>2767</v>
      </c>
      <c r="F619" s="9" t="s">
        <v>37</v>
      </c>
      <c r="G619" s="9" t="b">
        <v>0</v>
      </c>
      <c r="H619" s="9" t="s">
        <v>2768</v>
      </c>
      <c r="I619" s="9">
        <v>3.0</v>
      </c>
      <c r="J619" s="9">
        <v>0.0</v>
      </c>
      <c r="K619" s="9">
        <v>1.0</v>
      </c>
    </row>
    <row r="620" ht="15.75" customHeight="1">
      <c r="A620" s="7" t="s">
        <v>2769</v>
      </c>
      <c r="B620" s="13" t="s">
        <v>1147</v>
      </c>
      <c r="C620" s="14" t="s">
        <v>521</v>
      </c>
      <c r="D620" s="14" t="s">
        <v>46</v>
      </c>
      <c r="E620" s="14" t="s">
        <v>2770</v>
      </c>
      <c r="F620" s="9" t="s">
        <v>523</v>
      </c>
      <c r="G620" s="9" t="b">
        <v>0</v>
      </c>
      <c r="I620" s="9">
        <v>3.0</v>
      </c>
      <c r="J620" s="9">
        <v>0.0</v>
      </c>
      <c r="K620" s="9">
        <v>0.67</v>
      </c>
    </row>
    <row r="621" ht="15.75" customHeight="1">
      <c r="A621" s="7" t="s">
        <v>2771</v>
      </c>
      <c r="B621" s="13" t="s">
        <v>998</v>
      </c>
      <c r="C621" s="14" t="s">
        <v>169</v>
      </c>
      <c r="D621" s="14" t="s">
        <v>46</v>
      </c>
      <c r="E621" s="14" t="s">
        <v>2772</v>
      </c>
      <c r="F621" s="9" t="s">
        <v>94</v>
      </c>
      <c r="G621" s="9" t="b">
        <v>0</v>
      </c>
      <c r="H621" s="9" t="s">
        <v>2773</v>
      </c>
      <c r="I621" s="9">
        <v>3.0</v>
      </c>
      <c r="J621" s="9">
        <v>0.0</v>
      </c>
      <c r="K621" s="9">
        <v>1.33</v>
      </c>
    </row>
    <row r="622" ht="15.75" customHeight="1">
      <c r="A622" s="7" t="s">
        <v>2774</v>
      </c>
      <c r="B622" s="13" t="s">
        <v>98</v>
      </c>
      <c r="C622" s="14" t="s">
        <v>34</v>
      </c>
      <c r="D622" s="14" t="s">
        <v>35</v>
      </c>
      <c r="E622" s="14" t="s">
        <v>2775</v>
      </c>
      <c r="F622" s="9" t="s">
        <v>37</v>
      </c>
      <c r="G622" s="9" t="b">
        <v>0</v>
      </c>
      <c r="H622" s="9" t="s">
        <v>2776</v>
      </c>
      <c r="I622" s="9">
        <v>3.0</v>
      </c>
      <c r="J622" s="9">
        <v>0.0</v>
      </c>
      <c r="K622" s="9">
        <v>2.33</v>
      </c>
    </row>
    <row r="623" ht="15.75" customHeight="1">
      <c r="A623" s="7" t="s">
        <v>2777</v>
      </c>
      <c r="B623" s="13" t="s">
        <v>1155</v>
      </c>
      <c r="C623" s="14" t="s">
        <v>521</v>
      </c>
      <c r="D623" s="14" t="s">
        <v>46</v>
      </c>
      <c r="E623" s="14" t="s">
        <v>2778</v>
      </c>
      <c r="F623" s="9" t="s">
        <v>523</v>
      </c>
      <c r="G623" s="9" t="b">
        <v>0</v>
      </c>
      <c r="H623" s="9" t="s">
        <v>1156</v>
      </c>
      <c r="I623" s="9">
        <v>3.0</v>
      </c>
      <c r="J623" s="9">
        <v>0.0</v>
      </c>
      <c r="K623" s="9">
        <v>1.33</v>
      </c>
    </row>
    <row r="624" ht="15.75" customHeight="1">
      <c r="A624" s="7" t="s">
        <v>2779</v>
      </c>
      <c r="B624" s="13" t="s">
        <v>1410</v>
      </c>
      <c r="C624" s="14" t="s">
        <v>144</v>
      </c>
      <c r="D624" s="14" t="s">
        <v>46</v>
      </c>
      <c r="E624" s="14" t="s">
        <v>2780</v>
      </c>
      <c r="F624" s="9" t="s">
        <v>147</v>
      </c>
      <c r="G624" s="9" t="b">
        <v>0</v>
      </c>
      <c r="H624" s="9" t="s">
        <v>1411</v>
      </c>
      <c r="I624" s="9">
        <v>3.0</v>
      </c>
      <c r="J624" s="9">
        <v>0.0</v>
      </c>
      <c r="K624" s="9">
        <v>0.0</v>
      </c>
    </row>
    <row r="625" ht="15.75" customHeight="1">
      <c r="A625" s="7" t="s">
        <v>2781</v>
      </c>
      <c r="B625" s="13" t="s">
        <v>387</v>
      </c>
      <c r="C625" s="14" t="s">
        <v>34</v>
      </c>
      <c r="D625" s="14" t="s">
        <v>25</v>
      </c>
      <c r="E625" s="14" t="s">
        <v>2782</v>
      </c>
      <c r="F625" s="9" t="s">
        <v>37</v>
      </c>
      <c r="G625" s="9" t="b">
        <v>0</v>
      </c>
      <c r="H625" s="9" t="s">
        <v>2243</v>
      </c>
      <c r="I625" s="9">
        <v>3.0</v>
      </c>
      <c r="J625" s="9">
        <v>0.0</v>
      </c>
      <c r="K625" s="9">
        <v>0.67</v>
      </c>
    </row>
    <row r="626" ht="15.75" customHeight="1">
      <c r="A626" s="7" t="s">
        <v>2783</v>
      </c>
      <c r="B626" s="13" t="s">
        <v>166</v>
      </c>
      <c r="C626" s="14" t="s">
        <v>169</v>
      </c>
      <c r="D626" s="14" t="s">
        <v>62</v>
      </c>
      <c r="E626" s="14" t="s">
        <v>583</v>
      </c>
      <c r="F626" s="9" t="s">
        <v>94</v>
      </c>
      <c r="G626" s="9" t="b">
        <v>0</v>
      </c>
      <c r="I626" s="9">
        <v>2.0</v>
      </c>
      <c r="J626" s="9">
        <v>0.0</v>
      </c>
      <c r="K626" s="9">
        <v>0.5</v>
      </c>
    </row>
    <row r="627" ht="15.75" customHeight="1">
      <c r="A627" s="7" t="s">
        <v>2784</v>
      </c>
      <c r="B627" s="13" t="s">
        <v>1174</v>
      </c>
      <c r="C627" s="14" t="s">
        <v>309</v>
      </c>
      <c r="D627" s="14" t="s">
        <v>46</v>
      </c>
      <c r="E627" s="14" t="s">
        <v>2785</v>
      </c>
      <c r="F627" s="9" t="s">
        <v>311</v>
      </c>
      <c r="G627" s="9" t="b">
        <v>0</v>
      </c>
      <c r="I627" s="9">
        <v>2.0</v>
      </c>
      <c r="J627" s="9">
        <v>0.0</v>
      </c>
      <c r="K627" s="9">
        <v>0.0</v>
      </c>
    </row>
    <row r="628" ht="15.75" customHeight="1">
      <c r="A628" s="7" t="s">
        <v>2786</v>
      </c>
      <c r="B628" s="13" t="s">
        <v>1190</v>
      </c>
      <c r="C628" s="14" t="s">
        <v>144</v>
      </c>
      <c r="D628" s="14" t="s">
        <v>46</v>
      </c>
      <c r="E628" s="14" t="s">
        <v>2787</v>
      </c>
      <c r="F628" s="9" t="s">
        <v>147</v>
      </c>
      <c r="G628" s="9" t="b">
        <v>0</v>
      </c>
      <c r="I628" s="9">
        <v>2.0</v>
      </c>
      <c r="J628" s="9">
        <v>0.0</v>
      </c>
      <c r="K628" s="9">
        <v>0.0</v>
      </c>
    </row>
    <row r="629" ht="15.75" customHeight="1">
      <c r="A629" s="7" t="s">
        <v>2788</v>
      </c>
      <c r="B629" s="13" t="s">
        <v>1193</v>
      </c>
      <c r="C629" s="14" t="s">
        <v>61</v>
      </c>
      <c r="D629" s="14" t="s">
        <v>46</v>
      </c>
      <c r="E629" s="14" t="s">
        <v>2789</v>
      </c>
      <c r="F629" s="9" t="s">
        <v>64</v>
      </c>
      <c r="G629" s="9" t="b">
        <v>0</v>
      </c>
      <c r="I629" s="9">
        <v>2.0</v>
      </c>
      <c r="J629" s="9">
        <v>0.0</v>
      </c>
      <c r="K629" s="9">
        <v>0.5</v>
      </c>
    </row>
    <row r="630" ht="15.75" customHeight="1">
      <c r="A630" s="7" t="s">
        <v>2790</v>
      </c>
      <c r="B630" s="14" t="s">
        <v>1194</v>
      </c>
      <c r="C630" s="14" t="s">
        <v>521</v>
      </c>
      <c r="D630" s="14" t="s">
        <v>35</v>
      </c>
      <c r="E630" s="14" t="s">
        <v>2791</v>
      </c>
      <c r="F630" s="9" t="s">
        <v>523</v>
      </c>
      <c r="G630" s="9" t="b">
        <v>0</v>
      </c>
      <c r="H630" s="9" t="s">
        <v>1195</v>
      </c>
      <c r="I630" s="9">
        <v>2.0</v>
      </c>
      <c r="J630" s="9">
        <v>0.0</v>
      </c>
      <c r="K630" s="9">
        <v>0.5</v>
      </c>
    </row>
    <row r="631" ht="15.75" customHeight="1">
      <c r="A631" s="7" t="s">
        <v>2792</v>
      </c>
      <c r="B631" s="13" t="s">
        <v>1196</v>
      </c>
      <c r="C631" s="14" t="s">
        <v>144</v>
      </c>
      <c r="D631" s="14" t="s">
        <v>46</v>
      </c>
      <c r="E631" s="14" t="s">
        <v>2793</v>
      </c>
      <c r="F631" s="9" t="s">
        <v>147</v>
      </c>
      <c r="G631" s="9" t="b">
        <v>0</v>
      </c>
      <c r="H631" s="9" t="s">
        <v>2794</v>
      </c>
      <c r="I631" s="9">
        <v>2.0</v>
      </c>
      <c r="J631" s="9">
        <v>0.0</v>
      </c>
      <c r="K631" s="9">
        <v>0.0</v>
      </c>
    </row>
    <row r="632" ht="15.75" customHeight="1">
      <c r="A632" s="7" t="s">
        <v>2795</v>
      </c>
      <c r="B632" s="13" t="s">
        <v>1201</v>
      </c>
      <c r="C632" s="14" t="s">
        <v>521</v>
      </c>
      <c r="D632" s="14" t="s">
        <v>46</v>
      </c>
      <c r="E632" s="14" t="s">
        <v>2796</v>
      </c>
      <c r="F632" s="9" t="s">
        <v>523</v>
      </c>
      <c r="G632" s="9" t="b">
        <v>0</v>
      </c>
      <c r="I632" s="9">
        <v>2.0</v>
      </c>
      <c r="J632" s="9">
        <v>0.0</v>
      </c>
      <c r="K632" s="9">
        <v>0.0</v>
      </c>
    </row>
    <row r="633" ht="15.75" customHeight="1">
      <c r="A633" s="7" t="s">
        <v>2797</v>
      </c>
      <c r="B633" s="13" t="s">
        <v>1016</v>
      </c>
      <c r="C633" s="14" t="s">
        <v>34</v>
      </c>
      <c r="D633" s="14" t="s">
        <v>169</v>
      </c>
      <c r="E633" s="14" t="s">
        <v>2798</v>
      </c>
      <c r="F633" s="9" t="s">
        <v>37</v>
      </c>
      <c r="G633" s="9" t="b">
        <v>0</v>
      </c>
      <c r="H633" s="9" t="s">
        <v>1248</v>
      </c>
      <c r="I633" s="9">
        <v>2.0</v>
      </c>
      <c r="J633" s="9">
        <v>0.0</v>
      </c>
      <c r="K633" s="9">
        <v>1.0</v>
      </c>
    </row>
    <row r="634" ht="15.75" customHeight="1">
      <c r="A634" s="7" t="s">
        <v>2799</v>
      </c>
      <c r="B634" s="13" t="s">
        <v>1202</v>
      </c>
      <c r="C634" s="14" t="s">
        <v>144</v>
      </c>
      <c r="D634" s="14" t="s">
        <v>46</v>
      </c>
      <c r="E634" s="14" t="s">
        <v>2800</v>
      </c>
      <c r="F634" s="9" t="s">
        <v>147</v>
      </c>
      <c r="G634" s="9" t="b">
        <v>0</v>
      </c>
      <c r="I634" s="9">
        <v>2.0</v>
      </c>
      <c r="J634" s="9">
        <v>0.0</v>
      </c>
      <c r="K634" s="9">
        <v>0.0</v>
      </c>
    </row>
    <row r="635" ht="15.75" customHeight="1">
      <c r="A635" s="7" t="s">
        <v>2801</v>
      </c>
      <c r="B635" s="13" t="s">
        <v>419</v>
      </c>
      <c r="C635" s="14" t="s">
        <v>144</v>
      </c>
      <c r="D635" s="14" t="s">
        <v>35</v>
      </c>
      <c r="E635" s="14" t="s">
        <v>2802</v>
      </c>
      <c r="F635" s="9" t="s">
        <v>147</v>
      </c>
      <c r="G635" s="9" t="b">
        <v>0</v>
      </c>
      <c r="H635" s="9" t="s">
        <v>2803</v>
      </c>
      <c r="I635" s="9">
        <v>2.0</v>
      </c>
      <c r="J635" s="9">
        <v>0.0</v>
      </c>
      <c r="K635" s="9">
        <v>2.5</v>
      </c>
    </row>
    <row r="636" ht="15.75" customHeight="1">
      <c r="A636" s="7" t="s">
        <v>2804</v>
      </c>
      <c r="B636" s="13" t="s">
        <v>1209</v>
      </c>
      <c r="C636" s="14" t="s">
        <v>23</v>
      </c>
      <c r="D636" s="14" t="s">
        <v>46</v>
      </c>
      <c r="E636" s="14" t="s">
        <v>2805</v>
      </c>
      <c r="F636" s="9" t="s">
        <v>27</v>
      </c>
      <c r="G636" s="9" t="b">
        <v>0</v>
      </c>
      <c r="H636" s="9" t="s">
        <v>2806</v>
      </c>
      <c r="I636" s="9">
        <v>2.0</v>
      </c>
      <c r="J636" s="9">
        <v>0.0</v>
      </c>
      <c r="K636" s="9">
        <v>0.0</v>
      </c>
    </row>
    <row r="637" ht="15.75" customHeight="1">
      <c r="A637" s="7" t="s">
        <v>2807</v>
      </c>
      <c r="B637" s="13" t="s">
        <v>903</v>
      </c>
      <c r="C637" s="14" t="s">
        <v>34</v>
      </c>
      <c r="D637" s="14" t="s">
        <v>25</v>
      </c>
      <c r="E637" s="14" t="s">
        <v>2808</v>
      </c>
      <c r="F637" s="9" t="s">
        <v>37</v>
      </c>
      <c r="G637" s="9" t="b">
        <v>0</v>
      </c>
      <c r="H637" s="9" t="s">
        <v>2809</v>
      </c>
      <c r="I637" s="9">
        <v>2.0</v>
      </c>
      <c r="J637" s="9">
        <v>0.0</v>
      </c>
      <c r="K637" s="9">
        <v>1.0</v>
      </c>
    </row>
    <row r="638" ht="15.75" customHeight="1">
      <c r="A638" s="7" t="s">
        <v>2810</v>
      </c>
      <c r="B638" s="13" t="s">
        <v>1214</v>
      </c>
      <c r="C638" s="14" t="s">
        <v>521</v>
      </c>
      <c r="D638" s="14" t="s">
        <v>46</v>
      </c>
      <c r="E638" s="14" t="s">
        <v>2811</v>
      </c>
      <c r="F638" s="9" t="s">
        <v>523</v>
      </c>
      <c r="G638" s="9" t="b">
        <v>0</v>
      </c>
      <c r="I638" s="9">
        <v>2.0</v>
      </c>
      <c r="J638" s="9">
        <v>0.0</v>
      </c>
      <c r="K638" s="9">
        <v>0.0</v>
      </c>
    </row>
    <row r="639" ht="15.75" customHeight="1">
      <c r="A639" s="7" t="s">
        <v>2812</v>
      </c>
      <c r="B639" s="13" t="s">
        <v>1003</v>
      </c>
      <c r="C639" s="14" t="s">
        <v>144</v>
      </c>
      <c r="D639" s="14" t="s">
        <v>35</v>
      </c>
      <c r="E639" s="14" t="s">
        <v>2813</v>
      </c>
      <c r="F639" s="9" t="s">
        <v>147</v>
      </c>
      <c r="G639" s="9" t="b">
        <v>0</v>
      </c>
      <c r="H639" s="9" t="s">
        <v>2814</v>
      </c>
      <c r="I639" s="9">
        <v>2.0</v>
      </c>
      <c r="J639" s="9">
        <v>0.0</v>
      </c>
      <c r="K639" s="9">
        <v>2.5</v>
      </c>
    </row>
    <row r="640" ht="15.75" customHeight="1">
      <c r="A640" s="7" t="s">
        <v>2815</v>
      </c>
      <c r="B640" s="13" t="s">
        <v>1022</v>
      </c>
      <c r="C640" s="14" t="s">
        <v>521</v>
      </c>
      <c r="D640" s="14" t="s">
        <v>46</v>
      </c>
      <c r="E640" s="14" t="s">
        <v>2816</v>
      </c>
      <c r="F640" s="9" t="s">
        <v>523</v>
      </c>
      <c r="G640" s="9" t="b">
        <v>0</v>
      </c>
      <c r="H640" s="9" t="s">
        <v>1026</v>
      </c>
      <c r="I640" s="9">
        <v>2.0</v>
      </c>
      <c r="J640" s="9">
        <v>0.0</v>
      </c>
      <c r="K640" s="9">
        <v>1.0</v>
      </c>
    </row>
    <row r="641" ht="15.75" customHeight="1">
      <c r="A641" s="7" t="s">
        <v>2817</v>
      </c>
      <c r="B641" s="13" t="s">
        <v>1022</v>
      </c>
      <c r="C641" s="14" t="s">
        <v>144</v>
      </c>
      <c r="D641" s="14" t="s">
        <v>46</v>
      </c>
      <c r="E641" s="14" t="s">
        <v>2818</v>
      </c>
      <c r="F641" s="9" t="s">
        <v>147</v>
      </c>
      <c r="G641" s="9" t="b">
        <v>0</v>
      </c>
      <c r="I641" s="9">
        <v>2.0</v>
      </c>
      <c r="J641" s="9">
        <v>0.0</v>
      </c>
      <c r="K641" s="9">
        <v>0.0</v>
      </c>
    </row>
    <row r="642" ht="15.75" customHeight="1">
      <c r="A642" s="7" t="s">
        <v>2819</v>
      </c>
      <c r="B642" s="13" t="s">
        <v>1223</v>
      </c>
      <c r="C642" s="14" t="s">
        <v>521</v>
      </c>
      <c r="D642" s="14" t="s">
        <v>46</v>
      </c>
      <c r="E642" s="14" t="s">
        <v>2820</v>
      </c>
      <c r="F642" s="9" t="s">
        <v>523</v>
      </c>
      <c r="G642" s="9" t="b">
        <v>0</v>
      </c>
      <c r="H642" s="9" t="s">
        <v>2821</v>
      </c>
      <c r="I642" s="9">
        <v>2.0</v>
      </c>
      <c r="J642" s="9">
        <v>0.0</v>
      </c>
      <c r="K642" s="9">
        <v>2.0</v>
      </c>
    </row>
    <row r="643" ht="15.75" customHeight="1">
      <c r="A643" s="7" t="s">
        <v>2822</v>
      </c>
      <c r="B643" s="13" t="s">
        <v>29</v>
      </c>
      <c r="C643" s="14" t="s">
        <v>34</v>
      </c>
      <c r="D643" s="14" t="s">
        <v>46</v>
      </c>
      <c r="E643" s="14" t="s">
        <v>2823</v>
      </c>
      <c r="F643" s="9" t="s">
        <v>37</v>
      </c>
      <c r="G643" s="9" t="b">
        <v>0</v>
      </c>
      <c r="H643" s="9" t="s">
        <v>2824</v>
      </c>
      <c r="I643" s="9">
        <v>2.0</v>
      </c>
      <c r="J643" s="9">
        <v>0.0</v>
      </c>
      <c r="K643" s="9">
        <v>1.0</v>
      </c>
    </row>
    <row r="644" ht="15.75" customHeight="1">
      <c r="A644" s="7" t="s">
        <v>2825</v>
      </c>
      <c r="B644" s="13" t="s">
        <v>168</v>
      </c>
      <c r="C644" s="14" t="s">
        <v>144</v>
      </c>
      <c r="D644" s="14" t="s">
        <v>46</v>
      </c>
      <c r="E644" s="14" t="s">
        <v>2826</v>
      </c>
      <c r="F644" s="9" t="s">
        <v>147</v>
      </c>
      <c r="G644" s="9" t="b">
        <v>0</v>
      </c>
      <c r="H644" s="9" t="s">
        <v>170</v>
      </c>
      <c r="I644" s="9">
        <v>2.0</v>
      </c>
      <c r="J644" s="9">
        <v>0.0</v>
      </c>
      <c r="K644" s="9">
        <v>1.0</v>
      </c>
    </row>
    <row r="645" ht="15.75" customHeight="1">
      <c r="A645" s="7" t="s">
        <v>2827</v>
      </c>
      <c r="B645" s="13" t="s">
        <v>168</v>
      </c>
      <c r="C645" s="14" t="s">
        <v>144</v>
      </c>
      <c r="D645" s="14" t="s">
        <v>46</v>
      </c>
      <c r="E645" s="14" t="s">
        <v>2828</v>
      </c>
      <c r="F645" s="9" t="s">
        <v>147</v>
      </c>
      <c r="G645" s="9" t="b">
        <v>0</v>
      </c>
      <c r="H645" s="9" t="s">
        <v>170</v>
      </c>
      <c r="I645" s="9">
        <v>2.0</v>
      </c>
      <c r="J645" s="9">
        <v>0.0</v>
      </c>
      <c r="K645" s="9">
        <v>1.0</v>
      </c>
    </row>
    <row r="646" ht="15.75" customHeight="1">
      <c r="A646" s="7" t="s">
        <v>2829</v>
      </c>
      <c r="B646" s="13" t="s">
        <v>333</v>
      </c>
      <c r="C646" s="14" t="s">
        <v>144</v>
      </c>
      <c r="D646" s="14" t="s">
        <v>46</v>
      </c>
      <c r="E646" s="14" t="s">
        <v>2830</v>
      </c>
      <c r="F646" s="9" t="s">
        <v>147</v>
      </c>
      <c r="G646" s="9" t="b">
        <v>0</v>
      </c>
      <c r="I646" s="9">
        <v>2.0</v>
      </c>
      <c r="J646" s="9">
        <v>0.0</v>
      </c>
      <c r="K646" s="9">
        <v>1.0</v>
      </c>
    </row>
    <row r="647" ht="15.75" customHeight="1">
      <c r="A647" s="7" t="s">
        <v>2831</v>
      </c>
      <c r="B647" s="13" t="s">
        <v>1233</v>
      </c>
      <c r="C647" s="14" t="s">
        <v>521</v>
      </c>
      <c r="D647" s="14" t="s">
        <v>46</v>
      </c>
      <c r="E647" s="14" t="s">
        <v>2832</v>
      </c>
      <c r="F647" s="9" t="s">
        <v>523</v>
      </c>
      <c r="G647" s="9" t="b">
        <v>0</v>
      </c>
      <c r="H647" s="9" t="s">
        <v>188</v>
      </c>
      <c r="I647" s="9">
        <v>2.0</v>
      </c>
      <c r="J647" s="9">
        <v>0.0</v>
      </c>
      <c r="K647" s="9">
        <v>1.5</v>
      </c>
    </row>
    <row r="648" ht="15.75" customHeight="1">
      <c r="A648" s="7" t="s">
        <v>2833</v>
      </c>
      <c r="B648" s="13" t="s">
        <v>282</v>
      </c>
      <c r="C648" s="14" t="s">
        <v>144</v>
      </c>
      <c r="D648" s="14" t="s">
        <v>46</v>
      </c>
      <c r="E648" s="14" t="s">
        <v>2834</v>
      </c>
      <c r="F648" s="9" t="s">
        <v>147</v>
      </c>
      <c r="G648" s="9" t="b">
        <v>0</v>
      </c>
      <c r="H648" s="9" t="s">
        <v>2835</v>
      </c>
      <c r="I648" s="9">
        <v>2.0</v>
      </c>
      <c r="J648" s="9">
        <v>0.0</v>
      </c>
      <c r="K648" s="9">
        <v>0.0</v>
      </c>
    </row>
    <row r="649" ht="15.75" customHeight="1">
      <c r="A649" s="7" t="s">
        <v>2836</v>
      </c>
      <c r="B649" s="13" t="s">
        <v>282</v>
      </c>
      <c r="C649" s="14" t="s">
        <v>169</v>
      </c>
      <c r="D649" s="14" t="s">
        <v>46</v>
      </c>
      <c r="E649" s="14" t="s">
        <v>2837</v>
      </c>
      <c r="F649" s="9" t="s">
        <v>94</v>
      </c>
      <c r="G649" s="9" t="b">
        <v>0</v>
      </c>
      <c r="H649" s="9" t="s">
        <v>988</v>
      </c>
      <c r="I649" s="9">
        <v>2.0</v>
      </c>
      <c r="J649" s="9">
        <v>0.0</v>
      </c>
      <c r="K649" s="9">
        <v>0.0</v>
      </c>
    </row>
    <row r="650" ht="15.75" customHeight="1">
      <c r="A650" s="7" t="s">
        <v>2838</v>
      </c>
      <c r="B650" s="13" t="s">
        <v>282</v>
      </c>
      <c r="C650" s="14" t="s">
        <v>144</v>
      </c>
      <c r="D650" s="14" t="s">
        <v>46</v>
      </c>
      <c r="E650" s="14" t="s">
        <v>2839</v>
      </c>
      <c r="F650" s="9" t="s">
        <v>147</v>
      </c>
      <c r="G650" s="9" t="b">
        <v>0</v>
      </c>
      <c r="H650" s="9" t="s">
        <v>188</v>
      </c>
      <c r="I650" s="9">
        <v>2.0</v>
      </c>
      <c r="J650" s="9">
        <v>0.0</v>
      </c>
      <c r="K650" s="9">
        <v>4.0</v>
      </c>
    </row>
    <row r="651" ht="15.75" customHeight="1">
      <c r="A651" s="7" t="s">
        <v>2840</v>
      </c>
      <c r="B651" s="13" t="s">
        <v>1235</v>
      </c>
      <c r="C651" s="14" t="s">
        <v>34</v>
      </c>
      <c r="D651" s="14" t="s">
        <v>46</v>
      </c>
      <c r="E651" s="14" t="s">
        <v>2841</v>
      </c>
      <c r="F651" s="9" t="s">
        <v>37</v>
      </c>
      <c r="G651" s="9" t="b">
        <v>0</v>
      </c>
      <c r="H651" s="9" t="s">
        <v>2842</v>
      </c>
      <c r="I651" s="9">
        <v>2.0</v>
      </c>
      <c r="J651" s="9">
        <v>0.0</v>
      </c>
      <c r="K651" s="9">
        <v>0.5</v>
      </c>
    </row>
    <row r="652" ht="15.75" customHeight="1">
      <c r="A652" s="7" t="s">
        <v>2843</v>
      </c>
      <c r="B652" s="13" t="s">
        <v>277</v>
      </c>
      <c r="C652" s="14" t="s">
        <v>144</v>
      </c>
      <c r="D652" s="14" t="s">
        <v>169</v>
      </c>
      <c r="E652" s="14" t="s">
        <v>2844</v>
      </c>
      <c r="F652" s="9" t="s">
        <v>147</v>
      </c>
      <c r="G652" s="9" t="b">
        <v>0</v>
      </c>
      <c r="H652" s="9" t="s">
        <v>2845</v>
      </c>
      <c r="I652" s="9">
        <v>2.0</v>
      </c>
      <c r="J652" s="9">
        <v>0.0</v>
      </c>
      <c r="K652" s="9">
        <v>0.0</v>
      </c>
    </row>
    <row r="653" ht="15.75" customHeight="1">
      <c r="A653" s="7" t="s">
        <v>2846</v>
      </c>
      <c r="B653" s="13" t="s">
        <v>277</v>
      </c>
      <c r="C653" s="14" t="s">
        <v>309</v>
      </c>
      <c r="D653" s="14" t="s">
        <v>169</v>
      </c>
      <c r="E653" s="14" t="s">
        <v>2392</v>
      </c>
      <c r="F653" s="9" t="s">
        <v>311</v>
      </c>
      <c r="G653" s="9" t="b">
        <v>0</v>
      </c>
      <c r="I653" s="9">
        <v>2.0</v>
      </c>
      <c r="J653" s="9">
        <v>0.0</v>
      </c>
      <c r="K653" s="9">
        <v>0.0</v>
      </c>
    </row>
    <row r="654" ht="15.75" customHeight="1">
      <c r="A654" s="7" t="s">
        <v>2847</v>
      </c>
      <c r="B654" s="13" t="s">
        <v>277</v>
      </c>
      <c r="C654" s="14" t="s">
        <v>1203</v>
      </c>
      <c r="D654" s="14" t="s">
        <v>169</v>
      </c>
      <c r="E654" s="14" t="s">
        <v>2848</v>
      </c>
      <c r="F654" s="9" t="s">
        <v>1205</v>
      </c>
      <c r="G654" s="9" t="b">
        <v>0</v>
      </c>
      <c r="H654" s="9" t="s">
        <v>2624</v>
      </c>
      <c r="I654" s="9">
        <v>2.0</v>
      </c>
      <c r="J654" s="9">
        <v>0.0</v>
      </c>
      <c r="K654" s="9">
        <v>0.0</v>
      </c>
    </row>
    <row r="655" ht="15.75" customHeight="1">
      <c r="A655" s="7" t="s">
        <v>2849</v>
      </c>
      <c r="B655" s="13" t="s">
        <v>916</v>
      </c>
      <c r="C655" s="14" t="s">
        <v>1203</v>
      </c>
      <c r="D655" s="14" t="s">
        <v>270</v>
      </c>
      <c r="E655" s="14" t="s">
        <v>2850</v>
      </c>
      <c r="F655" s="9" t="s">
        <v>1205</v>
      </c>
      <c r="G655" s="9" t="b">
        <v>0</v>
      </c>
      <c r="H655" s="9" t="s">
        <v>2851</v>
      </c>
      <c r="I655" s="9">
        <v>2.0</v>
      </c>
      <c r="J655" s="9">
        <v>0.0</v>
      </c>
      <c r="K655" s="9">
        <v>2.0</v>
      </c>
    </row>
    <row r="656" ht="15.75" customHeight="1">
      <c r="A656" s="7" t="s">
        <v>2852</v>
      </c>
      <c r="B656" s="13" t="s">
        <v>920</v>
      </c>
      <c r="C656" s="14" t="s">
        <v>23</v>
      </c>
      <c r="D656" s="14" t="s">
        <v>270</v>
      </c>
      <c r="E656" s="14" t="s">
        <v>2853</v>
      </c>
      <c r="F656" s="9" t="s">
        <v>27</v>
      </c>
      <c r="G656" s="9" t="b">
        <v>1</v>
      </c>
      <c r="H656" s="9" t="s">
        <v>2854</v>
      </c>
      <c r="I656" s="9">
        <v>2.0</v>
      </c>
      <c r="J656" s="9">
        <v>0.0</v>
      </c>
      <c r="K656" s="9">
        <v>0.0</v>
      </c>
    </row>
    <row r="657" ht="15.75" customHeight="1">
      <c r="A657" s="7" t="s">
        <v>2855</v>
      </c>
      <c r="B657" s="13" t="s">
        <v>394</v>
      </c>
      <c r="C657" s="14" t="s">
        <v>1203</v>
      </c>
      <c r="D657" s="14" t="s">
        <v>270</v>
      </c>
      <c r="E657" s="14" t="s">
        <v>2856</v>
      </c>
      <c r="F657" s="9" t="s">
        <v>1205</v>
      </c>
      <c r="G657" s="9" t="b">
        <v>0</v>
      </c>
      <c r="H657" s="9" t="s">
        <v>1126</v>
      </c>
      <c r="I657" s="9">
        <v>2.0</v>
      </c>
      <c r="J657" s="9">
        <v>0.0</v>
      </c>
      <c r="K657" s="9">
        <v>0.0</v>
      </c>
    </row>
    <row r="658" ht="15.75" customHeight="1">
      <c r="A658" s="7" t="s">
        <v>2857</v>
      </c>
      <c r="B658" s="13" t="s">
        <v>180</v>
      </c>
      <c r="C658" s="14" t="s">
        <v>144</v>
      </c>
      <c r="D658" s="14" t="s">
        <v>35</v>
      </c>
      <c r="E658" s="14" t="s">
        <v>2858</v>
      </c>
      <c r="F658" s="9" t="s">
        <v>147</v>
      </c>
      <c r="G658" s="9" t="b">
        <v>0</v>
      </c>
      <c r="H658" s="9" t="s">
        <v>181</v>
      </c>
      <c r="I658" s="9">
        <v>2.0</v>
      </c>
      <c r="J658" s="9">
        <v>0.0</v>
      </c>
      <c r="K658" s="9">
        <v>1.0</v>
      </c>
    </row>
    <row r="659" ht="15.75" customHeight="1">
      <c r="A659" s="7" t="s">
        <v>2859</v>
      </c>
      <c r="B659" s="13" t="s">
        <v>1176</v>
      </c>
      <c r="C659" s="14" t="s">
        <v>169</v>
      </c>
      <c r="D659" s="14" t="s">
        <v>46</v>
      </c>
      <c r="E659" s="14" t="s">
        <v>2860</v>
      </c>
      <c r="F659" s="9" t="s">
        <v>94</v>
      </c>
      <c r="G659" s="9" t="b">
        <v>0</v>
      </c>
      <c r="I659" s="9">
        <v>2.0</v>
      </c>
      <c r="J659" s="9">
        <v>0.0</v>
      </c>
      <c r="K659" s="9">
        <v>1.5</v>
      </c>
    </row>
    <row r="660" ht="15.75" customHeight="1">
      <c r="A660" s="7" t="s">
        <v>2861</v>
      </c>
      <c r="B660" s="13" t="s">
        <v>986</v>
      </c>
      <c r="C660" s="14" t="s">
        <v>34</v>
      </c>
      <c r="D660" s="14" t="s">
        <v>46</v>
      </c>
      <c r="E660" s="14" t="s">
        <v>2862</v>
      </c>
      <c r="F660" s="9" t="s">
        <v>37</v>
      </c>
      <c r="G660" s="9" t="b">
        <v>0</v>
      </c>
      <c r="H660" s="9" t="s">
        <v>2863</v>
      </c>
      <c r="I660" s="9">
        <v>2.0</v>
      </c>
      <c r="J660" s="9">
        <v>0.0</v>
      </c>
      <c r="K660" s="9">
        <v>0.0</v>
      </c>
    </row>
    <row r="661" ht="15.75" customHeight="1">
      <c r="A661" s="7" t="s">
        <v>2864</v>
      </c>
      <c r="B661" s="13" t="s">
        <v>1045</v>
      </c>
      <c r="C661" s="14" t="s">
        <v>34</v>
      </c>
      <c r="D661" s="14" t="s">
        <v>46</v>
      </c>
      <c r="E661" s="14" t="s">
        <v>2865</v>
      </c>
      <c r="F661" s="9" t="s">
        <v>37</v>
      </c>
      <c r="G661" s="9" t="b">
        <v>0</v>
      </c>
      <c r="H661" s="9" t="s">
        <v>2866</v>
      </c>
      <c r="I661" s="9">
        <v>2.0</v>
      </c>
      <c r="J661" s="9">
        <v>0.0</v>
      </c>
      <c r="K661" s="9">
        <v>0.0</v>
      </c>
    </row>
    <row r="662" ht="15.75" customHeight="1">
      <c r="A662" s="7" t="s">
        <v>2867</v>
      </c>
      <c r="B662" s="13" t="s">
        <v>703</v>
      </c>
      <c r="C662" s="14" t="s">
        <v>34</v>
      </c>
      <c r="D662" s="14" t="s">
        <v>46</v>
      </c>
      <c r="E662" s="14" t="s">
        <v>2868</v>
      </c>
      <c r="F662" s="9" t="s">
        <v>37</v>
      </c>
      <c r="G662" s="9" t="b">
        <v>0</v>
      </c>
      <c r="H662" s="9" t="s">
        <v>2869</v>
      </c>
      <c r="I662" s="9">
        <v>2.0</v>
      </c>
      <c r="J662" s="9">
        <v>0.0</v>
      </c>
      <c r="K662" s="9">
        <v>1.5</v>
      </c>
    </row>
    <row r="663" ht="15.75" customHeight="1">
      <c r="A663" s="7" t="s">
        <v>2870</v>
      </c>
      <c r="B663" s="13" t="s">
        <v>1243</v>
      </c>
      <c r="C663" s="14" t="s">
        <v>521</v>
      </c>
      <c r="D663" s="14" t="s">
        <v>46</v>
      </c>
      <c r="E663" s="15"/>
      <c r="F663" s="9" t="s">
        <v>523</v>
      </c>
      <c r="H663" s="9" t="s">
        <v>172</v>
      </c>
      <c r="I663" s="9">
        <v>2.0</v>
      </c>
      <c r="J663" s="9">
        <v>0.0</v>
      </c>
      <c r="K663" s="9">
        <v>1.0</v>
      </c>
    </row>
    <row r="664" ht="15.75" customHeight="1">
      <c r="A664" s="7" t="s">
        <v>2871</v>
      </c>
      <c r="B664" s="13" t="s">
        <v>887</v>
      </c>
      <c r="C664" s="14" t="s">
        <v>34</v>
      </c>
      <c r="D664" s="14" t="s">
        <v>35</v>
      </c>
      <c r="E664" s="14" t="s">
        <v>2872</v>
      </c>
      <c r="F664" s="9" t="s">
        <v>37</v>
      </c>
      <c r="G664" s="9" t="b">
        <v>0</v>
      </c>
      <c r="H664" s="9" t="s">
        <v>2873</v>
      </c>
      <c r="I664" s="9">
        <v>2.0</v>
      </c>
      <c r="J664" s="9">
        <v>0.0</v>
      </c>
      <c r="K664" s="9">
        <v>2.5</v>
      </c>
    </row>
    <row r="665" ht="15.75" customHeight="1">
      <c r="A665" s="7" t="s">
        <v>2874</v>
      </c>
      <c r="B665" s="13" t="s">
        <v>887</v>
      </c>
      <c r="C665" s="14" t="s">
        <v>34</v>
      </c>
      <c r="D665" s="14" t="s">
        <v>35</v>
      </c>
      <c r="E665" s="14" t="s">
        <v>2875</v>
      </c>
      <c r="F665" s="9" t="s">
        <v>37</v>
      </c>
      <c r="G665" s="9" t="b">
        <v>0</v>
      </c>
      <c r="H665" s="9" t="s">
        <v>2876</v>
      </c>
      <c r="I665" s="9">
        <v>2.0</v>
      </c>
      <c r="J665" s="9">
        <v>0.0</v>
      </c>
      <c r="K665" s="9">
        <v>1.0</v>
      </c>
    </row>
    <row r="666" ht="15.75" customHeight="1">
      <c r="A666" s="7" t="s">
        <v>2877</v>
      </c>
      <c r="B666" s="13" t="s">
        <v>1244</v>
      </c>
      <c r="C666" s="14" t="s">
        <v>34</v>
      </c>
      <c r="D666" s="14" t="s">
        <v>46</v>
      </c>
      <c r="E666" s="14" t="s">
        <v>2878</v>
      </c>
      <c r="F666" s="9" t="s">
        <v>37</v>
      </c>
      <c r="G666" s="9" t="b">
        <v>0</v>
      </c>
      <c r="I666" s="9">
        <v>2.0</v>
      </c>
      <c r="J666" s="9">
        <v>0.0</v>
      </c>
      <c r="K666" s="9">
        <v>0.0</v>
      </c>
    </row>
    <row r="667" ht="15.75" customHeight="1">
      <c r="A667" s="7" t="s">
        <v>2879</v>
      </c>
      <c r="B667" s="13" t="s">
        <v>1247</v>
      </c>
      <c r="C667" s="14" t="s">
        <v>521</v>
      </c>
      <c r="D667" s="14" t="s">
        <v>46</v>
      </c>
      <c r="E667" s="14" t="s">
        <v>2880</v>
      </c>
      <c r="F667" s="9" t="s">
        <v>523</v>
      </c>
      <c r="G667" s="9" t="b">
        <v>0</v>
      </c>
      <c r="H667" s="9" t="s">
        <v>1248</v>
      </c>
      <c r="I667" s="9">
        <v>2.0</v>
      </c>
      <c r="J667" s="9">
        <v>0.0</v>
      </c>
      <c r="K667" s="9">
        <v>2.5</v>
      </c>
    </row>
    <row r="668" ht="15.75" customHeight="1">
      <c r="A668" s="7" t="s">
        <v>2881</v>
      </c>
      <c r="B668" s="13" t="s">
        <v>1250</v>
      </c>
      <c r="C668" s="14" t="s">
        <v>1203</v>
      </c>
      <c r="D668" s="14" t="s">
        <v>46</v>
      </c>
      <c r="E668" s="14" t="s">
        <v>2882</v>
      </c>
      <c r="F668" s="9" t="s">
        <v>1205</v>
      </c>
      <c r="G668" s="9" t="b">
        <v>0</v>
      </c>
      <c r="H668" s="9" t="s">
        <v>188</v>
      </c>
      <c r="I668" s="9">
        <v>2.0</v>
      </c>
      <c r="J668" s="9">
        <v>0.0</v>
      </c>
      <c r="K668" s="9">
        <v>0.5</v>
      </c>
    </row>
    <row r="669" ht="15.75" customHeight="1">
      <c r="A669" s="7" t="s">
        <v>2883</v>
      </c>
      <c r="B669" s="13" t="s">
        <v>775</v>
      </c>
      <c r="C669" s="14" t="s">
        <v>169</v>
      </c>
      <c r="D669" s="14" t="s">
        <v>46</v>
      </c>
      <c r="E669" s="14" t="s">
        <v>2429</v>
      </c>
      <c r="F669" s="9" t="s">
        <v>94</v>
      </c>
      <c r="G669" s="9" t="b">
        <v>0</v>
      </c>
      <c r="I669" s="9">
        <v>2.0</v>
      </c>
      <c r="J669" s="9">
        <v>0.0</v>
      </c>
      <c r="K669" s="9">
        <v>1.0</v>
      </c>
    </row>
    <row r="670" ht="15.75" customHeight="1">
      <c r="A670" s="7" t="s">
        <v>2884</v>
      </c>
      <c r="B670" s="13" t="s">
        <v>756</v>
      </c>
      <c r="C670" s="14" t="s">
        <v>169</v>
      </c>
      <c r="D670" s="14" t="s">
        <v>35</v>
      </c>
      <c r="E670" s="14" t="s">
        <v>2885</v>
      </c>
      <c r="F670" s="9" t="s">
        <v>94</v>
      </c>
      <c r="G670" s="9" t="b">
        <v>0</v>
      </c>
      <c r="H670" s="9" t="s">
        <v>2886</v>
      </c>
      <c r="I670" s="9">
        <v>2.0</v>
      </c>
      <c r="J670" s="9">
        <v>0.0</v>
      </c>
      <c r="K670" s="9">
        <v>4.0</v>
      </c>
    </row>
    <row r="671" ht="15.75" customHeight="1">
      <c r="A671" s="7" t="s">
        <v>2887</v>
      </c>
      <c r="B671" s="13" t="s">
        <v>128</v>
      </c>
      <c r="C671" s="14" t="s">
        <v>34</v>
      </c>
      <c r="D671" s="14" t="s">
        <v>169</v>
      </c>
      <c r="E671" s="14" t="s">
        <v>2888</v>
      </c>
      <c r="F671" s="9" t="s">
        <v>37</v>
      </c>
      <c r="G671" s="9" t="b">
        <v>0</v>
      </c>
      <c r="H671" s="9" t="s">
        <v>2889</v>
      </c>
      <c r="I671" s="9">
        <v>2.0</v>
      </c>
      <c r="J671" s="9">
        <v>0.0</v>
      </c>
      <c r="K671" s="9">
        <v>1.5</v>
      </c>
    </row>
    <row r="672" ht="15.75" customHeight="1">
      <c r="A672" s="7" t="s">
        <v>2890</v>
      </c>
      <c r="B672" s="13" t="s">
        <v>128</v>
      </c>
      <c r="C672" s="14" t="s">
        <v>34</v>
      </c>
      <c r="D672" s="14" t="s">
        <v>169</v>
      </c>
      <c r="E672" s="14" t="s">
        <v>2891</v>
      </c>
      <c r="F672" s="9" t="s">
        <v>37</v>
      </c>
      <c r="G672" s="9" t="b">
        <v>0</v>
      </c>
      <c r="H672" s="9" t="s">
        <v>2892</v>
      </c>
      <c r="I672" s="9">
        <v>2.0</v>
      </c>
      <c r="J672" s="9">
        <v>0.0</v>
      </c>
      <c r="K672" s="9">
        <v>1.0</v>
      </c>
    </row>
    <row r="673" ht="15.75" customHeight="1">
      <c r="A673" s="7" t="s">
        <v>2893</v>
      </c>
      <c r="B673" s="13" t="s">
        <v>472</v>
      </c>
      <c r="C673" s="14" t="s">
        <v>34</v>
      </c>
      <c r="D673" s="14" t="s">
        <v>46</v>
      </c>
      <c r="E673" s="14" t="s">
        <v>2894</v>
      </c>
      <c r="F673" s="9" t="s">
        <v>37</v>
      </c>
      <c r="G673" s="9" t="b">
        <v>0</v>
      </c>
      <c r="H673" s="9" t="s">
        <v>2895</v>
      </c>
      <c r="I673" s="9">
        <v>2.0</v>
      </c>
      <c r="J673" s="9">
        <v>0.0</v>
      </c>
      <c r="K673" s="9">
        <v>0.5</v>
      </c>
    </row>
    <row r="674" ht="15.75" customHeight="1">
      <c r="A674" s="7" t="s">
        <v>2896</v>
      </c>
      <c r="B674" s="13" t="s">
        <v>1051</v>
      </c>
      <c r="C674" s="14" t="s">
        <v>34</v>
      </c>
      <c r="D674" s="14" t="s">
        <v>35</v>
      </c>
      <c r="E674" s="14" t="s">
        <v>2897</v>
      </c>
      <c r="F674" s="9" t="s">
        <v>37</v>
      </c>
      <c r="G674" s="9" t="b">
        <v>0</v>
      </c>
      <c r="H674" s="9" t="s">
        <v>2898</v>
      </c>
      <c r="I674" s="9">
        <v>2.0</v>
      </c>
      <c r="J674" s="9">
        <v>0.0</v>
      </c>
      <c r="K674" s="9">
        <v>2.5</v>
      </c>
    </row>
    <row r="675" ht="15.75" customHeight="1">
      <c r="A675" s="7" t="s">
        <v>2899</v>
      </c>
      <c r="B675" s="13" t="s">
        <v>1253</v>
      </c>
      <c r="C675" s="14" t="s">
        <v>521</v>
      </c>
      <c r="D675" s="14" t="s">
        <v>46</v>
      </c>
      <c r="E675" s="14" t="s">
        <v>2900</v>
      </c>
      <c r="F675" s="9" t="s">
        <v>523</v>
      </c>
      <c r="G675" s="9" t="b">
        <v>0</v>
      </c>
      <c r="I675" s="9">
        <v>2.0</v>
      </c>
      <c r="J675" s="9">
        <v>0.0</v>
      </c>
      <c r="K675" s="9">
        <v>0.0</v>
      </c>
    </row>
    <row r="676" ht="15.75" customHeight="1">
      <c r="A676" s="7" t="s">
        <v>2901</v>
      </c>
      <c r="B676" s="13" t="s">
        <v>1254</v>
      </c>
      <c r="C676" s="14" t="s">
        <v>169</v>
      </c>
      <c r="D676" s="14" t="s">
        <v>46</v>
      </c>
      <c r="E676" s="14" t="s">
        <v>2902</v>
      </c>
      <c r="F676" s="9" t="s">
        <v>94</v>
      </c>
      <c r="G676" s="9" t="b">
        <v>0</v>
      </c>
      <c r="H676" s="9" t="s">
        <v>188</v>
      </c>
      <c r="I676" s="9">
        <v>2.0</v>
      </c>
      <c r="J676" s="9">
        <v>0.0</v>
      </c>
      <c r="K676" s="9">
        <v>1.5</v>
      </c>
    </row>
    <row r="677" ht="15.75" customHeight="1">
      <c r="A677" s="7" t="s">
        <v>2903</v>
      </c>
      <c r="B677" s="13" t="s">
        <v>1257</v>
      </c>
      <c r="C677" s="14" t="s">
        <v>144</v>
      </c>
      <c r="D677" s="14" t="s">
        <v>46</v>
      </c>
      <c r="E677" s="14" t="s">
        <v>2904</v>
      </c>
      <c r="F677" s="9" t="s">
        <v>147</v>
      </c>
      <c r="G677" s="9" t="b">
        <v>0</v>
      </c>
      <c r="I677" s="9">
        <v>2.0</v>
      </c>
      <c r="J677" s="9">
        <v>0.0</v>
      </c>
      <c r="K677" s="9">
        <v>1.0</v>
      </c>
    </row>
    <row r="678" ht="15.75" customHeight="1">
      <c r="A678" s="7" t="s">
        <v>2905</v>
      </c>
      <c r="B678" s="13" t="s">
        <v>496</v>
      </c>
      <c r="C678" s="14" t="s">
        <v>169</v>
      </c>
      <c r="D678" s="14" t="s">
        <v>46</v>
      </c>
      <c r="E678" s="14" t="s">
        <v>2906</v>
      </c>
      <c r="F678" s="9" t="s">
        <v>94</v>
      </c>
      <c r="G678" s="9" t="b">
        <v>0</v>
      </c>
      <c r="I678" s="9">
        <v>2.0</v>
      </c>
      <c r="J678" s="9">
        <v>0.0</v>
      </c>
      <c r="K678" s="9">
        <v>1.0</v>
      </c>
    </row>
    <row r="679" ht="15.75" customHeight="1">
      <c r="A679" s="7" t="s">
        <v>2907</v>
      </c>
      <c r="B679" s="13" t="s">
        <v>1055</v>
      </c>
      <c r="C679" s="14" t="s">
        <v>34</v>
      </c>
      <c r="D679" s="14" t="s">
        <v>46</v>
      </c>
      <c r="E679" s="14" t="s">
        <v>2908</v>
      </c>
      <c r="F679" s="9" t="s">
        <v>37</v>
      </c>
      <c r="G679" s="9" t="b">
        <v>0</v>
      </c>
      <c r="H679" s="9" t="s">
        <v>482</v>
      </c>
      <c r="I679" s="9">
        <v>2.0</v>
      </c>
      <c r="J679" s="9">
        <v>0.0</v>
      </c>
      <c r="K679" s="9">
        <v>1.0</v>
      </c>
    </row>
    <row r="680" ht="15.75" customHeight="1">
      <c r="A680" s="7" t="s">
        <v>2909</v>
      </c>
      <c r="B680" s="13" t="s">
        <v>1258</v>
      </c>
      <c r="C680" s="14" t="s">
        <v>521</v>
      </c>
      <c r="D680" s="14" t="s">
        <v>46</v>
      </c>
      <c r="E680" s="14" t="s">
        <v>2910</v>
      </c>
      <c r="F680" s="9" t="s">
        <v>523</v>
      </c>
      <c r="G680" s="9" t="b">
        <v>0</v>
      </c>
      <c r="H680" s="9" t="s">
        <v>188</v>
      </c>
      <c r="I680" s="9">
        <v>2.0</v>
      </c>
      <c r="J680" s="9">
        <v>0.0</v>
      </c>
      <c r="K680" s="9">
        <v>0.0</v>
      </c>
    </row>
    <row r="681" ht="15.75" customHeight="1">
      <c r="A681" s="7" t="s">
        <v>2911</v>
      </c>
      <c r="B681" s="13" t="s">
        <v>819</v>
      </c>
      <c r="C681" s="14" t="s">
        <v>144</v>
      </c>
      <c r="D681" s="14" t="s">
        <v>46</v>
      </c>
      <c r="E681" s="14" t="s">
        <v>2912</v>
      </c>
      <c r="F681" s="9" t="s">
        <v>147</v>
      </c>
      <c r="G681" s="9" t="b">
        <v>0</v>
      </c>
      <c r="I681" s="9">
        <v>2.0</v>
      </c>
      <c r="J681" s="9">
        <v>0.0</v>
      </c>
      <c r="K681" s="9">
        <v>1.0</v>
      </c>
    </row>
    <row r="682" ht="15.75" customHeight="1">
      <c r="A682" s="7" t="s">
        <v>2913</v>
      </c>
      <c r="B682" s="13" t="s">
        <v>1259</v>
      </c>
      <c r="C682" s="14" t="s">
        <v>144</v>
      </c>
      <c r="D682" s="14" t="s">
        <v>46</v>
      </c>
      <c r="E682" s="15"/>
      <c r="F682" s="9" t="s">
        <v>147</v>
      </c>
      <c r="G682" s="9" t="b">
        <v>0</v>
      </c>
      <c r="I682" s="9">
        <v>2.0</v>
      </c>
      <c r="J682" s="9">
        <v>0.0</v>
      </c>
      <c r="K682" s="9">
        <v>0.0</v>
      </c>
    </row>
    <row r="683" ht="15.75" customHeight="1">
      <c r="A683" s="7" t="s">
        <v>2914</v>
      </c>
      <c r="B683" s="14" t="s">
        <v>893</v>
      </c>
      <c r="C683" s="14" t="s">
        <v>34</v>
      </c>
      <c r="D683" s="14" t="s">
        <v>46</v>
      </c>
      <c r="E683" s="14" t="s">
        <v>2915</v>
      </c>
      <c r="F683" s="9" t="s">
        <v>37</v>
      </c>
      <c r="G683" s="9" t="b">
        <v>0</v>
      </c>
      <c r="H683" s="9" t="s">
        <v>2916</v>
      </c>
      <c r="I683" s="9">
        <v>2.0</v>
      </c>
      <c r="J683" s="9">
        <v>0.0</v>
      </c>
      <c r="K683" s="9">
        <v>1.5</v>
      </c>
    </row>
    <row r="684" ht="15.75" customHeight="1">
      <c r="A684" s="7" t="s">
        <v>2917</v>
      </c>
      <c r="B684" s="13" t="s">
        <v>1263</v>
      </c>
      <c r="C684" s="14" t="s">
        <v>521</v>
      </c>
      <c r="D684" s="14" t="s">
        <v>46</v>
      </c>
      <c r="E684" s="14" t="s">
        <v>2918</v>
      </c>
      <c r="F684" s="9" t="s">
        <v>523</v>
      </c>
      <c r="G684" s="9" t="b">
        <v>0</v>
      </c>
      <c r="H684" s="9" t="s">
        <v>799</v>
      </c>
      <c r="I684" s="9">
        <v>2.0</v>
      </c>
      <c r="J684" s="9">
        <v>0.0</v>
      </c>
      <c r="K684" s="9">
        <v>0.0</v>
      </c>
    </row>
    <row r="685" ht="15.75" customHeight="1">
      <c r="A685" s="7" t="s">
        <v>2919</v>
      </c>
      <c r="B685" s="13" t="s">
        <v>1067</v>
      </c>
      <c r="C685" s="14" t="s">
        <v>169</v>
      </c>
      <c r="D685" s="14" t="s">
        <v>270</v>
      </c>
      <c r="E685" s="14" t="s">
        <v>2920</v>
      </c>
      <c r="F685" s="9" t="s">
        <v>94</v>
      </c>
      <c r="G685" s="9" t="b">
        <v>0</v>
      </c>
      <c r="I685" s="9">
        <v>2.0</v>
      </c>
      <c r="J685" s="9">
        <v>0.0</v>
      </c>
      <c r="K685" s="9">
        <v>2.0</v>
      </c>
    </row>
    <row r="686" ht="15.75" customHeight="1">
      <c r="A686" s="7" t="s">
        <v>2921</v>
      </c>
      <c r="B686" s="13" t="s">
        <v>1264</v>
      </c>
      <c r="C686" s="14" t="s">
        <v>144</v>
      </c>
      <c r="D686" s="14" t="s">
        <v>46</v>
      </c>
      <c r="E686" s="14" t="s">
        <v>2922</v>
      </c>
      <c r="F686" s="9" t="s">
        <v>147</v>
      </c>
      <c r="G686" s="9" t="b">
        <v>0</v>
      </c>
      <c r="H686" s="9" t="s">
        <v>1265</v>
      </c>
      <c r="I686" s="9">
        <v>2.0</v>
      </c>
      <c r="J686" s="9">
        <v>0.0</v>
      </c>
      <c r="K686" s="9">
        <v>2.5</v>
      </c>
    </row>
    <row r="687" ht="15.75" customHeight="1">
      <c r="A687" s="7" t="s">
        <v>2923</v>
      </c>
      <c r="B687" s="13" t="s">
        <v>1267</v>
      </c>
      <c r="C687" s="14" t="s">
        <v>521</v>
      </c>
      <c r="D687" s="14" t="s">
        <v>46</v>
      </c>
      <c r="E687" s="14" t="s">
        <v>2924</v>
      </c>
      <c r="F687" s="9" t="s">
        <v>523</v>
      </c>
      <c r="G687" s="9" t="b">
        <v>0</v>
      </c>
      <c r="I687" s="9">
        <v>2.0</v>
      </c>
      <c r="J687" s="9">
        <v>0.0</v>
      </c>
      <c r="K687" s="9">
        <v>1.0</v>
      </c>
    </row>
    <row r="688" ht="15.75" customHeight="1">
      <c r="A688" s="7" t="s">
        <v>2925</v>
      </c>
      <c r="B688" s="13" t="s">
        <v>1269</v>
      </c>
      <c r="C688" s="14" t="s">
        <v>144</v>
      </c>
      <c r="D688" s="14" t="s">
        <v>46</v>
      </c>
      <c r="E688" s="14" t="s">
        <v>2926</v>
      </c>
      <c r="F688" s="9" t="s">
        <v>147</v>
      </c>
      <c r="G688" s="9" t="b">
        <v>0</v>
      </c>
      <c r="I688" s="9">
        <v>2.0</v>
      </c>
      <c r="J688" s="9">
        <v>0.0</v>
      </c>
      <c r="K688" s="9">
        <v>2.0</v>
      </c>
    </row>
    <row r="689" ht="15.75" customHeight="1">
      <c r="A689" s="7" t="s">
        <v>2927</v>
      </c>
      <c r="B689" s="13" t="s">
        <v>79</v>
      </c>
      <c r="C689" s="14" t="s">
        <v>144</v>
      </c>
      <c r="D689" s="14" t="s">
        <v>35</v>
      </c>
      <c r="E689" s="14" t="s">
        <v>2928</v>
      </c>
      <c r="F689" s="9" t="s">
        <v>147</v>
      </c>
      <c r="G689" s="9" t="b">
        <v>0</v>
      </c>
      <c r="H689" s="9" t="s">
        <v>2665</v>
      </c>
      <c r="I689" s="9">
        <v>2.0</v>
      </c>
      <c r="J689" s="9">
        <v>0.0</v>
      </c>
      <c r="K689" s="9">
        <v>1.5</v>
      </c>
    </row>
    <row r="690" ht="15.75" customHeight="1">
      <c r="A690" s="7" t="s">
        <v>2929</v>
      </c>
      <c r="B690" s="13" t="s">
        <v>79</v>
      </c>
      <c r="C690" s="14" t="s">
        <v>144</v>
      </c>
      <c r="D690" s="14" t="s">
        <v>35</v>
      </c>
      <c r="E690" s="14" t="s">
        <v>2930</v>
      </c>
      <c r="F690" s="9" t="s">
        <v>147</v>
      </c>
      <c r="G690" s="9" t="b">
        <v>0</v>
      </c>
      <c r="H690" s="9" t="s">
        <v>2665</v>
      </c>
      <c r="I690" s="9">
        <v>2.0</v>
      </c>
      <c r="J690" s="9">
        <v>0.0</v>
      </c>
      <c r="K690" s="9">
        <v>1.0</v>
      </c>
    </row>
    <row r="691" ht="15.75" customHeight="1">
      <c r="A691" s="7" t="s">
        <v>2931</v>
      </c>
      <c r="B691" s="13" t="s">
        <v>79</v>
      </c>
      <c r="C691" s="14" t="s">
        <v>144</v>
      </c>
      <c r="D691" s="14" t="s">
        <v>35</v>
      </c>
      <c r="E691" s="14" t="s">
        <v>2932</v>
      </c>
      <c r="F691" s="9" t="s">
        <v>147</v>
      </c>
      <c r="G691" s="9" t="b">
        <v>0</v>
      </c>
      <c r="H691" s="9" t="s">
        <v>599</v>
      </c>
      <c r="I691" s="9">
        <v>2.0</v>
      </c>
      <c r="J691" s="9">
        <v>0.0</v>
      </c>
      <c r="K691" s="9">
        <v>1.5</v>
      </c>
    </row>
    <row r="692" ht="15.75" customHeight="1">
      <c r="A692" s="7" t="s">
        <v>2933</v>
      </c>
      <c r="B692" s="13" t="s">
        <v>54</v>
      </c>
      <c r="C692" s="14" t="s">
        <v>169</v>
      </c>
      <c r="D692" s="14" t="s">
        <v>25</v>
      </c>
      <c r="E692" s="14" t="s">
        <v>2934</v>
      </c>
      <c r="F692" s="9" t="s">
        <v>94</v>
      </c>
      <c r="G692" s="9" t="b">
        <v>0</v>
      </c>
      <c r="H692" s="9" t="s">
        <v>2935</v>
      </c>
      <c r="I692" s="9">
        <v>2.0</v>
      </c>
      <c r="J692" s="9">
        <v>0.0</v>
      </c>
      <c r="K692" s="9">
        <v>0.0</v>
      </c>
    </row>
    <row r="693" ht="15.75" customHeight="1">
      <c r="A693" s="7" t="s">
        <v>2936</v>
      </c>
      <c r="B693" s="13" t="s">
        <v>54</v>
      </c>
      <c r="C693" s="14" t="s">
        <v>23</v>
      </c>
      <c r="D693" s="14" t="s">
        <v>25</v>
      </c>
      <c r="E693" s="14" t="s">
        <v>2937</v>
      </c>
      <c r="F693" s="9" t="s">
        <v>27</v>
      </c>
      <c r="G693" s="9" t="b">
        <v>0</v>
      </c>
      <c r="H693" s="9" t="s">
        <v>2938</v>
      </c>
      <c r="I693" s="9">
        <v>2.0</v>
      </c>
      <c r="J693" s="9">
        <v>0.0</v>
      </c>
      <c r="K693" s="9">
        <v>0.0</v>
      </c>
    </row>
    <row r="694" ht="15.75" customHeight="1">
      <c r="A694" s="7" t="s">
        <v>2939</v>
      </c>
      <c r="B694" s="13" t="s">
        <v>277</v>
      </c>
      <c r="C694" s="14" t="s">
        <v>169</v>
      </c>
      <c r="D694" s="14" t="s">
        <v>169</v>
      </c>
      <c r="E694" s="15"/>
      <c r="F694" s="9" t="s">
        <v>94</v>
      </c>
      <c r="H694" s="9" t="s">
        <v>172</v>
      </c>
      <c r="I694" s="9">
        <v>2.0</v>
      </c>
      <c r="J694" s="9">
        <v>0.0</v>
      </c>
      <c r="K694" s="9">
        <v>0.0</v>
      </c>
    </row>
    <row r="695" ht="15.75" customHeight="1">
      <c r="A695" s="7" t="s">
        <v>2940</v>
      </c>
      <c r="B695" s="13" t="s">
        <v>1270</v>
      </c>
      <c r="C695" s="14" t="s">
        <v>144</v>
      </c>
      <c r="D695" s="14" t="s">
        <v>169</v>
      </c>
      <c r="E695" s="14" t="s">
        <v>2941</v>
      </c>
      <c r="F695" s="9" t="s">
        <v>147</v>
      </c>
      <c r="G695" s="9" t="b">
        <v>0</v>
      </c>
      <c r="H695" s="9" t="s">
        <v>2942</v>
      </c>
      <c r="I695" s="9">
        <v>2.0</v>
      </c>
      <c r="J695" s="9">
        <v>0.0</v>
      </c>
      <c r="K695" s="9">
        <v>1.0</v>
      </c>
    </row>
    <row r="696" ht="15.75" customHeight="1">
      <c r="A696" s="7" t="s">
        <v>2943</v>
      </c>
      <c r="B696" s="13" t="s">
        <v>1273</v>
      </c>
      <c r="C696" s="14" t="s">
        <v>144</v>
      </c>
      <c r="D696" s="14" t="s">
        <v>46</v>
      </c>
      <c r="E696" s="14" t="s">
        <v>2944</v>
      </c>
      <c r="F696" s="9" t="s">
        <v>147</v>
      </c>
      <c r="G696" s="9" t="b">
        <v>0</v>
      </c>
      <c r="H696" s="9" t="s">
        <v>2945</v>
      </c>
      <c r="I696" s="9">
        <v>2.0</v>
      </c>
      <c r="J696" s="9">
        <v>0.0</v>
      </c>
      <c r="K696" s="9">
        <v>1.5</v>
      </c>
    </row>
    <row r="697" ht="15.75" customHeight="1">
      <c r="A697" s="7" t="s">
        <v>2946</v>
      </c>
      <c r="B697" s="13" t="s">
        <v>1073</v>
      </c>
      <c r="C697" s="14" t="s">
        <v>34</v>
      </c>
      <c r="D697" s="14" t="s">
        <v>46</v>
      </c>
      <c r="E697" s="14" t="s">
        <v>2947</v>
      </c>
      <c r="F697" s="9" t="s">
        <v>37</v>
      </c>
      <c r="G697" s="9" t="b">
        <v>0</v>
      </c>
      <c r="H697" s="9" t="s">
        <v>2948</v>
      </c>
      <c r="I697" s="9">
        <v>2.0</v>
      </c>
      <c r="J697" s="9">
        <v>0.0</v>
      </c>
      <c r="K697" s="9">
        <v>1.0</v>
      </c>
    </row>
    <row r="698" ht="15.75" customHeight="1">
      <c r="A698" s="7" t="s">
        <v>2949</v>
      </c>
      <c r="B698" s="13" t="s">
        <v>1876</v>
      </c>
      <c r="C698" s="14" t="s">
        <v>144</v>
      </c>
      <c r="D698" s="14" t="s">
        <v>46</v>
      </c>
      <c r="E698" s="14" t="s">
        <v>2950</v>
      </c>
      <c r="F698" s="9" t="s">
        <v>147</v>
      </c>
      <c r="G698" s="9" t="b">
        <v>0</v>
      </c>
      <c r="H698" s="9" t="s">
        <v>188</v>
      </c>
      <c r="I698" s="9">
        <v>2.0</v>
      </c>
      <c r="J698" s="9">
        <v>0.0</v>
      </c>
      <c r="K698" s="9">
        <v>0.0</v>
      </c>
    </row>
    <row r="699" ht="15.75" customHeight="1">
      <c r="A699" s="7" t="s">
        <v>2951</v>
      </c>
      <c r="B699" s="13" t="s">
        <v>211</v>
      </c>
      <c r="C699" s="14" t="s">
        <v>34</v>
      </c>
      <c r="D699" s="14" t="s">
        <v>46</v>
      </c>
      <c r="E699" s="14" t="s">
        <v>2952</v>
      </c>
      <c r="F699" s="9" t="s">
        <v>37</v>
      </c>
      <c r="G699" s="9" t="b">
        <v>0</v>
      </c>
      <c r="I699" s="9">
        <v>2.0</v>
      </c>
      <c r="J699" s="9">
        <v>0.0</v>
      </c>
      <c r="K699" s="9">
        <v>0.5</v>
      </c>
    </row>
    <row r="700" ht="15.75" customHeight="1">
      <c r="A700" s="7" t="s">
        <v>2953</v>
      </c>
      <c r="B700" s="14" t="s">
        <v>1279</v>
      </c>
      <c r="C700" s="14" t="s">
        <v>521</v>
      </c>
      <c r="D700" s="14" t="s">
        <v>46</v>
      </c>
      <c r="E700" s="14" t="s">
        <v>2954</v>
      </c>
      <c r="F700" s="9" t="s">
        <v>523</v>
      </c>
      <c r="G700" s="9" t="b">
        <v>0</v>
      </c>
      <c r="I700" s="9">
        <v>2.0</v>
      </c>
      <c r="J700" s="9">
        <v>0.0</v>
      </c>
      <c r="K700" s="9">
        <v>0.0</v>
      </c>
    </row>
    <row r="701" ht="15.75" customHeight="1">
      <c r="A701" s="7" t="s">
        <v>2955</v>
      </c>
      <c r="B701" s="13" t="s">
        <v>42</v>
      </c>
      <c r="C701" s="14" t="s">
        <v>34</v>
      </c>
      <c r="D701" s="14" t="s">
        <v>35</v>
      </c>
      <c r="E701" s="14" t="s">
        <v>2956</v>
      </c>
      <c r="F701" s="9" t="s">
        <v>37</v>
      </c>
      <c r="G701" s="9" t="b">
        <v>0</v>
      </c>
      <c r="H701" s="9" t="s">
        <v>2957</v>
      </c>
      <c r="I701" s="9">
        <v>2.0</v>
      </c>
      <c r="J701" s="9">
        <v>0.0</v>
      </c>
      <c r="K701" s="9">
        <v>0.0</v>
      </c>
    </row>
    <row r="702" ht="15.75" customHeight="1">
      <c r="A702" s="7" t="s">
        <v>2958</v>
      </c>
      <c r="B702" s="13" t="s">
        <v>1281</v>
      </c>
      <c r="C702" s="14" t="s">
        <v>61</v>
      </c>
      <c r="D702" s="14" t="s">
        <v>35</v>
      </c>
      <c r="E702" s="14" t="s">
        <v>2959</v>
      </c>
      <c r="F702" s="9" t="s">
        <v>64</v>
      </c>
      <c r="G702" s="9" t="b">
        <v>0</v>
      </c>
      <c r="H702" s="9" t="s">
        <v>1283</v>
      </c>
      <c r="I702" s="9">
        <v>2.0</v>
      </c>
      <c r="J702" s="9">
        <v>0.0</v>
      </c>
      <c r="K702" s="9">
        <v>0.0</v>
      </c>
    </row>
    <row r="703" ht="15.75" customHeight="1">
      <c r="A703" s="7" t="s">
        <v>2960</v>
      </c>
      <c r="B703" s="14" t="s">
        <v>86</v>
      </c>
      <c r="C703" s="14" t="s">
        <v>34</v>
      </c>
      <c r="D703" s="14" t="s">
        <v>35</v>
      </c>
      <c r="E703" s="14" t="s">
        <v>1530</v>
      </c>
      <c r="F703" s="9" t="s">
        <v>37</v>
      </c>
      <c r="G703" s="9" t="b">
        <v>0</v>
      </c>
      <c r="H703" s="9" t="s">
        <v>1532</v>
      </c>
      <c r="I703" s="9">
        <v>2.0</v>
      </c>
      <c r="J703" s="9">
        <v>0.0</v>
      </c>
      <c r="K703" s="9">
        <v>0.0</v>
      </c>
    </row>
    <row r="704" ht="15.75" customHeight="1">
      <c r="A704" s="7" t="s">
        <v>2961</v>
      </c>
      <c r="B704" s="13" t="s">
        <v>895</v>
      </c>
      <c r="C704" s="14" t="s">
        <v>144</v>
      </c>
      <c r="D704" s="14" t="s">
        <v>46</v>
      </c>
      <c r="E704" s="14" t="s">
        <v>2962</v>
      </c>
      <c r="F704" s="9" t="s">
        <v>147</v>
      </c>
      <c r="G704" s="9" t="b">
        <v>0</v>
      </c>
      <c r="H704" s="9" t="s">
        <v>188</v>
      </c>
      <c r="I704" s="9">
        <v>2.0</v>
      </c>
      <c r="J704" s="9">
        <v>0.0</v>
      </c>
      <c r="K704" s="9">
        <v>2.5</v>
      </c>
    </row>
    <row r="705" ht="15.75" customHeight="1">
      <c r="A705" s="7" t="s">
        <v>2963</v>
      </c>
      <c r="B705" s="13" t="s">
        <v>844</v>
      </c>
      <c r="C705" s="14" t="s">
        <v>521</v>
      </c>
      <c r="D705" s="14" t="s">
        <v>2964</v>
      </c>
      <c r="E705" s="14" t="s">
        <v>2965</v>
      </c>
      <c r="F705" s="9" t="s">
        <v>523</v>
      </c>
      <c r="G705" s="9" t="b">
        <v>1</v>
      </c>
      <c r="H705" s="9" t="s">
        <v>2966</v>
      </c>
      <c r="I705" s="9">
        <v>2.0</v>
      </c>
      <c r="J705" s="9">
        <v>0.0</v>
      </c>
      <c r="K705" s="9">
        <v>1.0</v>
      </c>
    </row>
    <row r="706" ht="15.75" customHeight="1">
      <c r="A706" s="7" t="s">
        <v>2967</v>
      </c>
      <c r="B706" s="13" t="s">
        <v>1294</v>
      </c>
      <c r="C706" s="14" t="s">
        <v>1203</v>
      </c>
      <c r="D706" s="14" t="s">
        <v>46</v>
      </c>
      <c r="E706" s="14" t="s">
        <v>2968</v>
      </c>
      <c r="F706" s="9" t="s">
        <v>1205</v>
      </c>
      <c r="G706" s="9" t="b">
        <v>0</v>
      </c>
      <c r="I706" s="9">
        <v>2.0</v>
      </c>
      <c r="J706" s="9">
        <v>0.0</v>
      </c>
      <c r="K706" s="9">
        <v>0.0</v>
      </c>
    </row>
    <row r="707" ht="15.75" customHeight="1">
      <c r="A707" s="7" t="s">
        <v>2969</v>
      </c>
      <c r="B707" s="13" t="s">
        <v>952</v>
      </c>
      <c r="C707" s="14" t="s">
        <v>1203</v>
      </c>
      <c r="D707" s="14" t="s">
        <v>270</v>
      </c>
      <c r="E707" s="14" t="s">
        <v>2970</v>
      </c>
      <c r="F707" s="9" t="s">
        <v>1205</v>
      </c>
      <c r="G707" s="9" t="b">
        <v>0</v>
      </c>
      <c r="H707" s="9" t="s">
        <v>482</v>
      </c>
      <c r="I707" s="9">
        <v>2.0</v>
      </c>
      <c r="J707" s="9">
        <v>0.0</v>
      </c>
      <c r="K707" s="9">
        <v>1.5</v>
      </c>
    </row>
    <row r="708" ht="15.75" customHeight="1">
      <c r="A708" s="7" t="s">
        <v>2971</v>
      </c>
      <c r="B708" s="13" t="s">
        <v>952</v>
      </c>
      <c r="C708" s="14" t="s">
        <v>1203</v>
      </c>
      <c r="D708" s="14" t="s">
        <v>270</v>
      </c>
      <c r="E708" s="14" t="s">
        <v>2972</v>
      </c>
      <c r="F708" s="9" t="s">
        <v>1205</v>
      </c>
      <c r="G708" s="9" t="b">
        <v>0</v>
      </c>
      <c r="I708" s="9">
        <v>2.0</v>
      </c>
      <c r="J708" s="9">
        <v>0.0</v>
      </c>
      <c r="K708" s="9">
        <v>2.0</v>
      </c>
    </row>
    <row r="709" ht="15.75" customHeight="1">
      <c r="A709" s="7" t="s">
        <v>2973</v>
      </c>
      <c r="B709" s="13" t="s">
        <v>1295</v>
      </c>
      <c r="C709" s="14" t="s">
        <v>521</v>
      </c>
      <c r="D709" s="14" t="s">
        <v>46</v>
      </c>
      <c r="E709" s="14" t="s">
        <v>2974</v>
      </c>
      <c r="F709" s="9" t="s">
        <v>523</v>
      </c>
      <c r="G709" s="9" t="b">
        <v>0</v>
      </c>
      <c r="I709" s="9">
        <v>2.0</v>
      </c>
      <c r="J709" s="9">
        <v>0.0</v>
      </c>
      <c r="K709" s="9">
        <v>1.0</v>
      </c>
    </row>
    <row r="710" ht="15.75" customHeight="1">
      <c r="A710" s="7" t="s">
        <v>2975</v>
      </c>
      <c r="B710" s="13" t="s">
        <v>1299</v>
      </c>
      <c r="C710" s="14" t="s">
        <v>144</v>
      </c>
      <c r="D710" s="14" t="s">
        <v>46</v>
      </c>
      <c r="E710" s="14" t="s">
        <v>2976</v>
      </c>
      <c r="F710" s="9" t="s">
        <v>147</v>
      </c>
      <c r="G710" s="9" t="b">
        <v>0</v>
      </c>
      <c r="H710" s="9" t="s">
        <v>2977</v>
      </c>
      <c r="I710" s="9">
        <v>2.0</v>
      </c>
      <c r="J710" s="9">
        <v>0.0</v>
      </c>
      <c r="K710" s="9">
        <v>0.0</v>
      </c>
    </row>
    <row r="711" ht="15.75" customHeight="1">
      <c r="A711" s="7" t="s">
        <v>2978</v>
      </c>
      <c r="B711" s="13" t="s">
        <v>763</v>
      </c>
      <c r="C711" s="14" t="s">
        <v>521</v>
      </c>
      <c r="D711" s="14" t="s">
        <v>46</v>
      </c>
      <c r="E711" s="14" t="s">
        <v>2979</v>
      </c>
      <c r="F711" s="9" t="s">
        <v>523</v>
      </c>
      <c r="G711" s="9" t="b">
        <v>0</v>
      </c>
      <c r="I711" s="9">
        <v>2.0</v>
      </c>
      <c r="J711" s="9">
        <v>0.0</v>
      </c>
      <c r="K711" s="9">
        <v>1.5</v>
      </c>
    </row>
    <row r="712" ht="15.75" customHeight="1">
      <c r="A712" s="7" t="s">
        <v>2980</v>
      </c>
      <c r="B712" s="13" t="s">
        <v>763</v>
      </c>
      <c r="C712" s="14" t="s">
        <v>144</v>
      </c>
      <c r="D712" s="14" t="s">
        <v>46</v>
      </c>
      <c r="E712" s="14" t="s">
        <v>2981</v>
      </c>
      <c r="F712" s="9" t="s">
        <v>147</v>
      </c>
      <c r="G712" s="9" t="b">
        <v>0</v>
      </c>
      <c r="I712" s="9">
        <v>2.0</v>
      </c>
      <c r="J712" s="9">
        <v>0.0</v>
      </c>
      <c r="K712" s="9">
        <v>1.0</v>
      </c>
    </row>
    <row r="713" ht="15.75" customHeight="1">
      <c r="A713" s="7" t="s">
        <v>2982</v>
      </c>
      <c r="B713" s="13" t="s">
        <v>162</v>
      </c>
      <c r="C713" s="14" t="s">
        <v>169</v>
      </c>
      <c r="D713" s="14" t="s">
        <v>35</v>
      </c>
      <c r="E713" s="14" t="s">
        <v>2983</v>
      </c>
      <c r="F713" s="9" t="s">
        <v>94</v>
      </c>
      <c r="G713" s="9" t="b">
        <v>0</v>
      </c>
      <c r="H713" s="9" t="s">
        <v>398</v>
      </c>
      <c r="I713" s="9">
        <v>2.0</v>
      </c>
      <c r="J713" s="9">
        <v>0.0</v>
      </c>
      <c r="K713" s="9">
        <v>0.5</v>
      </c>
    </row>
    <row r="714" ht="15.75" customHeight="1">
      <c r="A714" s="7" t="s">
        <v>2984</v>
      </c>
      <c r="B714" s="13" t="s">
        <v>808</v>
      </c>
      <c r="C714" s="14" t="s">
        <v>144</v>
      </c>
      <c r="D714" s="14" t="s">
        <v>46</v>
      </c>
      <c r="E714" s="14" t="s">
        <v>2985</v>
      </c>
      <c r="F714" s="9" t="s">
        <v>147</v>
      </c>
      <c r="G714" s="9" t="b">
        <v>0</v>
      </c>
      <c r="I714" s="9">
        <v>2.0</v>
      </c>
      <c r="J714" s="9">
        <v>0.0</v>
      </c>
      <c r="K714" s="9">
        <v>0.0</v>
      </c>
    </row>
    <row r="715" ht="15.75" customHeight="1">
      <c r="A715" s="7" t="s">
        <v>2986</v>
      </c>
      <c r="B715" s="13" t="s">
        <v>142</v>
      </c>
      <c r="C715" s="14" t="s">
        <v>34</v>
      </c>
      <c r="D715" s="14" t="s">
        <v>25</v>
      </c>
      <c r="E715" s="14" t="s">
        <v>2987</v>
      </c>
      <c r="F715" s="9" t="s">
        <v>37</v>
      </c>
      <c r="G715" s="9" t="b">
        <v>0</v>
      </c>
      <c r="H715" s="9" t="s">
        <v>2988</v>
      </c>
      <c r="I715" s="9">
        <v>2.0</v>
      </c>
      <c r="J715" s="9">
        <v>0.0</v>
      </c>
      <c r="K715" s="9">
        <v>0.0</v>
      </c>
    </row>
    <row r="716" ht="15.75" customHeight="1">
      <c r="A716" s="7" t="s">
        <v>2989</v>
      </c>
      <c r="B716" s="13" t="s">
        <v>142</v>
      </c>
      <c r="C716" s="14" t="s">
        <v>34</v>
      </c>
      <c r="D716" s="14" t="s">
        <v>25</v>
      </c>
      <c r="E716" s="14" t="s">
        <v>2990</v>
      </c>
      <c r="F716" s="9" t="s">
        <v>37</v>
      </c>
      <c r="G716" s="9" t="b">
        <v>0</v>
      </c>
      <c r="H716" s="9" t="s">
        <v>2991</v>
      </c>
      <c r="I716" s="9">
        <v>2.0</v>
      </c>
      <c r="J716" s="9">
        <v>0.0</v>
      </c>
      <c r="K716" s="9">
        <v>1.0</v>
      </c>
    </row>
    <row r="717" ht="15.75" customHeight="1">
      <c r="A717" s="7" t="s">
        <v>2992</v>
      </c>
      <c r="B717" s="13" t="s">
        <v>532</v>
      </c>
      <c r="C717" s="14" t="s">
        <v>34</v>
      </c>
      <c r="D717" s="14" t="s">
        <v>46</v>
      </c>
      <c r="E717" s="14" t="s">
        <v>2993</v>
      </c>
      <c r="F717" s="9" t="s">
        <v>37</v>
      </c>
      <c r="G717" s="9" t="b">
        <v>0</v>
      </c>
      <c r="H717" s="9" t="s">
        <v>2994</v>
      </c>
      <c r="I717" s="9">
        <v>2.0</v>
      </c>
      <c r="J717" s="9">
        <v>0.0</v>
      </c>
      <c r="K717" s="9">
        <v>0.0</v>
      </c>
    </row>
    <row r="718" ht="15.75" customHeight="1">
      <c r="A718" s="7" t="s">
        <v>2995</v>
      </c>
      <c r="B718" s="13" t="s">
        <v>557</v>
      </c>
      <c r="C718" s="14" t="s">
        <v>34</v>
      </c>
      <c r="D718" s="14" t="s">
        <v>46</v>
      </c>
      <c r="E718" s="14" t="s">
        <v>2996</v>
      </c>
      <c r="F718" s="9" t="s">
        <v>37</v>
      </c>
      <c r="G718" s="9" t="b">
        <v>0</v>
      </c>
      <c r="H718" s="9" t="s">
        <v>2997</v>
      </c>
      <c r="I718" s="9">
        <v>2.0</v>
      </c>
      <c r="J718" s="9">
        <v>0.0</v>
      </c>
      <c r="K718" s="9">
        <v>1.0</v>
      </c>
    </row>
    <row r="719" ht="15.75" customHeight="1">
      <c r="A719" s="7" t="s">
        <v>2998</v>
      </c>
      <c r="B719" s="13" t="s">
        <v>1305</v>
      </c>
      <c r="C719" s="14" t="s">
        <v>309</v>
      </c>
      <c r="D719" s="14" t="s">
        <v>46</v>
      </c>
      <c r="E719" s="14" t="s">
        <v>2999</v>
      </c>
      <c r="F719" s="9" t="s">
        <v>311</v>
      </c>
      <c r="G719" s="9" t="b">
        <v>0</v>
      </c>
      <c r="H719" s="9" t="s">
        <v>226</v>
      </c>
      <c r="I719" s="9">
        <v>2.0</v>
      </c>
      <c r="J719" s="9">
        <v>0.0</v>
      </c>
      <c r="K719" s="9">
        <v>1.0</v>
      </c>
    </row>
    <row r="720" ht="15.75" customHeight="1">
      <c r="A720" s="7" t="s">
        <v>3000</v>
      </c>
      <c r="B720" s="13" t="s">
        <v>1307</v>
      </c>
      <c r="C720" s="14" t="s">
        <v>34</v>
      </c>
      <c r="D720" s="14" t="s">
        <v>46</v>
      </c>
      <c r="E720" s="14" t="s">
        <v>3001</v>
      </c>
      <c r="F720" s="9" t="s">
        <v>37</v>
      </c>
      <c r="G720" s="9" t="b">
        <v>0</v>
      </c>
      <c r="H720" s="9" t="s">
        <v>3002</v>
      </c>
      <c r="I720" s="9">
        <v>2.0</v>
      </c>
      <c r="J720" s="9">
        <v>0.0</v>
      </c>
      <c r="K720" s="9">
        <v>1.5</v>
      </c>
    </row>
    <row r="721" ht="15.75" customHeight="1">
      <c r="A721" s="7" t="s">
        <v>3003</v>
      </c>
      <c r="B721" s="13" t="s">
        <v>1311</v>
      </c>
      <c r="C721" s="14" t="s">
        <v>431</v>
      </c>
      <c r="D721" s="14" t="s">
        <v>46</v>
      </c>
      <c r="E721" s="14" t="s">
        <v>3004</v>
      </c>
      <c r="F721" s="9" t="s">
        <v>433</v>
      </c>
      <c r="G721" s="9" t="b">
        <v>0</v>
      </c>
      <c r="H721" s="9" t="s">
        <v>188</v>
      </c>
      <c r="I721" s="9">
        <v>2.0</v>
      </c>
      <c r="J721" s="9">
        <v>0.0</v>
      </c>
      <c r="K721" s="9">
        <v>1.0</v>
      </c>
    </row>
    <row r="722" ht="15.75" customHeight="1">
      <c r="A722" s="7" t="s">
        <v>3005</v>
      </c>
      <c r="B722" s="13" t="s">
        <v>1094</v>
      </c>
      <c r="C722" s="14" t="s">
        <v>61</v>
      </c>
      <c r="D722" s="14" t="s">
        <v>46</v>
      </c>
      <c r="E722" s="14" t="s">
        <v>3006</v>
      </c>
      <c r="F722" s="9" t="s">
        <v>64</v>
      </c>
      <c r="G722" s="9" t="b">
        <v>0</v>
      </c>
      <c r="H722" s="9" t="s">
        <v>1098</v>
      </c>
      <c r="I722" s="9">
        <v>2.0</v>
      </c>
      <c r="J722" s="9">
        <v>0.0</v>
      </c>
      <c r="K722" s="9">
        <v>0.0</v>
      </c>
    </row>
    <row r="723" ht="15.75" customHeight="1">
      <c r="A723" s="7" t="s">
        <v>3007</v>
      </c>
      <c r="B723" s="13" t="s">
        <v>1313</v>
      </c>
      <c r="C723" s="14" t="s">
        <v>144</v>
      </c>
      <c r="D723" s="14" t="s">
        <v>46</v>
      </c>
      <c r="E723" s="14" t="s">
        <v>3008</v>
      </c>
      <c r="F723" s="9" t="s">
        <v>147</v>
      </c>
      <c r="G723" s="9" t="b">
        <v>0</v>
      </c>
      <c r="H723" s="9" t="s">
        <v>188</v>
      </c>
      <c r="I723" s="9">
        <v>2.0</v>
      </c>
      <c r="J723" s="9">
        <v>0.0</v>
      </c>
      <c r="K723" s="9">
        <v>0.0</v>
      </c>
    </row>
    <row r="724" ht="15.75" customHeight="1">
      <c r="A724" s="7" t="s">
        <v>3009</v>
      </c>
      <c r="B724" s="13" t="s">
        <v>277</v>
      </c>
      <c r="C724" s="14" t="s">
        <v>521</v>
      </c>
      <c r="D724" s="14" t="s">
        <v>169</v>
      </c>
      <c r="E724" s="14" t="s">
        <v>3010</v>
      </c>
      <c r="F724" s="9" t="s">
        <v>523</v>
      </c>
      <c r="G724" s="9" t="b">
        <v>0</v>
      </c>
      <c r="I724" s="9">
        <v>2.0</v>
      </c>
      <c r="J724" s="9">
        <v>0.0</v>
      </c>
      <c r="K724" s="9">
        <v>0.0</v>
      </c>
    </row>
    <row r="725" ht="15.75" customHeight="1">
      <c r="A725" s="7" t="s">
        <v>3011</v>
      </c>
      <c r="B725" s="13" t="s">
        <v>1315</v>
      </c>
      <c r="C725" s="14" t="s">
        <v>144</v>
      </c>
      <c r="D725" s="14" t="s">
        <v>46</v>
      </c>
      <c r="E725" s="14" t="s">
        <v>3012</v>
      </c>
      <c r="F725" s="9" t="s">
        <v>147</v>
      </c>
      <c r="G725" s="9" t="b">
        <v>0</v>
      </c>
      <c r="I725" s="9">
        <v>2.0</v>
      </c>
      <c r="J725" s="9">
        <v>0.0</v>
      </c>
      <c r="K725" s="9">
        <v>1.0</v>
      </c>
    </row>
    <row r="726" ht="15.75" customHeight="1">
      <c r="A726" s="7" t="s">
        <v>3013</v>
      </c>
      <c r="B726" s="13" t="s">
        <v>2059</v>
      </c>
      <c r="C726" s="14" t="s">
        <v>61</v>
      </c>
      <c r="D726" s="14" t="s">
        <v>270</v>
      </c>
      <c r="E726" s="14" t="s">
        <v>3014</v>
      </c>
      <c r="F726" s="9" t="s">
        <v>64</v>
      </c>
      <c r="G726" s="9" t="b">
        <v>0</v>
      </c>
      <c r="H726" s="9" t="s">
        <v>3015</v>
      </c>
      <c r="I726" s="9">
        <v>2.0</v>
      </c>
      <c r="J726" s="9">
        <v>0.0</v>
      </c>
      <c r="K726" s="9">
        <v>0.0</v>
      </c>
    </row>
    <row r="727" ht="15.75" customHeight="1">
      <c r="A727" s="7" t="s">
        <v>3016</v>
      </c>
      <c r="B727" s="13" t="s">
        <v>1317</v>
      </c>
      <c r="C727" s="14" t="s">
        <v>61</v>
      </c>
      <c r="D727" s="14" t="s">
        <v>62</v>
      </c>
      <c r="E727" s="14" t="s">
        <v>3017</v>
      </c>
      <c r="F727" s="9" t="s">
        <v>64</v>
      </c>
      <c r="G727" s="9" t="b">
        <v>0</v>
      </c>
      <c r="I727" s="9">
        <v>2.0</v>
      </c>
      <c r="J727" s="9">
        <v>0.0</v>
      </c>
      <c r="K727" s="9">
        <v>0.0</v>
      </c>
    </row>
    <row r="728" ht="15.75" customHeight="1">
      <c r="A728" s="7" t="s">
        <v>3018</v>
      </c>
      <c r="B728" s="13" t="s">
        <v>252</v>
      </c>
      <c r="C728" s="14" t="s">
        <v>169</v>
      </c>
      <c r="D728" s="14" t="s">
        <v>169</v>
      </c>
      <c r="E728" s="14" t="s">
        <v>3019</v>
      </c>
      <c r="F728" s="9" t="s">
        <v>94</v>
      </c>
      <c r="G728" s="9" t="b">
        <v>0</v>
      </c>
      <c r="H728" s="9" t="s">
        <v>3020</v>
      </c>
      <c r="I728" s="9">
        <v>2.0</v>
      </c>
      <c r="J728" s="9">
        <v>0.0</v>
      </c>
      <c r="K728" s="9">
        <v>0.0</v>
      </c>
    </row>
    <row r="729" ht="15.75" customHeight="1">
      <c r="A729" s="7" t="s">
        <v>3021</v>
      </c>
      <c r="B729" s="13" t="s">
        <v>252</v>
      </c>
      <c r="C729" s="14" t="s">
        <v>34</v>
      </c>
      <c r="D729" s="14" t="s">
        <v>169</v>
      </c>
      <c r="E729" s="14" t="s">
        <v>3022</v>
      </c>
      <c r="F729" s="9" t="s">
        <v>37</v>
      </c>
      <c r="G729" s="9" t="b">
        <v>0</v>
      </c>
      <c r="H729" s="9" t="s">
        <v>3023</v>
      </c>
      <c r="I729" s="9">
        <v>2.0</v>
      </c>
      <c r="J729" s="9">
        <v>0.0</v>
      </c>
      <c r="K729" s="9">
        <v>1.5</v>
      </c>
    </row>
    <row r="730" ht="15.75" customHeight="1">
      <c r="A730" s="7" t="s">
        <v>3024</v>
      </c>
      <c r="B730" s="13" t="s">
        <v>1207</v>
      </c>
      <c r="C730" s="14" t="s">
        <v>169</v>
      </c>
      <c r="D730" s="14" t="s">
        <v>169</v>
      </c>
      <c r="E730" s="15"/>
      <c r="F730" s="9" t="s">
        <v>94</v>
      </c>
      <c r="H730" s="9" t="s">
        <v>172</v>
      </c>
      <c r="I730" s="9">
        <v>2.0</v>
      </c>
      <c r="J730" s="9">
        <v>0.0</v>
      </c>
      <c r="K730" s="9">
        <v>0.0</v>
      </c>
    </row>
    <row r="731" ht="15.75" customHeight="1">
      <c r="A731" s="7" t="s">
        <v>3025</v>
      </c>
      <c r="B731" s="13" t="s">
        <v>289</v>
      </c>
      <c r="C731" s="14" t="s">
        <v>521</v>
      </c>
      <c r="D731" s="14" t="s">
        <v>46</v>
      </c>
      <c r="E731" s="14" t="s">
        <v>3026</v>
      </c>
      <c r="F731" s="9" t="s">
        <v>523</v>
      </c>
      <c r="G731" s="9" t="b">
        <v>0</v>
      </c>
      <c r="I731" s="9">
        <v>2.0</v>
      </c>
      <c r="J731" s="9">
        <v>0.0</v>
      </c>
      <c r="K731" s="9">
        <v>0.0</v>
      </c>
    </row>
    <row r="732" ht="15.75" customHeight="1">
      <c r="A732" s="7" t="s">
        <v>3027</v>
      </c>
      <c r="B732" s="13" t="s">
        <v>289</v>
      </c>
      <c r="C732" s="14" t="s">
        <v>61</v>
      </c>
      <c r="D732" s="14" t="s">
        <v>46</v>
      </c>
      <c r="E732" s="14" t="s">
        <v>3028</v>
      </c>
      <c r="F732" s="9" t="s">
        <v>64</v>
      </c>
      <c r="G732" s="9" t="b">
        <v>0</v>
      </c>
      <c r="H732" s="9" t="s">
        <v>188</v>
      </c>
      <c r="I732" s="9">
        <v>2.0</v>
      </c>
      <c r="J732" s="9">
        <v>0.0</v>
      </c>
      <c r="K732" s="9">
        <v>1.0</v>
      </c>
    </row>
    <row r="733" ht="15.75" customHeight="1">
      <c r="A733" s="7" t="s">
        <v>3029</v>
      </c>
      <c r="B733" s="13" t="s">
        <v>1113</v>
      </c>
      <c r="C733" s="14" t="s">
        <v>144</v>
      </c>
      <c r="D733" s="14" t="s">
        <v>35</v>
      </c>
      <c r="E733" s="14" t="s">
        <v>3030</v>
      </c>
      <c r="F733" s="9" t="s">
        <v>147</v>
      </c>
      <c r="G733" s="9" t="b">
        <v>0</v>
      </c>
      <c r="H733" s="9" t="s">
        <v>3031</v>
      </c>
      <c r="I733" s="9">
        <v>2.0</v>
      </c>
      <c r="J733" s="9">
        <v>0.0</v>
      </c>
      <c r="K733" s="9">
        <v>1.0</v>
      </c>
    </row>
    <row r="734" ht="15.75" customHeight="1">
      <c r="A734" s="7" t="s">
        <v>3032</v>
      </c>
      <c r="B734" s="14" t="s">
        <v>200</v>
      </c>
      <c r="C734" s="14" t="s">
        <v>309</v>
      </c>
      <c r="D734" s="14" t="s">
        <v>46</v>
      </c>
      <c r="E734" s="14" t="s">
        <v>3033</v>
      </c>
      <c r="F734" s="9" t="s">
        <v>311</v>
      </c>
      <c r="G734" s="9" t="b">
        <v>0</v>
      </c>
      <c r="I734" s="9">
        <v>2.0</v>
      </c>
      <c r="J734" s="9">
        <v>0.0</v>
      </c>
      <c r="K734" s="9">
        <v>2.5</v>
      </c>
    </row>
    <row r="735" ht="15.75" customHeight="1">
      <c r="A735" s="7" t="s">
        <v>3034</v>
      </c>
      <c r="B735" s="13" t="s">
        <v>2101</v>
      </c>
      <c r="C735" s="14" t="s">
        <v>144</v>
      </c>
      <c r="D735" s="14" t="s">
        <v>46</v>
      </c>
      <c r="E735" s="14" t="s">
        <v>3035</v>
      </c>
      <c r="F735" s="9" t="s">
        <v>147</v>
      </c>
      <c r="G735" s="9" t="b">
        <v>0</v>
      </c>
      <c r="I735" s="9">
        <v>2.0</v>
      </c>
      <c r="J735" s="9">
        <v>0.0</v>
      </c>
      <c r="K735" s="9">
        <v>1.0</v>
      </c>
    </row>
    <row r="736" ht="15.75" customHeight="1">
      <c r="A736" s="7" t="s">
        <v>3036</v>
      </c>
      <c r="B736" s="14" t="s">
        <v>1327</v>
      </c>
      <c r="C736" s="14" t="s">
        <v>169</v>
      </c>
      <c r="D736" s="14" t="s">
        <v>46</v>
      </c>
      <c r="E736" s="14" t="s">
        <v>3037</v>
      </c>
      <c r="F736" s="9" t="s">
        <v>94</v>
      </c>
      <c r="G736" s="9" t="b">
        <v>0</v>
      </c>
      <c r="H736" s="9" t="s">
        <v>1328</v>
      </c>
      <c r="I736" s="9">
        <v>2.0</v>
      </c>
      <c r="J736" s="9">
        <v>0.0</v>
      </c>
      <c r="K736" s="9">
        <v>0.0</v>
      </c>
    </row>
    <row r="737" ht="15.75" customHeight="1">
      <c r="A737" s="7" t="s">
        <v>3038</v>
      </c>
      <c r="B737" s="13" t="s">
        <v>1329</v>
      </c>
      <c r="C737" s="14" t="s">
        <v>34</v>
      </c>
      <c r="D737" s="14" t="s">
        <v>46</v>
      </c>
      <c r="E737" s="14" t="s">
        <v>3039</v>
      </c>
      <c r="F737" s="9" t="s">
        <v>37</v>
      </c>
      <c r="G737" s="9" t="b">
        <v>0</v>
      </c>
      <c r="H737" s="9" t="s">
        <v>3040</v>
      </c>
      <c r="I737" s="9">
        <v>2.0</v>
      </c>
      <c r="J737" s="9">
        <v>0.0</v>
      </c>
      <c r="K737" s="9">
        <v>0.0</v>
      </c>
    </row>
    <row r="738" ht="15.75" customHeight="1">
      <c r="A738" s="7" t="s">
        <v>3041</v>
      </c>
      <c r="B738" s="13" t="s">
        <v>1331</v>
      </c>
      <c r="C738" s="14" t="s">
        <v>144</v>
      </c>
      <c r="D738" s="14" t="s">
        <v>46</v>
      </c>
      <c r="E738" s="14" t="s">
        <v>3042</v>
      </c>
      <c r="F738" s="9" t="s">
        <v>147</v>
      </c>
      <c r="G738" s="9" t="b">
        <v>0</v>
      </c>
      <c r="I738" s="9">
        <v>2.0</v>
      </c>
      <c r="J738" s="9">
        <v>0.0</v>
      </c>
      <c r="K738" s="9">
        <v>1.5</v>
      </c>
    </row>
    <row r="739" ht="15.75" customHeight="1">
      <c r="A739" s="7" t="s">
        <v>3043</v>
      </c>
      <c r="B739" s="13" t="s">
        <v>1335</v>
      </c>
      <c r="C739" s="14" t="s">
        <v>521</v>
      </c>
      <c r="D739" s="14" t="s">
        <v>46</v>
      </c>
      <c r="E739" s="14" t="s">
        <v>3044</v>
      </c>
      <c r="F739" s="9" t="s">
        <v>523</v>
      </c>
      <c r="G739" s="9" t="b">
        <v>0</v>
      </c>
      <c r="I739" s="9">
        <v>2.0</v>
      </c>
      <c r="J739" s="9">
        <v>0.0</v>
      </c>
      <c r="K739" s="9">
        <v>3.0</v>
      </c>
    </row>
    <row r="740" ht="15.75" customHeight="1">
      <c r="A740" s="7" t="s">
        <v>3045</v>
      </c>
      <c r="B740" s="13" t="s">
        <v>1336</v>
      </c>
      <c r="C740" s="14" t="s">
        <v>144</v>
      </c>
      <c r="D740" s="14" t="s">
        <v>46</v>
      </c>
      <c r="E740" s="14" t="s">
        <v>3046</v>
      </c>
      <c r="F740" s="9" t="s">
        <v>147</v>
      </c>
      <c r="G740" s="9" t="b">
        <v>0</v>
      </c>
      <c r="I740" s="9">
        <v>2.0</v>
      </c>
      <c r="J740" s="9">
        <v>0.0</v>
      </c>
      <c r="K740" s="9">
        <v>0.0</v>
      </c>
    </row>
    <row r="741" ht="15.75" customHeight="1">
      <c r="A741" s="7" t="s">
        <v>3047</v>
      </c>
      <c r="B741" s="13" t="s">
        <v>2153</v>
      </c>
      <c r="C741" s="14" t="s">
        <v>34</v>
      </c>
      <c r="D741" s="14" t="s">
        <v>46</v>
      </c>
      <c r="E741" s="14" t="s">
        <v>3048</v>
      </c>
      <c r="F741" s="9" t="s">
        <v>37</v>
      </c>
      <c r="G741" s="9" t="b">
        <v>0</v>
      </c>
      <c r="H741" s="9" t="s">
        <v>799</v>
      </c>
      <c r="I741" s="9">
        <v>2.0</v>
      </c>
      <c r="J741" s="9">
        <v>0.0</v>
      </c>
      <c r="K741" s="9">
        <v>0.0</v>
      </c>
    </row>
    <row r="742" ht="15.75" customHeight="1">
      <c r="A742" s="7" t="s">
        <v>3049</v>
      </c>
      <c r="B742" s="13" t="s">
        <v>436</v>
      </c>
      <c r="C742" s="14" t="s">
        <v>521</v>
      </c>
      <c r="D742" s="14" t="s">
        <v>46</v>
      </c>
      <c r="E742" s="14" t="s">
        <v>3050</v>
      </c>
      <c r="F742" s="9" t="s">
        <v>523</v>
      </c>
      <c r="G742" s="9" t="b">
        <v>0</v>
      </c>
      <c r="H742" s="9" t="s">
        <v>340</v>
      </c>
      <c r="I742" s="9">
        <v>2.0</v>
      </c>
      <c r="J742" s="9">
        <v>0.0</v>
      </c>
      <c r="K742" s="9">
        <v>0.0</v>
      </c>
    </row>
    <row r="743" ht="15.75" customHeight="1">
      <c r="A743" s="7" t="s">
        <v>3051</v>
      </c>
      <c r="B743" s="13" t="s">
        <v>1337</v>
      </c>
      <c r="C743" s="14" t="s">
        <v>521</v>
      </c>
      <c r="D743" s="14" t="s">
        <v>46</v>
      </c>
      <c r="E743" s="14" t="s">
        <v>3052</v>
      </c>
      <c r="F743" s="9" t="s">
        <v>523</v>
      </c>
      <c r="G743" s="9" t="b">
        <v>0</v>
      </c>
      <c r="H743" s="9" t="s">
        <v>1339</v>
      </c>
      <c r="I743" s="9">
        <v>2.0</v>
      </c>
      <c r="J743" s="9">
        <v>0.0</v>
      </c>
      <c r="K743" s="9">
        <v>0.0</v>
      </c>
    </row>
    <row r="744" ht="15.75" customHeight="1">
      <c r="A744" s="7" t="s">
        <v>3053</v>
      </c>
      <c r="B744" s="13" t="s">
        <v>993</v>
      </c>
      <c r="C744" s="14" t="s">
        <v>61</v>
      </c>
      <c r="D744" s="14" t="s">
        <v>46</v>
      </c>
      <c r="E744" s="14" t="s">
        <v>3054</v>
      </c>
      <c r="F744" s="9" t="s">
        <v>64</v>
      </c>
      <c r="G744" s="9" t="b">
        <v>0</v>
      </c>
      <c r="I744" s="9">
        <v>2.0</v>
      </c>
      <c r="J744" s="9">
        <v>0.0</v>
      </c>
      <c r="K744" s="9">
        <v>1.5</v>
      </c>
    </row>
    <row r="745" ht="15.75" customHeight="1">
      <c r="A745" s="7" t="s">
        <v>3055</v>
      </c>
      <c r="B745" s="13" t="s">
        <v>88</v>
      </c>
      <c r="C745" s="14" t="s">
        <v>235</v>
      </c>
      <c r="D745" s="14" t="s">
        <v>25</v>
      </c>
      <c r="E745" s="14" t="s">
        <v>3056</v>
      </c>
      <c r="F745" s="9" t="s">
        <v>237</v>
      </c>
      <c r="G745" s="9" t="b">
        <v>0</v>
      </c>
      <c r="I745" s="9">
        <v>2.0</v>
      </c>
      <c r="J745" s="9">
        <v>0.0</v>
      </c>
      <c r="K745" s="9">
        <v>1.5</v>
      </c>
    </row>
    <row r="746" ht="15.75" customHeight="1">
      <c r="A746" s="7" t="s">
        <v>3057</v>
      </c>
      <c r="B746" s="13" t="s">
        <v>88</v>
      </c>
      <c r="C746" s="14" t="s">
        <v>235</v>
      </c>
      <c r="D746" s="14" t="s">
        <v>25</v>
      </c>
      <c r="E746" s="14" t="s">
        <v>3058</v>
      </c>
      <c r="F746" s="9" t="s">
        <v>237</v>
      </c>
      <c r="G746" s="9" t="b">
        <v>0</v>
      </c>
      <c r="I746" s="9">
        <v>2.0</v>
      </c>
      <c r="J746" s="9">
        <v>0.0</v>
      </c>
      <c r="K746" s="9">
        <v>1.5</v>
      </c>
    </row>
    <row r="747" ht="15.75" customHeight="1">
      <c r="A747" s="7" t="s">
        <v>3059</v>
      </c>
      <c r="B747" s="13" t="s">
        <v>88</v>
      </c>
      <c r="C747" s="14" t="s">
        <v>235</v>
      </c>
      <c r="D747" s="14" t="s">
        <v>25</v>
      </c>
      <c r="E747" s="14" t="s">
        <v>3060</v>
      </c>
      <c r="F747" s="9" t="s">
        <v>237</v>
      </c>
      <c r="G747" s="9" t="b">
        <v>0</v>
      </c>
      <c r="H747" s="9" t="s">
        <v>201</v>
      </c>
      <c r="I747" s="9">
        <v>2.0</v>
      </c>
      <c r="J747" s="9">
        <v>0.0</v>
      </c>
      <c r="K747" s="9">
        <v>1.5</v>
      </c>
    </row>
    <row r="748" ht="15.75" customHeight="1">
      <c r="A748" s="7" t="s">
        <v>3061</v>
      </c>
      <c r="B748" s="13" t="s">
        <v>1341</v>
      </c>
      <c r="C748" s="14" t="s">
        <v>144</v>
      </c>
      <c r="D748" s="14" t="s">
        <v>46</v>
      </c>
      <c r="E748" s="14" t="s">
        <v>3062</v>
      </c>
      <c r="F748" s="9" t="s">
        <v>147</v>
      </c>
      <c r="G748" s="9" t="b">
        <v>0</v>
      </c>
      <c r="H748" s="9" t="s">
        <v>720</v>
      </c>
      <c r="I748" s="9">
        <v>2.0</v>
      </c>
      <c r="J748" s="9">
        <v>0.0</v>
      </c>
      <c r="K748" s="9">
        <v>0.0</v>
      </c>
    </row>
    <row r="749" ht="15.75" customHeight="1">
      <c r="A749" s="7" t="s">
        <v>3063</v>
      </c>
      <c r="B749" s="13" t="s">
        <v>1349</v>
      </c>
      <c r="C749" s="14" t="s">
        <v>34</v>
      </c>
      <c r="D749" s="14" t="s">
        <v>46</v>
      </c>
      <c r="E749" s="14" t="s">
        <v>3064</v>
      </c>
      <c r="F749" s="9" t="s">
        <v>37</v>
      </c>
      <c r="G749" s="9" t="b">
        <v>0</v>
      </c>
      <c r="H749" s="9" t="s">
        <v>1352</v>
      </c>
      <c r="I749" s="9">
        <v>2.0</v>
      </c>
      <c r="J749" s="9">
        <v>0.0</v>
      </c>
      <c r="K749" s="9">
        <v>1.0</v>
      </c>
    </row>
    <row r="750" ht="15.75" customHeight="1">
      <c r="A750" s="7" t="s">
        <v>3065</v>
      </c>
      <c r="B750" s="13" t="s">
        <v>1353</v>
      </c>
      <c r="C750" s="14" t="s">
        <v>169</v>
      </c>
      <c r="D750" s="14" t="s">
        <v>46</v>
      </c>
      <c r="E750" s="14" t="s">
        <v>3066</v>
      </c>
      <c r="F750" s="9" t="s">
        <v>94</v>
      </c>
      <c r="G750" s="9" t="b">
        <v>0</v>
      </c>
      <c r="I750" s="9">
        <v>2.0</v>
      </c>
      <c r="J750" s="9">
        <v>0.0</v>
      </c>
      <c r="K750" s="9">
        <v>0.0</v>
      </c>
    </row>
    <row r="751" ht="15.75" customHeight="1">
      <c r="A751" s="7" t="s">
        <v>3067</v>
      </c>
      <c r="B751" s="13" t="s">
        <v>1356</v>
      </c>
      <c r="C751" s="14" t="s">
        <v>34</v>
      </c>
      <c r="D751" s="14" t="s">
        <v>46</v>
      </c>
      <c r="E751" s="14" t="s">
        <v>3068</v>
      </c>
      <c r="F751" s="9" t="s">
        <v>37</v>
      </c>
      <c r="G751" s="9" t="b">
        <v>0</v>
      </c>
      <c r="H751" s="9" t="s">
        <v>3069</v>
      </c>
      <c r="I751" s="9">
        <v>2.0</v>
      </c>
      <c r="J751" s="9">
        <v>0.0</v>
      </c>
      <c r="K751" s="9">
        <v>1.5</v>
      </c>
    </row>
    <row r="752" ht="15.75" customHeight="1">
      <c r="A752" s="7" t="s">
        <v>3070</v>
      </c>
      <c r="B752" s="13" t="s">
        <v>502</v>
      </c>
      <c r="C752" s="14" t="s">
        <v>144</v>
      </c>
      <c r="D752" s="14" t="s">
        <v>46</v>
      </c>
      <c r="E752" s="14" t="s">
        <v>3071</v>
      </c>
      <c r="F752" s="9" t="s">
        <v>147</v>
      </c>
      <c r="G752" s="9" t="b">
        <v>0</v>
      </c>
      <c r="H752" s="9" t="s">
        <v>503</v>
      </c>
      <c r="I752" s="9">
        <v>2.0</v>
      </c>
      <c r="J752" s="9">
        <v>0.0</v>
      </c>
      <c r="K752" s="9">
        <v>1.0</v>
      </c>
    </row>
    <row r="753" ht="15.75" customHeight="1">
      <c r="A753" s="7" t="s">
        <v>3072</v>
      </c>
      <c r="B753" s="13" t="s">
        <v>1358</v>
      </c>
      <c r="C753" s="14" t="s">
        <v>34</v>
      </c>
      <c r="D753" s="14" t="s">
        <v>46</v>
      </c>
      <c r="E753" s="14" t="s">
        <v>3073</v>
      </c>
      <c r="F753" s="9" t="s">
        <v>37</v>
      </c>
      <c r="G753" s="9" t="b">
        <v>0</v>
      </c>
      <c r="H753" s="9" t="s">
        <v>3074</v>
      </c>
      <c r="I753" s="9">
        <v>2.0</v>
      </c>
      <c r="J753" s="9">
        <v>0.0</v>
      </c>
      <c r="K753" s="9">
        <v>0.5</v>
      </c>
    </row>
    <row r="754" ht="15.75" customHeight="1">
      <c r="A754" s="7" t="s">
        <v>3075</v>
      </c>
      <c r="B754" s="13" t="s">
        <v>876</v>
      </c>
      <c r="C754" s="14" t="s">
        <v>34</v>
      </c>
      <c r="D754" s="14" t="s">
        <v>46</v>
      </c>
      <c r="E754" s="14" t="s">
        <v>3076</v>
      </c>
      <c r="F754" s="9" t="s">
        <v>37</v>
      </c>
      <c r="G754" s="9" t="b">
        <v>0</v>
      </c>
      <c r="H754" s="9" t="s">
        <v>720</v>
      </c>
      <c r="I754" s="9">
        <v>2.0</v>
      </c>
      <c r="J754" s="9">
        <v>0.0</v>
      </c>
      <c r="K754" s="9">
        <v>0.0</v>
      </c>
    </row>
    <row r="755" ht="15.75" customHeight="1">
      <c r="A755" s="7" t="s">
        <v>3077</v>
      </c>
      <c r="B755" s="13" t="s">
        <v>364</v>
      </c>
      <c r="C755" s="14" t="s">
        <v>34</v>
      </c>
      <c r="D755" s="14" t="s">
        <v>35</v>
      </c>
      <c r="E755" s="14" t="s">
        <v>3078</v>
      </c>
      <c r="F755" s="9" t="s">
        <v>37</v>
      </c>
      <c r="G755" s="9" t="b">
        <v>0</v>
      </c>
      <c r="H755" s="9" t="s">
        <v>3079</v>
      </c>
      <c r="I755" s="9">
        <v>2.0</v>
      </c>
      <c r="J755" s="9">
        <v>0.0</v>
      </c>
      <c r="K755" s="9">
        <v>0.0</v>
      </c>
    </row>
    <row r="756" ht="15.75" customHeight="1">
      <c r="A756" s="7" t="s">
        <v>3080</v>
      </c>
      <c r="B756" s="13" t="s">
        <v>264</v>
      </c>
      <c r="C756" s="14" t="s">
        <v>34</v>
      </c>
      <c r="D756" s="14" t="s">
        <v>35</v>
      </c>
      <c r="E756" s="14" t="s">
        <v>3081</v>
      </c>
      <c r="F756" s="9" t="s">
        <v>37</v>
      </c>
      <c r="G756" s="9" t="b">
        <v>0</v>
      </c>
      <c r="H756" s="9" t="s">
        <v>1054</v>
      </c>
      <c r="I756" s="9">
        <v>2.0</v>
      </c>
      <c r="J756" s="9">
        <v>0.0</v>
      </c>
      <c r="K756" s="9">
        <v>1.5</v>
      </c>
    </row>
    <row r="757" ht="15.75" customHeight="1">
      <c r="A757" s="7" t="s">
        <v>3082</v>
      </c>
      <c r="B757" s="13" t="s">
        <v>1365</v>
      </c>
      <c r="C757" s="14" t="s">
        <v>34</v>
      </c>
      <c r="D757" s="14" t="s">
        <v>46</v>
      </c>
      <c r="E757" s="14" t="s">
        <v>3083</v>
      </c>
      <c r="F757" s="9" t="s">
        <v>37</v>
      </c>
      <c r="G757" s="9" t="b">
        <v>0</v>
      </c>
      <c r="I757" s="9">
        <v>2.0</v>
      </c>
      <c r="J757" s="9">
        <v>0.0</v>
      </c>
      <c r="K757" s="9">
        <v>0.5</v>
      </c>
    </row>
    <row r="758" ht="15.75" customHeight="1">
      <c r="A758" s="7" t="s">
        <v>3084</v>
      </c>
      <c r="B758" s="13" t="s">
        <v>1368</v>
      </c>
      <c r="C758" s="14" t="s">
        <v>144</v>
      </c>
      <c r="D758" s="14" t="s">
        <v>46</v>
      </c>
      <c r="E758" s="14" t="s">
        <v>3085</v>
      </c>
      <c r="F758" s="9" t="s">
        <v>147</v>
      </c>
      <c r="G758" s="9" t="b">
        <v>0</v>
      </c>
      <c r="I758" s="9">
        <v>2.0</v>
      </c>
      <c r="J758" s="9">
        <v>0.0</v>
      </c>
      <c r="K758" s="9">
        <v>0.0</v>
      </c>
    </row>
    <row r="759" ht="15.75" customHeight="1">
      <c r="A759" s="7" t="s">
        <v>3086</v>
      </c>
      <c r="B759" s="13" t="s">
        <v>15</v>
      </c>
      <c r="C759" s="14" t="s">
        <v>23</v>
      </c>
      <c r="D759" s="14" t="s">
        <v>46</v>
      </c>
      <c r="E759" s="14" t="s">
        <v>3087</v>
      </c>
      <c r="F759" s="9" t="s">
        <v>27</v>
      </c>
      <c r="G759" s="9" t="b">
        <v>0</v>
      </c>
      <c r="H759" s="9" t="s">
        <v>3088</v>
      </c>
      <c r="I759" s="9">
        <v>2.0</v>
      </c>
      <c r="J759" s="9">
        <v>0.0</v>
      </c>
      <c r="K759" s="9">
        <v>0.0</v>
      </c>
    </row>
    <row r="760" ht="15.75" customHeight="1">
      <c r="A760" s="7" t="s">
        <v>3089</v>
      </c>
      <c r="B760" s="13" t="s">
        <v>15</v>
      </c>
      <c r="C760" s="14" t="s">
        <v>23</v>
      </c>
      <c r="D760" s="14" t="s">
        <v>46</v>
      </c>
      <c r="E760" s="14" t="s">
        <v>3090</v>
      </c>
      <c r="F760" s="9" t="s">
        <v>27</v>
      </c>
      <c r="G760" s="9" t="b">
        <v>0</v>
      </c>
      <c r="H760" s="9" t="s">
        <v>3091</v>
      </c>
      <c r="I760" s="9">
        <v>2.0</v>
      </c>
      <c r="J760" s="9">
        <v>0.0</v>
      </c>
      <c r="K760" s="9">
        <v>0.0</v>
      </c>
    </row>
    <row r="761" ht="15.75" customHeight="1">
      <c r="A761" s="7" t="s">
        <v>3092</v>
      </c>
      <c r="B761" s="13" t="s">
        <v>651</v>
      </c>
      <c r="C761" s="14" t="s">
        <v>34</v>
      </c>
      <c r="D761" s="14" t="s">
        <v>35</v>
      </c>
      <c r="E761" s="14" t="s">
        <v>3093</v>
      </c>
      <c r="F761" s="9" t="s">
        <v>37</v>
      </c>
      <c r="G761" s="9" t="b">
        <v>0</v>
      </c>
      <c r="H761" s="9" t="s">
        <v>3094</v>
      </c>
      <c r="I761" s="9">
        <v>2.0</v>
      </c>
      <c r="J761" s="9">
        <v>0.0</v>
      </c>
      <c r="K761" s="9">
        <v>0.5</v>
      </c>
    </row>
    <row r="762" ht="15.75" customHeight="1">
      <c r="A762" s="7" t="s">
        <v>3095</v>
      </c>
      <c r="B762" s="13" t="s">
        <v>277</v>
      </c>
      <c r="C762" s="14" t="s">
        <v>169</v>
      </c>
      <c r="D762" s="14" t="s">
        <v>169</v>
      </c>
      <c r="E762" s="14" t="s">
        <v>1999</v>
      </c>
      <c r="F762" s="9" t="s">
        <v>94</v>
      </c>
      <c r="G762" s="9" t="b">
        <v>0</v>
      </c>
      <c r="I762" s="9">
        <v>2.0</v>
      </c>
      <c r="J762" s="9">
        <v>0.0</v>
      </c>
      <c r="K762" s="9">
        <v>0.0</v>
      </c>
    </row>
    <row r="763" ht="15.75" customHeight="1">
      <c r="A763" s="7" t="s">
        <v>3096</v>
      </c>
      <c r="B763" s="13" t="s">
        <v>277</v>
      </c>
      <c r="C763" s="14" t="s">
        <v>169</v>
      </c>
      <c r="D763" s="14" t="s">
        <v>169</v>
      </c>
      <c r="E763" s="14" t="s">
        <v>1999</v>
      </c>
      <c r="F763" s="9" t="s">
        <v>94</v>
      </c>
      <c r="G763" s="9" t="b">
        <v>0</v>
      </c>
      <c r="I763" s="9">
        <v>2.0</v>
      </c>
      <c r="J763" s="9">
        <v>0.0</v>
      </c>
      <c r="K763" s="9">
        <v>0.0</v>
      </c>
    </row>
    <row r="764" ht="15.75" customHeight="1">
      <c r="A764" s="7" t="s">
        <v>3097</v>
      </c>
      <c r="B764" s="13" t="s">
        <v>1166</v>
      </c>
      <c r="C764" s="14" t="s">
        <v>521</v>
      </c>
      <c r="D764" s="14" t="s">
        <v>46</v>
      </c>
      <c r="E764" s="14" t="s">
        <v>3098</v>
      </c>
      <c r="F764" s="9" t="s">
        <v>523</v>
      </c>
      <c r="G764" s="9" t="b">
        <v>0</v>
      </c>
      <c r="I764" s="9">
        <v>2.0</v>
      </c>
      <c r="J764" s="9">
        <v>0.0</v>
      </c>
      <c r="K764" s="9">
        <v>2.5</v>
      </c>
    </row>
    <row r="765" ht="15.75" customHeight="1">
      <c r="A765" s="7" t="s">
        <v>3099</v>
      </c>
      <c r="B765" s="13" t="s">
        <v>1370</v>
      </c>
      <c r="C765" s="14" t="s">
        <v>34</v>
      </c>
      <c r="D765" s="14" t="s">
        <v>169</v>
      </c>
      <c r="E765" s="14" t="s">
        <v>3100</v>
      </c>
      <c r="F765" s="9" t="s">
        <v>37</v>
      </c>
      <c r="G765" s="9" t="b">
        <v>0</v>
      </c>
      <c r="H765" s="9" t="s">
        <v>3101</v>
      </c>
      <c r="I765" s="9">
        <v>2.0</v>
      </c>
      <c r="J765" s="9">
        <v>0.0</v>
      </c>
      <c r="K765" s="9">
        <v>0.0</v>
      </c>
    </row>
    <row r="766" ht="15.75" customHeight="1">
      <c r="A766" s="7" t="s">
        <v>3102</v>
      </c>
      <c r="B766" s="13" t="s">
        <v>353</v>
      </c>
      <c r="C766" s="14" t="s">
        <v>1203</v>
      </c>
      <c r="D766" s="14" t="s">
        <v>270</v>
      </c>
      <c r="E766" s="14" t="s">
        <v>3103</v>
      </c>
      <c r="F766" s="9" t="s">
        <v>1205</v>
      </c>
      <c r="G766" s="9" t="b">
        <v>0</v>
      </c>
      <c r="H766" s="9" t="s">
        <v>354</v>
      </c>
      <c r="I766" s="9">
        <v>2.0</v>
      </c>
      <c r="J766" s="9">
        <v>0.0</v>
      </c>
      <c r="K766" s="9">
        <v>2.0</v>
      </c>
    </row>
    <row r="767" ht="15.75" customHeight="1">
      <c r="A767" s="7" t="s">
        <v>3104</v>
      </c>
      <c r="B767" s="13" t="s">
        <v>2308</v>
      </c>
      <c r="C767" s="14" t="s">
        <v>169</v>
      </c>
      <c r="D767" s="14" t="s">
        <v>46</v>
      </c>
      <c r="E767" s="15"/>
      <c r="F767" s="9" t="s">
        <v>94</v>
      </c>
      <c r="H767" s="9" t="s">
        <v>172</v>
      </c>
      <c r="I767" s="9">
        <v>2.0</v>
      </c>
      <c r="J767" s="9">
        <v>0.0</v>
      </c>
      <c r="K767" s="9">
        <v>1.0</v>
      </c>
    </row>
    <row r="768" ht="15.75" customHeight="1">
      <c r="A768" s="7" t="s">
        <v>3105</v>
      </c>
      <c r="B768" s="13" t="s">
        <v>2332</v>
      </c>
      <c r="C768" s="14" t="s">
        <v>521</v>
      </c>
      <c r="D768" s="14" t="s">
        <v>46</v>
      </c>
      <c r="E768" s="14" t="s">
        <v>3106</v>
      </c>
      <c r="F768" s="9" t="s">
        <v>523</v>
      </c>
      <c r="G768" s="9" t="b">
        <v>0</v>
      </c>
      <c r="H768" s="9" t="s">
        <v>188</v>
      </c>
      <c r="I768" s="9">
        <v>2.0</v>
      </c>
      <c r="J768" s="9">
        <v>0.0</v>
      </c>
      <c r="K768" s="9">
        <v>2.0</v>
      </c>
    </row>
    <row r="769" ht="15.75" customHeight="1">
      <c r="A769" s="7" t="s">
        <v>3107</v>
      </c>
      <c r="B769" s="13" t="s">
        <v>93</v>
      </c>
      <c r="C769" s="14" t="s">
        <v>521</v>
      </c>
      <c r="D769" s="14" t="s">
        <v>169</v>
      </c>
      <c r="E769" s="14" t="s">
        <v>3108</v>
      </c>
      <c r="F769" s="9" t="s">
        <v>523</v>
      </c>
      <c r="G769" s="9" t="b">
        <v>0</v>
      </c>
      <c r="H769" s="9" t="s">
        <v>535</v>
      </c>
      <c r="I769" s="9">
        <v>2.0</v>
      </c>
      <c r="J769" s="9">
        <v>0.0</v>
      </c>
      <c r="K769" s="9">
        <v>1.0</v>
      </c>
    </row>
    <row r="770" ht="15.75" customHeight="1">
      <c r="A770" s="7" t="s">
        <v>3109</v>
      </c>
      <c r="B770" s="13" t="s">
        <v>1009</v>
      </c>
      <c r="C770" s="14" t="s">
        <v>34</v>
      </c>
      <c r="D770" s="14" t="s">
        <v>270</v>
      </c>
      <c r="E770" s="14" t="s">
        <v>3110</v>
      </c>
      <c r="F770" s="9" t="s">
        <v>37</v>
      </c>
      <c r="G770" s="9" t="b">
        <v>0</v>
      </c>
      <c r="H770" s="9" t="s">
        <v>3111</v>
      </c>
      <c r="I770" s="9">
        <v>2.0</v>
      </c>
      <c r="J770" s="9">
        <v>0.0</v>
      </c>
      <c r="K770" s="9">
        <v>1.0</v>
      </c>
    </row>
    <row r="771" ht="15.75" customHeight="1">
      <c r="A771" s="7" t="s">
        <v>3112</v>
      </c>
      <c r="B771" s="13" t="s">
        <v>1378</v>
      </c>
      <c r="C771" s="14" t="s">
        <v>521</v>
      </c>
      <c r="D771" s="14" t="s">
        <v>46</v>
      </c>
      <c r="E771" s="14" t="s">
        <v>3113</v>
      </c>
      <c r="F771" s="9" t="s">
        <v>523</v>
      </c>
      <c r="G771" s="9" t="b">
        <v>0</v>
      </c>
      <c r="I771" s="9">
        <v>2.0</v>
      </c>
      <c r="J771" s="9">
        <v>0.0</v>
      </c>
      <c r="K771" s="9">
        <v>2.5</v>
      </c>
    </row>
    <row r="772" ht="15.75" customHeight="1">
      <c r="A772" s="7" t="s">
        <v>3114</v>
      </c>
      <c r="B772" s="13" t="s">
        <v>1170</v>
      </c>
      <c r="C772" s="14" t="s">
        <v>34</v>
      </c>
      <c r="D772" s="14" t="s">
        <v>46</v>
      </c>
      <c r="E772" s="14" t="s">
        <v>3115</v>
      </c>
      <c r="F772" s="9" t="s">
        <v>37</v>
      </c>
      <c r="G772" s="9" t="b">
        <v>0</v>
      </c>
      <c r="H772" s="9" t="s">
        <v>2991</v>
      </c>
      <c r="I772" s="9">
        <v>2.0</v>
      </c>
      <c r="J772" s="9">
        <v>0.0</v>
      </c>
      <c r="K772" s="9">
        <v>2.0</v>
      </c>
    </row>
    <row r="773" ht="15.75" customHeight="1">
      <c r="A773" s="7" t="s">
        <v>3116</v>
      </c>
      <c r="B773" s="14" t="s">
        <v>1381</v>
      </c>
      <c r="C773" s="14" t="s">
        <v>1203</v>
      </c>
      <c r="D773" s="14" t="s">
        <v>46</v>
      </c>
      <c r="E773" s="14" t="s">
        <v>3117</v>
      </c>
      <c r="F773" s="9" t="s">
        <v>1205</v>
      </c>
      <c r="G773" s="9" t="b">
        <v>0</v>
      </c>
      <c r="H773" s="9" t="s">
        <v>340</v>
      </c>
      <c r="I773" s="9">
        <v>2.0</v>
      </c>
      <c r="J773" s="9">
        <v>0.0</v>
      </c>
      <c r="K773" s="9">
        <v>1.0</v>
      </c>
    </row>
    <row r="774" ht="15.75" customHeight="1">
      <c r="A774" s="7" t="s">
        <v>3118</v>
      </c>
      <c r="B774" s="13" t="s">
        <v>1382</v>
      </c>
      <c r="C774" s="14" t="s">
        <v>34</v>
      </c>
      <c r="D774" s="14" t="s">
        <v>953</v>
      </c>
      <c r="E774" s="14" t="s">
        <v>3119</v>
      </c>
      <c r="F774" s="9" t="s">
        <v>37</v>
      </c>
      <c r="G774" s="9" t="b">
        <v>0</v>
      </c>
      <c r="I774" s="9">
        <v>2.0</v>
      </c>
      <c r="J774" s="9">
        <v>0.0</v>
      </c>
      <c r="K774" s="9">
        <v>0.5</v>
      </c>
    </row>
    <row r="775" ht="15.75" customHeight="1">
      <c r="A775" s="7" t="s">
        <v>3120</v>
      </c>
      <c r="B775" s="14" t="s">
        <v>1369</v>
      </c>
      <c r="C775" s="14" t="s">
        <v>144</v>
      </c>
      <c r="D775" s="14" t="s">
        <v>46</v>
      </c>
      <c r="E775" s="14" t="s">
        <v>3121</v>
      </c>
      <c r="F775" s="9" t="s">
        <v>147</v>
      </c>
      <c r="G775" s="9" t="b">
        <v>0</v>
      </c>
      <c r="I775" s="9">
        <v>2.0</v>
      </c>
      <c r="J775" s="9">
        <v>0.0</v>
      </c>
      <c r="K775" s="9">
        <v>0.0</v>
      </c>
    </row>
    <row r="776" ht="15.75" customHeight="1">
      <c r="A776" s="7" t="s">
        <v>3122</v>
      </c>
      <c r="B776" s="13" t="s">
        <v>1383</v>
      </c>
      <c r="C776" s="14" t="s">
        <v>169</v>
      </c>
      <c r="D776" s="14" t="s">
        <v>169</v>
      </c>
      <c r="E776" s="14" t="s">
        <v>3123</v>
      </c>
      <c r="F776" s="9" t="s">
        <v>94</v>
      </c>
      <c r="G776" s="9" t="b">
        <v>0</v>
      </c>
      <c r="H776" s="9" t="s">
        <v>720</v>
      </c>
      <c r="I776" s="9">
        <v>2.0</v>
      </c>
      <c r="J776" s="9">
        <v>0.0</v>
      </c>
      <c r="K776" s="9">
        <v>0.0</v>
      </c>
    </row>
    <row r="777" ht="15.75" customHeight="1">
      <c r="A777" s="7" t="s">
        <v>3124</v>
      </c>
      <c r="B777" s="13" t="s">
        <v>637</v>
      </c>
      <c r="C777" s="14" t="s">
        <v>61</v>
      </c>
      <c r="D777" s="14" t="s">
        <v>46</v>
      </c>
      <c r="E777" s="14" t="s">
        <v>3125</v>
      </c>
      <c r="F777" s="9" t="s">
        <v>64</v>
      </c>
      <c r="G777" s="9" t="b">
        <v>0</v>
      </c>
      <c r="I777" s="9">
        <v>2.0</v>
      </c>
      <c r="J777" s="9">
        <v>0.0</v>
      </c>
      <c r="K777" s="9">
        <v>0.0</v>
      </c>
    </row>
    <row r="778" ht="15.75" customHeight="1">
      <c r="A778" s="7" t="s">
        <v>3126</v>
      </c>
      <c r="B778" s="13" t="s">
        <v>1385</v>
      </c>
      <c r="C778" s="14" t="s">
        <v>34</v>
      </c>
      <c r="D778" s="14" t="s">
        <v>46</v>
      </c>
      <c r="E778" s="14" t="s">
        <v>3127</v>
      </c>
      <c r="F778" s="9" t="s">
        <v>37</v>
      </c>
      <c r="G778" s="9" t="b">
        <v>0</v>
      </c>
      <c r="I778" s="9">
        <v>2.0</v>
      </c>
      <c r="J778" s="9">
        <v>0.0</v>
      </c>
      <c r="K778" s="9">
        <v>0.5</v>
      </c>
    </row>
    <row r="779" ht="15.75" customHeight="1">
      <c r="A779" s="7" t="s">
        <v>3128</v>
      </c>
      <c r="B779" s="13" t="s">
        <v>1388</v>
      </c>
      <c r="C779" s="14" t="s">
        <v>169</v>
      </c>
      <c r="D779" s="14" t="s">
        <v>46</v>
      </c>
      <c r="E779" s="15"/>
      <c r="F779" s="9" t="s">
        <v>94</v>
      </c>
      <c r="H779" s="9" t="s">
        <v>172</v>
      </c>
      <c r="I779" s="9">
        <v>2.0</v>
      </c>
      <c r="J779" s="9">
        <v>0.0</v>
      </c>
      <c r="K779" s="9">
        <v>0.0</v>
      </c>
    </row>
    <row r="780" ht="15.75" customHeight="1">
      <c r="A780" s="7" t="s">
        <v>3129</v>
      </c>
      <c r="B780" s="13" t="s">
        <v>1390</v>
      </c>
      <c r="C780" s="14" t="s">
        <v>521</v>
      </c>
      <c r="D780" s="14" t="s">
        <v>46</v>
      </c>
      <c r="E780" s="14" t="s">
        <v>3130</v>
      </c>
      <c r="F780" s="9" t="s">
        <v>523</v>
      </c>
      <c r="G780" s="9" t="b">
        <v>0</v>
      </c>
      <c r="I780" s="9">
        <v>2.0</v>
      </c>
      <c r="J780" s="9">
        <v>0.0</v>
      </c>
      <c r="K780" s="9">
        <v>2.0</v>
      </c>
    </row>
    <row r="781" ht="15.75" customHeight="1">
      <c r="A781" s="7" t="s">
        <v>3131</v>
      </c>
      <c r="B781" s="13" t="s">
        <v>1150</v>
      </c>
      <c r="C781" s="14" t="s">
        <v>34</v>
      </c>
      <c r="D781" s="14" t="s">
        <v>46</v>
      </c>
      <c r="E781" s="14" t="s">
        <v>3132</v>
      </c>
      <c r="F781" s="9" t="s">
        <v>37</v>
      </c>
      <c r="G781" s="9" t="b">
        <v>0</v>
      </c>
      <c r="I781" s="9">
        <v>2.0</v>
      </c>
      <c r="J781" s="9">
        <v>0.0</v>
      </c>
      <c r="K781" s="9">
        <v>0.5</v>
      </c>
    </row>
    <row r="782" ht="15.75" customHeight="1">
      <c r="A782" s="7" t="s">
        <v>3133</v>
      </c>
      <c r="B782" s="13" t="s">
        <v>98</v>
      </c>
      <c r="C782" s="14" t="s">
        <v>34</v>
      </c>
      <c r="D782" s="14" t="s">
        <v>35</v>
      </c>
      <c r="E782" s="14" t="s">
        <v>3134</v>
      </c>
      <c r="F782" s="9" t="s">
        <v>37</v>
      </c>
      <c r="G782" s="9" t="b">
        <v>0</v>
      </c>
      <c r="H782" s="9" t="s">
        <v>3135</v>
      </c>
      <c r="I782" s="9">
        <v>2.0</v>
      </c>
      <c r="J782" s="9">
        <v>0.0</v>
      </c>
      <c r="K782" s="9">
        <v>0.5</v>
      </c>
    </row>
    <row r="783" ht="15.75" customHeight="1">
      <c r="A783" s="7" t="s">
        <v>3136</v>
      </c>
      <c r="B783" s="13" t="s">
        <v>98</v>
      </c>
      <c r="C783" s="14" t="s">
        <v>34</v>
      </c>
      <c r="D783" s="14" t="s">
        <v>35</v>
      </c>
      <c r="E783" s="14" t="s">
        <v>3137</v>
      </c>
      <c r="F783" s="9" t="s">
        <v>37</v>
      </c>
      <c r="G783" s="9" t="b">
        <v>0</v>
      </c>
      <c r="H783" s="9" t="s">
        <v>3138</v>
      </c>
      <c r="I783" s="9">
        <v>2.0</v>
      </c>
      <c r="J783" s="9">
        <v>0.0</v>
      </c>
      <c r="K783" s="9">
        <v>1.0</v>
      </c>
    </row>
    <row r="784" ht="15.75" customHeight="1">
      <c r="A784" s="7" t="s">
        <v>3139</v>
      </c>
      <c r="B784" s="13" t="s">
        <v>98</v>
      </c>
      <c r="C784" s="14" t="s">
        <v>34</v>
      </c>
      <c r="D784" s="14" t="s">
        <v>35</v>
      </c>
      <c r="E784" s="14" t="s">
        <v>3140</v>
      </c>
      <c r="F784" s="9" t="s">
        <v>37</v>
      </c>
      <c r="G784" s="9" t="b">
        <v>0</v>
      </c>
      <c r="H784" s="9" t="s">
        <v>3141</v>
      </c>
      <c r="I784" s="9">
        <v>2.0</v>
      </c>
      <c r="J784" s="9">
        <v>0.0</v>
      </c>
      <c r="K784" s="9">
        <v>3.0</v>
      </c>
    </row>
    <row r="785" ht="15.75" customHeight="1">
      <c r="A785" s="7" t="s">
        <v>3142</v>
      </c>
      <c r="B785" s="13" t="s">
        <v>1397</v>
      </c>
      <c r="C785" s="14" t="s">
        <v>34</v>
      </c>
      <c r="D785" s="14" t="s">
        <v>46</v>
      </c>
      <c r="E785" s="14" t="s">
        <v>3143</v>
      </c>
      <c r="F785" s="9" t="s">
        <v>37</v>
      </c>
      <c r="G785" s="9" t="b">
        <v>0</v>
      </c>
      <c r="H785" s="9" t="s">
        <v>3144</v>
      </c>
      <c r="I785" s="9">
        <v>2.0</v>
      </c>
      <c r="J785" s="9">
        <v>0.0</v>
      </c>
      <c r="K785" s="9">
        <v>0.0</v>
      </c>
    </row>
    <row r="786" ht="15.75" customHeight="1">
      <c r="A786" s="7" t="s">
        <v>3145</v>
      </c>
      <c r="B786" s="13" t="s">
        <v>1401</v>
      </c>
      <c r="C786" s="14" t="s">
        <v>521</v>
      </c>
      <c r="D786" s="14" t="s">
        <v>46</v>
      </c>
      <c r="E786" s="14" t="s">
        <v>3146</v>
      </c>
      <c r="F786" s="9" t="s">
        <v>523</v>
      </c>
      <c r="G786" s="9" t="b">
        <v>0</v>
      </c>
      <c r="H786" s="9" t="s">
        <v>666</v>
      </c>
      <c r="I786" s="9">
        <v>2.0</v>
      </c>
      <c r="J786" s="9">
        <v>0.0</v>
      </c>
      <c r="K786" s="9">
        <v>1.0</v>
      </c>
    </row>
    <row r="787" ht="15.75" customHeight="1">
      <c r="A787" s="7" t="s">
        <v>3147</v>
      </c>
      <c r="B787" s="13" t="s">
        <v>1402</v>
      </c>
      <c r="C787" s="14" t="s">
        <v>144</v>
      </c>
      <c r="D787" s="14" t="s">
        <v>46</v>
      </c>
      <c r="E787" s="14" t="s">
        <v>3148</v>
      </c>
      <c r="F787" s="9" t="s">
        <v>147</v>
      </c>
      <c r="G787" s="9" t="b">
        <v>0</v>
      </c>
      <c r="H787" s="9" t="s">
        <v>1404</v>
      </c>
      <c r="I787" s="9">
        <v>2.0</v>
      </c>
      <c r="J787" s="9">
        <v>0.0</v>
      </c>
      <c r="K787" s="9">
        <v>3.0</v>
      </c>
    </row>
    <row r="788" ht="15.75" customHeight="1">
      <c r="A788" s="7" t="s">
        <v>3149</v>
      </c>
      <c r="B788" s="13" t="s">
        <v>1406</v>
      </c>
      <c r="C788" s="14" t="s">
        <v>1203</v>
      </c>
      <c r="D788" s="14" t="s">
        <v>270</v>
      </c>
      <c r="E788" s="14" t="s">
        <v>3150</v>
      </c>
      <c r="F788" s="9" t="s">
        <v>1205</v>
      </c>
      <c r="G788" s="9" t="b">
        <v>0</v>
      </c>
      <c r="H788" s="9" t="s">
        <v>1409</v>
      </c>
      <c r="I788" s="9">
        <v>2.0</v>
      </c>
      <c r="J788" s="9">
        <v>0.0</v>
      </c>
      <c r="K788" s="9">
        <v>2.0</v>
      </c>
    </row>
    <row r="789" ht="15.75" customHeight="1">
      <c r="A789" s="7" t="s">
        <v>3151</v>
      </c>
      <c r="B789" s="13" t="s">
        <v>930</v>
      </c>
      <c r="C789" s="14" t="s">
        <v>169</v>
      </c>
      <c r="D789" s="14" t="s">
        <v>46</v>
      </c>
      <c r="E789" s="15"/>
      <c r="F789" s="9" t="s">
        <v>94</v>
      </c>
      <c r="H789" s="9" t="s">
        <v>172</v>
      </c>
      <c r="I789" s="9">
        <v>2.0</v>
      </c>
      <c r="J789" s="9">
        <v>0.0</v>
      </c>
      <c r="K789" s="9">
        <v>1.0</v>
      </c>
    </row>
    <row r="790" ht="15.75" customHeight="1">
      <c r="A790" s="7" t="s">
        <v>3152</v>
      </c>
      <c r="B790" s="13" t="s">
        <v>1459</v>
      </c>
      <c r="C790" s="14" t="s">
        <v>521</v>
      </c>
      <c r="D790" s="14" t="s">
        <v>46</v>
      </c>
      <c r="E790" s="14" t="s">
        <v>3153</v>
      </c>
      <c r="F790" s="9" t="s">
        <v>523</v>
      </c>
      <c r="G790" s="9" t="b">
        <v>0</v>
      </c>
      <c r="I790" s="9">
        <v>1.0</v>
      </c>
      <c r="J790" s="9">
        <v>0.0</v>
      </c>
      <c r="K790" s="9">
        <v>0.0</v>
      </c>
    </row>
    <row r="791" ht="15.75" customHeight="1">
      <c r="A791" s="7" t="s">
        <v>3154</v>
      </c>
      <c r="B791" s="13" t="s">
        <v>3155</v>
      </c>
      <c r="C791" s="14" t="s">
        <v>521</v>
      </c>
      <c r="D791" s="14" t="s">
        <v>46</v>
      </c>
      <c r="E791" s="14" t="s">
        <v>3156</v>
      </c>
      <c r="F791" s="9" t="s">
        <v>523</v>
      </c>
      <c r="G791" s="9" t="b">
        <v>0</v>
      </c>
      <c r="H791" s="9" t="s">
        <v>188</v>
      </c>
      <c r="I791" s="9">
        <v>1.0</v>
      </c>
      <c r="J791" s="9">
        <v>0.0</v>
      </c>
      <c r="K791" s="9">
        <v>0.0</v>
      </c>
    </row>
    <row r="792" ht="15.75" customHeight="1">
      <c r="A792" s="7" t="s">
        <v>3157</v>
      </c>
      <c r="B792" s="13" t="s">
        <v>3158</v>
      </c>
      <c r="C792" s="14" t="s">
        <v>144</v>
      </c>
      <c r="D792" s="14" t="s">
        <v>46</v>
      </c>
      <c r="E792" s="14" t="s">
        <v>3159</v>
      </c>
      <c r="F792" s="9" t="s">
        <v>147</v>
      </c>
      <c r="G792" s="9" t="b">
        <v>0</v>
      </c>
      <c r="H792" s="9" t="s">
        <v>720</v>
      </c>
      <c r="I792" s="9">
        <v>1.0</v>
      </c>
      <c r="J792" s="9">
        <v>0.0</v>
      </c>
      <c r="K792" s="9">
        <v>0.0</v>
      </c>
    </row>
    <row r="793" ht="15.75" customHeight="1">
      <c r="A793" s="7" t="s">
        <v>3160</v>
      </c>
      <c r="B793" s="13" t="s">
        <v>284</v>
      </c>
      <c r="C793" s="14" t="s">
        <v>521</v>
      </c>
      <c r="D793" s="14" t="s">
        <v>46</v>
      </c>
      <c r="E793" s="14" t="s">
        <v>3161</v>
      </c>
      <c r="F793" s="9" t="s">
        <v>523</v>
      </c>
      <c r="G793" s="9" t="b">
        <v>0</v>
      </c>
      <c r="I793" s="9">
        <v>1.0</v>
      </c>
      <c r="J793" s="9">
        <v>0.0</v>
      </c>
      <c r="K793" s="9">
        <v>0.0</v>
      </c>
    </row>
    <row r="794" ht="15.75" customHeight="1">
      <c r="A794" s="7" t="s">
        <v>3162</v>
      </c>
      <c r="B794" s="13" t="s">
        <v>1174</v>
      </c>
      <c r="C794" s="14" t="s">
        <v>1203</v>
      </c>
      <c r="D794" s="14" t="s">
        <v>46</v>
      </c>
      <c r="E794" s="14" t="s">
        <v>3163</v>
      </c>
      <c r="F794" s="9" t="s">
        <v>1205</v>
      </c>
      <c r="G794" s="9" t="b">
        <v>0</v>
      </c>
      <c r="I794" s="9">
        <v>1.0</v>
      </c>
      <c r="J794" s="9">
        <v>0.0</v>
      </c>
      <c r="K794" s="9">
        <v>0.0</v>
      </c>
    </row>
    <row r="795" ht="15.75" customHeight="1">
      <c r="A795" s="7" t="s">
        <v>3164</v>
      </c>
      <c r="B795" s="13" t="s">
        <v>1461</v>
      </c>
      <c r="C795" s="14" t="s">
        <v>144</v>
      </c>
      <c r="D795" s="14" t="s">
        <v>46</v>
      </c>
      <c r="E795" s="14" t="s">
        <v>3165</v>
      </c>
      <c r="F795" s="9" t="s">
        <v>147</v>
      </c>
      <c r="G795" s="9" t="b">
        <v>0</v>
      </c>
      <c r="I795" s="9">
        <v>1.0</v>
      </c>
      <c r="J795" s="9">
        <v>0.0</v>
      </c>
      <c r="K795" s="9">
        <v>0.0</v>
      </c>
    </row>
    <row r="796" ht="15.75" customHeight="1">
      <c r="A796" s="7" t="s">
        <v>3166</v>
      </c>
      <c r="B796" s="13" t="s">
        <v>1463</v>
      </c>
      <c r="C796" s="14" t="s">
        <v>144</v>
      </c>
      <c r="D796" s="14" t="s">
        <v>46</v>
      </c>
      <c r="E796" s="14" t="s">
        <v>3167</v>
      </c>
      <c r="F796" s="9" t="s">
        <v>147</v>
      </c>
      <c r="G796" s="9" t="b">
        <v>0</v>
      </c>
      <c r="H796" s="9" t="s">
        <v>188</v>
      </c>
      <c r="I796" s="9">
        <v>1.0</v>
      </c>
      <c r="J796" s="9">
        <v>0.0</v>
      </c>
      <c r="K796" s="9">
        <v>1.0</v>
      </c>
    </row>
    <row r="797" ht="15.75" customHeight="1">
      <c r="A797" s="7" t="s">
        <v>3168</v>
      </c>
      <c r="B797" s="13" t="s">
        <v>417</v>
      </c>
      <c r="C797" s="14" t="s">
        <v>144</v>
      </c>
      <c r="D797" s="14" t="s">
        <v>46</v>
      </c>
      <c r="E797" s="14" t="s">
        <v>3169</v>
      </c>
      <c r="F797" s="9" t="s">
        <v>147</v>
      </c>
      <c r="G797" s="9" t="b">
        <v>0</v>
      </c>
      <c r="H797" s="9" t="s">
        <v>188</v>
      </c>
      <c r="I797" s="9">
        <v>1.0</v>
      </c>
      <c r="J797" s="9">
        <v>0.0</v>
      </c>
      <c r="K797" s="9">
        <v>1.0</v>
      </c>
    </row>
    <row r="798" ht="15.75" customHeight="1">
      <c r="A798" s="7" t="s">
        <v>3170</v>
      </c>
      <c r="B798" s="13" t="s">
        <v>1466</v>
      </c>
      <c r="C798" s="14" t="s">
        <v>521</v>
      </c>
      <c r="D798" s="14" t="s">
        <v>35</v>
      </c>
      <c r="E798" s="14" t="s">
        <v>3171</v>
      </c>
      <c r="F798" s="9" t="s">
        <v>523</v>
      </c>
      <c r="G798" s="9" t="b">
        <v>0</v>
      </c>
      <c r="H798" s="9" t="s">
        <v>1467</v>
      </c>
      <c r="I798" s="9">
        <v>1.0</v>
      </c>
      <c r="J798" s="9">
        <v>0.0</v>
      </c>
      <c r="K798" s="9">
        <v>0.0</v>
      </c>
    </row>
    <row r="799" ht="15.75" customHeight="1">
      <c r="A799" s="7" t="s">
        <v>3172</v>
      </c>
      <c r="B799" s="13" t="s">
        <v>1468</v>
      </c>
      <c r="C799" s="14" t="s">
        <v>521</v>
      </c>
      <c r="D799" s="14" t="s">
        <v>169</v>
      </c>
      <c r="E799" s="14" t="s">
        <v>3173</v>
      </c>
      <c r="F799" s="9" t="s">
        <v>523</v>
      </c>
      <c r="G799" s="9" t="b">
        <v>0</v>
      </c>
      <c r="H799" s="9" t="s">
        <v>482</v>
      </c>
      <c r="I799" s="9">
        <v>1.0</v>
      </c>
      <c r="J799" s="9">
        <v>0.0</v>
      </c>
      <c r="K799" s="9">
        <v>0.0</v>
      </c>
    </row>
    <row r="800" ht="15.75" customHeight="1">
      <c r="A800" s="7" t="s">
        <v>3174</v>
      </c>
      <c r="B800" s="13" t="s">
        <v>1471</v>
      </c>
      <c r="C800" s="14" t="s">
        <v>521</v>
      </c>
      <c r="D800" s="14" t="s">
        <v>46</v>
      </c>
      <c r="E800" s="14" t="s">
        <v>3175</v>
      </c>
      <c r="F800" s="9" t="s">
        <v>523</v>
      </c>
      <c r="G800" s="9" t="b">
        <v>0</v>
      </c>
      <c r="H800" s="9" t="s">
        <v>188</v>
      </c>
      <c r="I800" s="9">
        <v>1.0</v>
      </c>
      <c r="J800" s="9">
        <v>0.0</v>
      </c>
      <c r="K800" s="9">
        <v>0.0</v>
      </c>
    </row>
    <row r="801" ht="15.75" customHeight="1">
      <c r="A801" s="7" t="s">
        <v>3176</v>
      </c>
      <c r="B801" s="13" t="s">
        <v>1473</v>
      </c>
      <c r="C801" s="14" t="s">
        <v>23</v>
      </c>
      <c r="D801" s="14" t="s">
        <v>46</v>
      </c>
      <c r="E801" s="14" t="s">
        <v>3177</v>
      </c>
      <c r="F801" s="9" t="s">
        <v>27</v>
      </c>
      <c r="G801" s="9" t="b">
        <v>0</v>
      </c>
      <c r="I801" s="9">
        <v>1.0</v>
      </c>
      <c r="J801" s="9">
        <v>0.0</v>
      </c>
      <c r="K801" s="9">
        <v>1.0</v>
      </c>
    </row>
    <row r="802" ht="15.75" customHeight="1">
      <c r="A802" s="7" t="s">
        <v>3178</v>
      </c>
      <c r="B802" s="13" t="s">
        <v>589</v>
      </c>
      <c r="C802" s="14" t="s">
        <v>309</v>
      </c>
      <c r="D802" s="14" t="s">
        <v>35</v>
      </c>
      <c r="E802" s="14" t="s">
        <v>3179</v>
      </c>
      <c r="F802" s="9" t="s">
        <v>311</v>
      </c>
      <c r="G802" s="9" t="b">
        <v>0</v>
      </c>
      <c r="H802" s="9" t="s">
        <v>591</v>
      </c>
      <c r="I802" s="9">
        <v>1.0</v>
      </c>
      <c r="J802" s="9">
        <v>0.0</v>
      </c>
      <c r="K802" s="9">
        <v>1.0</v>
      </c>
    </row>
    <row r="803" ht="15.75" customHeight="1">
      <c r="A803" s="7" t="s">
        <v>3180</v>
      </c>
      <c r="B803" s="13" t="s">
        <v>1475</v>
      </c>
      <c r="C803" s="14" t="s">
        <v>34</v>
      </c>
      <c r="D803" s="14" t="s">
        <v>46</v>
      </c>
      <c r="E803" s="14" t="s">
        <v>3181</v>
      </c>
      <c r="F803" s="9" t="s">
        <v>37</v>
      </c>
      <c r="G803" s="9" t="b">
        <v>0</v>
      </c>
      <c r="H803" s="9" t="s">
        <v>3182</v>
      </c>
      <c r="I803" s="9">
        <v>1.0</v>
      </c>
      <c r="J803" s="9">
        <v>0.0</v>
      </c>
      <c r="K803" s="9">
        <v>1.0</v>
      </c>
    </row>
    <row r="804" ht="15.75" customHeight="1">
      <c r="A804" s="7" t="s">
        <v>3183</v>
      </c>
      <c r="B804" s="13" t="s">
        <v>1479</v>
      </c>
      <c r="C804" s="14" t="s">
        <v>23</v>
      </c>
      <c r="D804" s="14" t="s">
        <v>953</v>
      </c>
      <c r="E804" s="14" t="s">
        <v>3184</v>
      </c>
      <c r="F804" s="9" t="s">
        <v>27</v>
      </c>
      <c r="G804" s="9" t="b">
        <v>0</v>
      </c>
      <c r="I804" s="9">
        <v>1.0</v>
      </c>
      <c r="J804" s="9">
        <v>0.0</v>
      </c>
      <c r="K804" s="9">
        <v>1.0</v>
      </c>
    </row>
    <row r="805" ht="15.75" customHeight="1">
      <c r="A805" s="7" t="s">
        <v>3185</v>
      </c>
      <c r="B805" s="13" t="s">
        <v>1480</v>
      </c>
      <c r="C805" s="14" t="s">
        <v>169</v>
      </c>
      <c r="D805" s="14" t="s">
        <v>46</v>
      </c>
      <c r="E805" s="14" t="s">
        <v>3186</v>
      </c>
      <c r="F805" s="9" t="s">
        <v>94</v>
      </c>
      <c r="G805" s="9" t="b">
        <v>0</v>
      </c>
      <c r="I805" s="9">
        <v>1.0</v>
      </c>
      <c r="J805" s="9">
        <v>0.0</v>
      </c>
      <c r="K805" s="9">
        <v>0.0</v>
      </c>
    </row>
    <row r="806" ht="15.75" customHeight="1">
      <c r="A806" s="7" t="s">
        <v>3187</v>
      </c>
      <c r="B806" s="13" t="s">
        <v>1483</v>
      </c>
      <c r="C806" s="14" t="s">
        <v>309</v>
      </c>
      <c r="D806" s="14" t="s">
        <v>270</v>
      </c>
      <c r="E806" s="14" t="s">
        <v>3188</v>
      </c>
      <c r="F806" s="9" t="s">
        <v>311</v>
      </c>
      <c r="G806" s="9" t="b">
        <v>0</v>
      </c>
      <c r="H806" s="9" t="s">
        <v>482</v>
      </c>
      <c r="I806" s="9">
        <v>1.0</v>
      </c>
      <c r="J806" s="9">
        <v>0.0</v>
      </c>
      <c r="K806" s="9">
        <v>1.0</v>
      </c>
    </row>
    <row r="807" ht="15.75" customHeight="1">
      <c r="A807" s="7" t="s">
        <v>3189</v>
      </c>
      <c r="B807" s="13" t="s">
        <v>1484</v>
      </c>
      <c r="C807" s="14" t="s">
        <v>169</v>
      </c>
      <c r="D807" s="14" t="s">
        <v>46</v>
      </c>
      <c r="E807" s="14" t="s">
        <v>3190</v>
      </c>
      <c r="F807" s="9" t="s">
        <v>94</v>
      </c>
      <c r="G807" s="9" t="b">
        <v>0</v>
      </c>
      <c r="I807" s="9">
        <v>1.0</v>
      </c>
      <c r="J807" s="9">
        <v>0.0</v>
      </c>
      <c r="K807" s="9">
        <v>1.0</v>
      </c>
    </row>
    <row r="808" ht="15.75" customHeight="1">
      <c r="A808" s="7" t="s">
        <v>3191</v>
      </c>
      <c r="B808" s="14" t="s">
        <v>1486</v>
      </c>
      <c r="C808" s="14" t="s">
        <v>144</v>
      </c>
      <c r="D808" s="14" t="s">
        <v>46</v>
      </c>
      <c r="E808" s="14" t="s">
        <v>3192</v>
      </c>
      <c r="F808" s="9" t="s">
        <v>147</v>
      </c>
      <c r="G808" s="9" t="b">
        <v>0</v>
      </c>
      <c r="H808" s="9" t="s">
        <v>666</v>
      </c>
      <c r="I808" s="9">
        <v>1.0</v>
      </c>
      <c r="J808" s="9">
        <v>0.0</v>
      </c>
      <c r="K808" s="9">
        <v>0.0</v>
      </c>
    </row>
    <row r="809" ht="15.75" customHeight="1">
      <c r="A809" s="7" t="s">
        <v>3193</v>
      </c>
      <c r="B809" s="13" t="s">
        <v>1488</v>
      </c>
      <c r="C809" s="14" t="s">
        <v>521</v>
      </c>
      <c r="D809" s="14" t="s">
        <v>46</v>
      </c>
      <c r="E809" s="15"/>
      <c r="F809" s="9" t="s">
        <v>523</v>
      </c>
      <c r="H809" s="9" t="s">
        <v>172</v>
      </c>
      <c r="I809" s="9">
        <v>1.0</v>
      </c>
      <c r="J809" s="9">
        <v>0.0</v>
      </c>
      <c r="K809" s="9">
        <v>0.0</v>
      </c>
    </row>
    <row r="810" ht="15.75" customHeight="1">
      <c r="A810" s="7" t="s">
        <v>3194</v>
      </c>
      <c r="B810" s="13" t="s">
        <v>1431</v>
      </c>
      <c r="C810" s="14" t="s">
        <v>521</v>
      </c>
      <c r="D810" s="14" t="s">
        <v>46</v>
      </c>
      <c r="E810" s="14" t="s">
        <v>3195</v>
      </c>
      <c r="F810" s="9" t="s">
        <v>523</v>
      </c>
      <c r="G810" s="9" t="b">
        <v>0</v>
      </c>
      <c r="I810" s="9">
        <v>1.0</v>
      </c>
      <c r="J810" s="9">
        <v>0.0</v>
      </c>
      <c r="K810" s="9">
        <v>0.0</v>
      </c>
    </row>
    <row r="811" ht="15.75" customHeight="1">
      <c r="A811" s="7" t="s">
        <v>3196</v>
      </c>
      <c r="B811" s="13" t="s">
        <v>1431</v>
      </c>
      <c r="C811" s="14" t="s">
        <v>521</v>
      </c>
      <c r="D811" s="14" t="s">
        <v>46</v>
      </c>
      <c r="E811" s="14" t="s">
        <v>3195</v>
      </c>
      <c r="F811" s="9" t="s">
        <v>523</v>
      </c>
      <c r="G811" s="9" t="b">
        <v>0</v>
      </c>
      <c r="I811" s="9">
        <v>1.0</v>
      </c>
      <c r="J811" s="9">
        <v>0.0</v>
      </c>
      <c r="K811" s="9">
        <v>0.0</v>
      </c>
    </row>
    <row r="812" ht="15.75" customHeight="1">
      <c r="A812" s="7" t="s">
        <v>3197</v>
      </c>
      <c r="B812" s="13" t="s">
        <v>277</v>
      </c>
      <c r="C812" s="14" t="s">
        <v>169</v>
      </c>
      <c r="D812" s="14" t="s">
        <v>169</v>
      </c>
      <c r="E812" s="15"/>
      <c r="F812" s="9" t="s">
        <v>94</v>
      </c>
      <c r="H812" s="9" t="s">
        <v>172</v>
      </c>
      <c r="I812" s="9">
        <v>1.0</v>
      </c>
      <c r="J812" s="9">
        <v>0.0</v>
      </c>
      <c r="K812" s="9">
        <v>0.0</v>
      </c>
    </row>
    <row r="813" ht="15.75" customHeight="1">
      <c r="A813" s="7" t="s">
        <v>3198</v>
      </c>
      <c r="B813" s="13" t="s">
        <v>1492</v>
      </c>
      <c r="C813" s="14" t="s">
        <v>521</v>
      </c>
      <c r="D813" s="14" t="s">
        <v>46</v>
      </c>
      <c r="E813" s="14" t="s">
        <v>3199</v>
      </c>
      <c r="F813" s="9" t="s">
        <v>523</v>
      </c>
      <c r="G813" s="9" t="b">
        <v>0</v>
      </c>
      <c r="H813" s="9" t="s">
        <v>188</v>
      </c>
      <c r="I813" s="9">
        <v>1.0</v>
      </c>
      <c r="J813" s="9">
        <v>0.0</v>
      </c>
      <c r="K813" s="9">
        <v>2.0</v>
      </c>
    </row>
    <row r="814" ht="15.75" customHeight="1">
      <c r="A814" s="7" t="s">
        <v>3200</v>
      </c>
      <c r="B814" s="13" t="s">
        <v>1493</v>
      </c>
      <c r="C814" s="14" t="s">
        <v>521</v>
      </c>
      <c r="D814" s="14" t="s">
        <v>46</v>
      </c>
      <c r="E814" s="14" t="s">
        <v>3201</v>
      </c>
      <c r="F814" s="9" t="s">
        <v>523</v>
      </c>
      <c r="G814" s="9" t="b">
        <v>0</v>
      </c>
      <c r="I814" s="9">
        <v>1.0</v>
      </c>
      <c r="J814" s="9">
        <v>0.0</v>
      </c>
      <c r="K814" s="9">
        <v>2.0</v>
      </c>
    </row>
    <row r="815" ht="15.75" customHeight="1">
      <c r="A815" s="7" t="s">
        <v>3202</v>
      </c>
      <c r="B815" s="13" t="s">
        <v>1497</v>
      </c>
      <c r="C815" s="14" t="s">
        <v>1203</v>
      </c>
      <c r="D815" s="14" t="s">
        <v>46</v>
      </c>
      <c r="E815" s="14" t="s">
        <v>3203</v>
      </c>
      <c r="F815" s="9" t="s">
        <v>1205</v>
      </c>
      <c r="G815" s="9" t="b">
        <v>0</v>
      </c>
      <c r="I815" s="9">
        <v>1.0</v>
      </c>
      <c r="J815" s="9">
        <v>0.0</v>
      </c>
      <c r="K815" s="9">
        <v>1.0</v>
      </c>
    </row>
    <row r="816" ht="15.75" customHeight="1">
      <c r="A816" s="7" t="s">
        <v>3204</v>
      </c>
      <c r="B816" s="13" t="s">
        <v>1501</v>
      </c>
      <c r="C816" s="14" t="s">
        <v>144</v>
      </c>
      <c r="D816" s="14" t="s">
        <v>46</v>
      </c>
      <c r="E816" s="14" t="s">
        <v>3205</v>
      </c>
      <c r="F816" s="9" t="s">
        <v>147</v>
      </c>
      <c r="G816" s="9" t="b">
        <v>0</v>
      </c>
      <c r="H816" s="9" t="s">
        <v>188</v>
      </c>
      <c r="I816" s="9">
        <v>1.0</v>
      </c>
      <c r="J816" s="9">
        <v>0.0</v>
      </c>
      <c r="K816" s="9">
        <v>1.0</v>
      </c>
    </row>
    <row r="817" ht="15.75" customHeight="1">
      <c r="A817" s="7" t="s">
        <v>3206</v>
      </c>
      <c r="B817" s="13" t="s">
        <v>1502</v>
      </c>
      <c r="C817" s="14" t="s">
        <v>521</v>
      </c>
      <c r="D817" s="14" t="s">
        <v>46</v>
      </c>
      <c r="E817" s="14" t="s">
        <v>3207</v>
      </c>
      <c r="F817" s="9" t="s">
        <v>523</v>
      </c>
      <c r="G817" s="9" t="b">
        <v>0</v>
      </c>
      <c r="H817" s="9" t="s">
        <v>853</v>
      </c>
      <c r="I817" s="9">
        <v>1.0</v>
      </c>
      <c r="J817" s="9">
        <v>0.0</v>
      </c>
      <c r="K817" s="9">
        <v>3.0</v>
      </c>
    </row>
    <row r="818" ht="15.75" customHeight="1">
      <c r="A818" s="7" t="s">
        <v>3208</v>
      </c>
      <c r="B818" s="13" t="s">
        <v>1289</v>
      </c>
      <c r="C818" s="14" t="s">
        <v>23</v>
      </c>
      <c r="D818" s="14" t="s">
        <v>46</v>
      </c>
      <c r="E818" s="14" t="s">
        <v>3209</v>
      </c>
      <c r="F818" s="9" t="s">
        <v>27</v>
      </c>
      <c r="G818" s="9" t="b">
        <v>0</v>
      </c>
      <c r="I818" s="9">
        <v>1.0</v>
      </c>
      <c r="J818" s="9">
        <v>0.0</v>
      </c>
      <c r="K818" s="9">
        <v>1.0</v>
      </c>
    </row>
    <row r="819" ht="15.75" customHeight="1">
      <c r="A819" s="7" t="s">
        <v>3210</v>
      </c>
      <c r="B819" s="13" t="s">
        <v>1289</v>
      </c>
      <c r="C819" s="14" t="s">
        <v>23</v>
      </c>
      <c r="D819" s="14" t="s">
        <v>46</v>
      </c>
      <c r="E819" s="14" t="s">
        <v>3211</v>
      </c>
      <c r="F819" s="9" t="s">
        <v>27</v>
      </c>
      <c r="G819" s="9" t="b">
        <v>0</v>
      </c>
      <c r="H819" s="9" t="s">
        <v>1292</v>
      </c>
      <c r="I819" s="9">
        <v>1.0</v>
      </c>
      <c r="J819" s="9">
        <v>0.0</v>
      </c>
      <c r="K819" s="9">
        <v>0.0</v>
      </c>
    </row>
    <row r="820" ht="15.75" customHeight="1">
      <c r="A820" s="7" t="s">
        <v>3212</v>
      </c>
      <c r="B820" s="13" t="s">
        <v>1944</v>
      </c>
      <c r="C820" s="14" t="s">
        <v>169</v>
      </c>
      <c r="D820" s="14" t="s">
        <v>169</v>
      </c>
      <c r="E820" s="15"/>
      <c r="F820" s="9" t="s">
        <v>94</v>
      </c>
      <c r="H820" s="9" t="s">
        <v>172</v>
      </c>
      <c r="I820" s="9">
        <v>1.0</v>
      </c>
      <c r="J820" s="9">
        <v>0.0</v>
      </c>
      <c r="K820" s="9">
        <v>1.0</v>
      </c>
    </row>
    <row r="821" ht="15.75" customHeight="1">
      <c r="A821" s="7" t="s">
        <v>3213</v>
      </c>
      <c r="B821" s="13" t="s">
        <v>142</v>
      </c>
      <c r="C821" s="14" t="s">
        <v>61</v>
      </c>
      <c r="D821" s="14" t="s">
        <v>25</v>
      </c>
      <c r="E821" s="17" t="s">
        <v>3214</v>
      </c>
      <c r="F821" s="9" t="s">
        <v>64</v>
      </c>
      <c r="G821" s="9" t="b">
        <v>1</v>
      </c>
      <c r="H821" s="9" t="s">
        <v>3215</v>
      </c>
      <c r="I821" s="9">
        <v>1.0</v>
      </c>
      <c r="J821" s="9">
        <v>0.0</v>
      </c>
      <c r="K821" s="9">
        <v>1.0</v>
      </c>
    </row>
    <row r="822" ht="15.75" customHeight="1">
      <c r="A822" s="7" t="s">
        <v>3216</v>
      </c>
      <c r="B822" s="13" t="s">
        <v>142</v>
      </c>
      <c r="C822" s="14" t="s">
        <v>61</v>
      </c>
      <c r="D822" s="14" t="s">
        <v>25</v>
      </c>
      <c r="E822" s="17" t="s">
        <v>3217</v>
      </c>
      <c r="F822" s="9" t="s">
        <v>64</v>
      </c>
      <c r="G822" s="9" t="b">
        <v>0</v>
      </c>
      <c r="H822" s="9" t="s">
        <v>3218</v>
      </c>
      <c r="I822" s="9">
        <v>1.0</v>
      </c>
      <c r="J822" s="9">
        <v>0.0</v>
      </c>
      <c r="K822" s="9">
        <v>1.0</v>
      </c>
    </row>
    <row r="823" ht="15.75" customHeight="1">
      <c r="A823" s="7" t="s">
        <v>3219</v>
      </c>
      <c r="B823" s="13" t="s">
        <v>142</v>
      </c>
      <c r="C823" s="14" t="s">
        <v>61</v>
      </c>
      <c r="D823" s="14" t="s">
        <v>25</v>
      </c>
      <c r="E823" s="14" t="s">
        <v>3220</v>
      </c>
      <c r="F823" s="9" t="s">
        <v>64</v>
      </c>
      <c r="G823" s="9" t="b">
        <v>0</v>
      </c>
      <c r="H823" s="9" t="s">
        <v>3221</v>
      </c>
      <c r="I823" s="9">
        <v>1.0</v>
      </c>
      <c r="J823" s="9">
        <v>0.0</v>
      </c>
      <c r="K823" s="9">
        <v>1.0</v>
      </c>
    </row>
    <row r="824" ht="15.75" customHeight="1">
      <c r="A824" s="7" t="s">
        <v>3222</v>
      </c>
      <c r="B824" s="14" t="s">
        <v>1504</v>
      </c>
      <c r="C824" s="14" t="s">
        <v>144</v>
      </c>
      <c r="D824" s="14" t="s">
        <v>46</v>
      </c>
      <c r="E824" s="14" t="s">
        <v>3223</v>
      </c>
      <c r="F824" s="9" t="s">
        <v>147</v>
      </c>
      <c r="G824" s="9" t="b">
        <v>0</v>
      </c>
      <c r="I824" s="9">
        <v>1.0</v>
      </c>
      <c r="J824" s="9">
        <v>0.0</v>
      </c>
      <c r="K824" s="9">
        <v>0.0</v>
      </c>
    </row>
    <row r="825" ht="15.75" customHeight="1">
      <c r="A825" s="7" t="s">
        <v>3224</v>
      </c>
      <c r="B825" s="13" t="s">
        <v>1506</v>
      </c>
      <c r="C825" s="14" t="s">
        <v>521</v>
      </c>
      <c r="D825" s="14" t="s">
        <v>46</v>
      </c>
      <c r="E825" s="14" t="s">
        <v>3225</v>
      </c>
      <c r="F825" s="9" t="s">
        <v>523</v>
      </c>
      <c r="G825" s="9" t="b">
        <v>0</v>
      </c>
      <c r="H825" s="9" t="s">
        <v>188</v>
      </c>
      <c r="I825" s="9">
        <v>1.0</v>
      </c>
      <c r="J825" s="9">
        <v>0.0</v>
      </c>
      <c r="K825" s="9">
        <v>0.0</v>
      </c>
    </row>
    <row r="826" ht="15.75" customHeight="1">
      <c r="A826" s="7" t="s">
        <v>3226</v>
      </c>
      <c r="B826" s="13" t="s">
        <v>1509</v>
      </c>
      <c r="C826" s="14" t="s">
        <v>169</v>
      </c>
      <c r="D826" s="14" t="s">
        <v>169</v>
      </c>
      <c r="E826" s="15"/>
      <c r="F826" s="9" t="s">
        <v>94</v>
      </c>
      <c r="H826" s="9" t="s">
        <v>172</v>
      </c>
      <c r="I826" s="9">
        <v>1.0</v>
      </c>
      <c r="J826" s="9">
        <v>0.0</v>
      </c>
      <c r="K826" s="9">
        <v>0.0</v>
      </c>
    </row>
    <row r="827" ht="15.75" customHeight="1">
      <c r="A827" s="7" t="s">
        <v>3227</v>
      </c>
      <c r="B827" s="13" t="s">
        <v>1511</v>
      </c>
      <c r="C827" s="14" t="s">
        <v>34</v>
      </c>
      <c r="D827" s="14" t="s">
        <v>46</v>
      </c>
      <c r="E827" s="14" t="s">
        <v>3228</v>
      </c>
      <c r="F827" s="9" t="s">
        <v>37</v>
      </c>
      <c r="G827" s="9" t="b">
        <v>0</v>
      </c>
      <c r="H827" s="9" t="s">
        <v>3229</v>
      </c>
      <c r="I827" s="9">
        <v>1.0</v>
      </c>
      <c r="J827" s="9">
        <v>0.0</v>
      </c>
      <c r="K827" s="9">
        <v>1.0</v>
      </c>
    </row>
    <row r="828" ht="15.75" customHeight="1">
      <c r="A828" s="7" t="s">
        <v>3230</v>
      </c>
      <c r="B828" s="13" t="s">
        <v>1515</v>
      </c>
      <c r="C828" s="14" t="s">
        <v>521</v>
      </c>
      <c r="D828" s="14" t="s">
        <v>46</v>
      </c>
      <c r="E828" s="14" t="s">
        <v>3231</v>
      </c>
      <c r="F828" s="9" t="s">
        <v>523</v>
      </c>
      <c r="G828" s="9" t="b">
        <v>0</v>
      </c>
      <c r="H828" s="9" t="s">
        <v>552</v>
      </c>
      <c r="I828" s="9">
        <v>1.0</v>
      </c>
      <c r="J828" s="9">
        <v>0.0</v>
      </c>
      <c r="K828" s="9">
        <v>0.0</v>
      </c>
    </row>
    <row r="829" ht="15.75" customHeight="1">
      <c r="A829" s="7" t="s">
        <v>3232</v>
      </c>
      <c r="B829" s="13" t="s">
        <v>22</v>
      </c>
      <c r="C829" s="14" t="s">
        <v>61</v>
      </c>
      <c r="D829" s="14" t="s">
        <v>46</v>
      </c>
      <c r="E829" s="14" t="s">
        <v>3233</v>
      </c>
      <c r="F829" s="9" t="s">
        <v>64</v>
      </c>
      <c r="G829" s="9" t="b">
        <v>0</v>
      </c>
      <c r="H829" s="9" t="s">
        <v>3234</v>
      </c>
      <c r="I829" s="9">
        <v>1.0</v>
      </c>
      <c r="J829" s="9">
        <v>0.0</v>
      </c>
      <c r="K829" s="9">
        <v>2.0</v>
      </c>
    </row>
    <row r="830" ht="15.75" customHeight="1">
      <c r="A830" s="7" t="s">
        <v>3235</v>
      </c>
      <c r="B830" s="13" t="s">
        <v>22</v>
      </c>
      <c r="C830" s="14" t="s">
        <v>23</v>
      </c>
      <c r="D830" s="14" t="s">
        <v>46</v>
      </c>
      <c r="E830" s="14" t="s">
        <v>3236</v>
      </c>
      <c r="F830" s="9" t="s">
        <v>27</v>
      </c>
      <c r="G830" s="9" t="b">
        <v>0</v>
      </c>
      <c r="H830" s="9" t="s">
        <v>3237</v>
      </c>
      <c r="I830" s="9">
        <v>1.0</v>
      </c>
      <c r="J830" s="9">
        <v>0.0</v>
      </c>
      <c r="K830" s="9">
        <v>0.0</v>
      </c>
    </row>
    <row r="831" ht="15.75" customHeight="1">
      <c r="A831" s="7" t="s">
        <v>3238</v>
      </c>
      <c r="B831" s="13" t="s">
        <v>22</v>
      </c>
      <c r="C831" s="14" t="s">
        <v>23</v>
      </c>
      <c r="D831" s="14" t="s">
        <v>46</v>
      </c>
      <c r="E831" s="14" t="s">
        <v>3239</v>
      </c>
      <c r="F831" s="9" t="s">
        <v>27</v>
      </c>
      <c r="G831" s="9" t="b">
        <v>0</v>
      </c>
      <c r="H831" s="9" t="s">
        <v>2358</v>
      </c>
      <c r="I831" s="9">
        <v>1.0</v>
      </c>
      <c r="J831" s="9">
        <v>0.0</v>
      </c>
      <c r="K831" s="9">
        <v>0.0</v>
      </c>
    </row>
    <row r="832" ht="15.75" customHeight="1">
      <c r="A832" s="7" t="s">
        <v>3240</v>
      </c>
      <c r="B832" s="13" t="s">
        <v>22</v>
      </c>
      <c r="C832" s="14" t="s">
        <v>23</v>
      </c>
      <c r="D832" s="14" t="s">
        <v>46</v>
      </c>
      <c r="E832" s="14" t="s">
        <v>3241</v>
      </c>
      <c r="F832" s="9" t="s">
        <v>27</v>
      </c>
      <c r="G832" s="9" t="b">
        <v>0</v>
      </c>
      <c r="H832" s="9" t="s">
        <v>2602</v>
      </c>
      <c r="I832" s="9">
        <v>1.0</v>
      </c>
      <c r="J832" s="9">
        <v>0.0</v>
      </c>
      <c r="K832" s="9">
        <v>0.0</v>
      </c>
    </row>
    <row r="833" ht="15.75" customHeight="1">
      <c r="A833" s="7" t="s">
        <v>3242</v>
      </c>
      <c r="B833" s="13" t="s">
        <v>22</v>
      </c>
      <c r="C833" s="14" t="s">
        <v>23</v>
      </c>
      <c r="D833" s="14" t="s">
        <v>46</v>
      </c>
      <c r="E833" s="14" t="s">
        <v>3243</v>
      </c>
      <c r="F833" s="9" t="s">
        <v>27</v>
      </c>
      <c r="G833" s="9" t="b">
        <v>0</v>
      </c>
      <c r="H833" s="9" t="s">
        <v>825</v>
      </c>
      <c r="I833" s="9">
        <v>1.0</v>
      </c>
      <c r="J833" s="9">
        <v>0.0</v>
      </c>
      <c r="K833" s="9">
        <v>0.0</v>
      </c>
    </row>
    <row r="834" ht="15.75" customHeight="1">
      <c r="A834" s="7" t="s">
        <v>3244</v>
      </c>
      <c r="B834" s="13" t="s">
        <v>22</v>
      </c>
      <c r="C834" s="14" t="s">
        <v>23</v>
      </c>
      <c r="D834" s="14" t="s">
        <v>46</v>
      </c>
      <c r="E834" s="14" t="s">
        <v>3245</v>
      </c>
      <c r="F834" s="9" t="s">
        <v>27</v>
      </c>
      <c r="G834" s="9" t="b">
        <v>0</v>
      </c>
      <c r="H834" s="9" t="s">
        <v>3246</v>
      </c>
      <c r="I834" s="9">
        <v>1.0</v>
      </c>
      <c r="J834" s="9">
        <v>0.0</v>
      </c>
      <c r="K834" s="9">
        <v>0.0</v>
      </c>
    </row>
    <row r="835" ht="15.75" customHeight="1">
      <c r="A835" s="7" t="s">
        <v>3247</v>
      </c>
      <c r="B835" s="13" t="s">
        <v>22</v>
      </c>
      <c r="C835" s="14" t="s">
        <v>169</v>
      </c>
      <c r="D835" s="14" t="s">
        <v>46</v>
      </c>
      <c r="E835" s="14" t="s">
        <v>3248</v>
      </c>
      <c r="F835" s="9" t="s">
        <v>94</v>
      </c>
      <c r="G835" s="9" t="b">
        <v>0</v>
      </c>
      <c r="H835" s="9" t="s">
        <v>3249</v>
      </c>
      <c r="I835" s="9">
        <v>1.0</v>
      </c>
      <c r="J835" s="9">
        <v>0.0</v>
      </c>
      <c r="K835" s="9">
        <v>1.0</v>
      </c>
    </row>
    <row r="836" ht="15.75" customHeight="1">
      <c r="A836" s="7" t="s">
        <v>3250</v>
      </c>
      <c r="B836" s="13" t="s">
        <v>22</v>
      </c>
      <c r="C836" s="14" t="s">
        <v>169</v>
      </c>
      <c r="D836" s="14" t="s">
        <v>46</v>
      </c>
      <c r="E836" s="14" t="s">
        <v>3251</v>
      </c>
      <c r="F836" s="9" t="s">
        <v>94</v>
      </c>
      <c r="G836" s="9" t="b">
        <v>0</v>
      </c>
      <c r="H836" s="9" t="s">
        <v>3249</v>
      </c>
      <c r="I836" s="9">
        <v>1.0</v>
      </c>
      <c r="J836" s="9">
        <v>0.0</v>
      </c>
      <c r="K836" s="9">
        <v>1.0</v>
      </c>
    </row>
    <row r="837" ht="15.75" customHeight="1">
      <c r="A837" s="7" t="s">
        <v>3252</v>
      </c>
      <c r="B837" s="13" t="s">
        <v>1518</v>
      </c>
      <c r="C837" s="14" t="s">
        <v>521</v>
      </c>
      <c r="D837" s="14" t="s">
        <v>46</v>
      </c>
      <c r="E837" s="14" t="s">
        <v>3253</v>
      </c>
      <c r="F837" s="9" t="s">
        <v>523</v>
      </c>
      <c r="G837" s="9" t="b">
        <v>0</v>
      </c>
      <c r="I837" s="9">
        <v>1.0</v>
      </c>
      <c r="J837" s="9">
        <v>0.0</v>
      </c>
      <c r="K837" s="9">
        <v>0.0</v>
      </c>
    </row>
    <row r="838" ht="15.75" customHeight="1">
      <c r="A838" s="7" t="s">
        <v>3254</v>
      </c>
      <c r="B838" s="13" t="s">
        <v>1520</v>
      </c>
      <c r="C838" s="14" t="s">
        <v>34</v>
      </c>
      <c r="D838" s="14" t="s">
        <v>25</v>
      </c>
      <c r="E838" s="14" t="s">
        <v>3255</v>
      </c>
      <c r="F838" s="9" t="s">
        <v>37</v>
      </c>
      <c r="G838" s="9" t="b">
        <v>0</v>
      </c>
      <c r="H838" s="9" t="s">
        <v>3256</v>
      </c>
      <c r="I838" s="9">
        <v>1.0</v>
      </c>
      <c r="J838" s="9">
        <v>0.0</v>
      </c>
      <c r="K838" s="9">
        <v>1.0</v>
      </c>
    </row>
    <row r="839" ht="15.75" customHeight="1">
      <c r="A839" s="7" t="s">
        <v>3257</v>
      </c>
      <c r="B839" s="13" t="s">
        <v>1523</v>
      </c>
      <c r="C839" s="14" t="s">
        <v>34</v>
      </c>
      <c r="D839" s="14" t="s">
        <v>46</v>
      </c>
      <c r="E839" s="14" t="s">
        <v>3258</v>
      </c>
      <c r="F839" s="9" t="s">
        <v>37</v>
      </c>
      <c r="G839" s="9" t="b">
        <v>0</v>
      </c>
      <c r="H839" s="9" t="s">
        <v>3259</v>
      </c>
      <c r="I839" s="9">
        <v>1.0</v>
      </c>
      <c r="J839" s="9">
        <v>0.0</v>
      </c>
      <c r="K839" s="9">
        <v>0.0</v>
      </c>
    </row>
    <row r="840" ht="15.75" customHeight="1">
      <c r="A840" s="7" t="s">
        <v>3260</v>
      </c>
      <c r="B840" s="13" t="s">
        <v>1444</v>
      </c>
      <c r="C840" s="14" t="s">
        <v>169</v>
      </c>
      <c r="D840" s="14" t="s">
        <v>46</v>
      </c>
      <c r="E840" s="14" t="s">
        <v>3261</v>
      </c>
      <c r="F840" s="9" t="s">
        <v>94</v>
      </c>
      <c r="G840" s="9" t="b">
        <v>0</v>
      </c>
      <c r="H840" s="9" t="s">
        <v>3262</v>
      </c>
      <c r="I840" s="9">
        <v>1.0</v>
      </c>
      <c r="J840" s="9">
        <v>0.0</v>
      </c>
      <c r="K840" s="9">
        <v>3.0</v>
      </c>
    </row>
    <row r="841" ht="15.75" customHeight="1">
      <c r="A841" s="7" t="s">
        <v>3263</v>
      </c>
      <c r="B841" s="13" t="s">
        <v>1444</v>
      </c>
      <c r="C841" s="14" t="s">
        <v>169</v>
      </c>
      <c r="D841" s="14" t="s">
        <v>46</v>
      </c>
      <c r="E841" s="14" t="s">
        <v>3264</v>
      </c>
      <c r="F841" s="9" t="s">
        <v>94</v>
      </c>
      <c r="G841" s="9" t="b">
        <v>0</v>
      </c>
      <c r="H841" s="9" t="s">
        <v>188</v>
      </c>
      <c r="I841" s="9">
        <v>1.0</v>
      </c>
      <c r="J841" s="9">
        <v>0.0</v>
      </c>
      <c r="K841" s="9">
        <v>0.0</v>
      </c>
    </row>
    <row r="842" ht="15.75" customHeight="1">
      <c r="A842" s="7" t="s">
        <v>3265</v>
      </c>
      <c r="B842" s="13" t="s">
        <v>1526</v>
      </c>
      <c r="C842" s="14" t="s">
        <v>521</v>
      </c>
      <c r="D842" s="14" t="s">
        <v>46</v>
      </c>
      <c r="E842" s="14" t="s">
        <v>3266</v>
      </c>
      <c r="F842" s="9" t="s">
        <v>523</v>
      </c>
      <c r="G842" s="9" t="b">
        <v>0</v>
      </c>
      <c r="H842" s="9" t="s">
        <v>1248</v>
      </c>
      <c r="I842" s="9">
        <v>1.0</v>
      </c>
      <c r="J842" s="9">
        <v>0.0</v>
      </c>
      <c r="K842" s="9">
        <v>0.0</v>
      </c>
    </row>
    <row r="843" ht="15.75" customHeight="1">
      <c r="A843" s="7" t="s">
        <v>3267</v>
      </c>
      <c r="B843" s="13" t="s">
        <v>714</v>
      </c>
      <c r="C843" s="14" t="s">
        <v>23</v>
      </c>
      <c r="D843" s="14" t="s">
        <v>46</v>
      </c>
      <c r="E843" s="14" t="s">
        <v>3268</v>
      </c>
      <c r="F843" s="9" t="s">
        <v>27</v>
      </c>
      <c r="G843" s="9" t="b">
        <v>0</v>
      </c>
      <c r="H843" s="9" t="s">
        <v>3269</v>
      </c>
      <c r="I843" s="9">
        <v>1.0</v>
      </c>
      <c r="J843" s="9">
        <v>0.0</v>
      </c>
      <c r="K843" s="9">
        <v>1.0</v>
      </c>
    </row>
    <row r="844" ht="15.75" customHeight="1">
      <c r="A844" s="7" t="s">
        <v>3270</v>
      </c>
      <c r="B844" s="13" t="s">
        <v>1529</v>
      </c>
      <c r="C844" s="14" t="s">
        <v>521</v>
      </c>
      <c r="D844" s="14" t="s">
        <v>46</v>
      </c>
      <c r="E844" s="14" t="s">
        <v>3271</v>
      </c>
      <c r="F844" s="9" t="s">
        <v>523</v>
      </c>
      <c r="G844" s="9" t="b">
        <v>0</v>
      </c>
      <c r="I844" s="9">
        <v>1.0</v>
      </c>
      <c r="J844" s="9">
        <v>0.0</v>
      </c>
      <c r="K844" s="9">
        <v>2.0</v>
      </c>
    </row>
    <row r="845" ht="15.75" customHeight="1">
      <c r="A845" s="7" t="s">
        <v>3272</v>
      </c>
      <c r="B845" s="13" t="s">
        <v>1531</v>
      </c>
      <c r="C845" s="14" t="s">
        <v>521</v>
      </c>
      <c r="D845" s="14" t="s">
        <v>46</v>
      </c>
      <c r="E845" s="14" t="s">
        <v>3273</v>
      </c>
      <c r="F845" s="9" t="s">
        <v>523</v>
      </c>
      <c r="G845" s="9" t="b">
        <v>0</v>
      </c>
      <c r="H845" s="9" t="s">
        <v>482</v>
      </c>
      <c r="I845" s="9">
        <v>1.0</v>
      </c>
      <c r="J845" s="9">
        <v>0.0</v>
      </c>
      <c r="K845" s="9">
        <v>1.0</v>
      </c>
    </row>
    <row r="846" ht="15.75" customHeight="1">
      <c r="A846" s="7" t="s">
        <v>3274</v>
      </c>
      <c r="B846" s="13" t="s">
        <v>1534</v>
      </c>
      <c r="C846" s="14" t="s">
        <v>521</v>
      </c>
      <c r="D846" s="14" t="s">
        <v>46</v>
      </c>
      <c r="E846" s="15"/>
      <c r="F846" s="9" t="s">
        <v>523</v>
      </c>
      <c r="H846" s="9" t="s">
        <v>172</v>
      </c>
      <c r="I846" s="9">
        <v>1.0</v>
      </c>
      <c r="J846" s="9">
        <v>0.0</v>
      </c>
      <c r="K846" s="9">
        <v>2.0</v>
      </c>
    </row>
    <row r="847" ht="15.75" customHeight="1">
      <c r="A847" s="7" t="s">
        <v>3275</v>
      </c>
      <c r="B847" s="13" t="s">
        <v>1535</v>
      </c>
      <c r="C847" s="14" t="s">
        <v>521</v>
      </c>
      <c r="D847" s="14" t="s">
        <v>46</v>
      </c>
      <c r="E847" s="14" t="s">
        <v>3276</v>
      </c>
      <c r="F847" s="9" t="s">
        <v>523</v>
      </c>
      <c r="G847" s="9" t="b">
        <v>0</v>
      </c>
      <c r="H847" s="9" t="s">
        <v>720</v>
      </c>
      <c r="I847" s="9">
        <v>1.0</v>
      </c>
      <c r="J847" s="9">
        <v>0.0</v>
      </c>
      <c r="K847" s="9">
        <v>2.0</v>
      </c>
    </row>
    <row r="848" ht="15.75" customHeight="1">
      <c r="A848" s="7" t="s">
        <v>3277</v>
      </c>
      <c r="B848" s="13" t="s">
        <v>1016</v>
      </c>
      <c r="C848" s="14" t="s">
        <v>34</v>
      </c>
      <c r="D848" s="14" t="s">
        <v>169</v>
      </c>
      <c r="E848" s="14" t="s">
        <v>3278</v>
      </c>
      <c r="F848" s="9" t="s">
        <v>37</v>
      </c>
      <c r="G848" s="9" t="b">
        <v>0</v>
      </c>
      <c r="H848" s="9" t="s">
        <v>2231</v>
      </c>
      <c r="I848" s="9">
        <v>1.0</v>
      </c>
      <c r="J848" s="9">
        <v>0.0</v>
      </c>
      <c r="K848" s="9">
        <v>0.0</v>
      </c>
    </row>
    <row r="849" ht="15.75" customHeight="1">
      <c r="A849" s="7" t="s">
        <v>3279</v>
      </c>
      <c r="B849" s="13" t="s">
        <v>3280</v>
      </c>
      <c r="C849" s="14" t="s">
        <v>521</v>
      </c>
      <c r="D849" s="14" t="s">
        <v>169</v>
      </c>
      <c r="E849" s="14" t="s">
        <v>3281</v>
      </c>
      <c r="F849" s="9" t="s">
        <v>523</v>
      </c>
      <c r="G849" s="9" t="b">
        <v>0</v>
      </c>
      <c r="H849" s="9" t="s">
        <v>3282</v>
      </c>
      <c r="I849" s="9">
        <v>1.0</v>
      </c>
      <c r="J849" s="9">
        <v>0.0</v>
      </c>
      <c r="K849" s="9">
        <v>2.0</v>
      </c>
    </row>
    <row r="850" ht="15.75" customHeight="1">
      <c r="A850" s="7" t="s">
        <v>3283</v>
      </c>
      <c r="B850" s="13" t="s">
        <v>717</v>
      </c>
      <c r="C850" s="14" t="s">
        <v>521</v>
      </c>
      <c r="D850" s="14" t="s">
        <v>46</v>
      </c>
      <c r="E850" s="14" t="s">
        <v>3284</v>
      </c>
      <c r="F850" s="9" t="s">
        <v>523</v>
      </c>
      <c r="G850" s="9" t="b">
        <v>0</v>
      </c>
      <c r="H850" s="9" t="s">
        <v>720</v>
      </c>
      <c r="I850" s="9">
        <v>1.0</v>
      </c>
      <c r="J850" s="9">
        <v>0.0</v>
      </c>
      <c r="K850" s="9">
        <v>1.0</v>
      </c>
    </row>
    <row r="851" ht="15.75" customHeight="1">
      <c r="A851" s="7" t="s">
        <v>3285</v>
      </c>
      <c r="B851" s="13" t="s">
        <v>717</v>
      </c>
      <c r="C851" s="14" t="s">
        <v>169</v>
      </c>
      <c r="D851" s="14" t="s">
        <v>46</v>
      </c>
      <c r="E851" s="14" t="s">
        <v>3286</v>
      </c>
      <c r="F851" s="9" t="s">
        <v>94</v>
      </c>
      <c r="G851" s="9" t="b">
        <v>0</v>
      </c>
      <c r="I851" s="9">
        <v>1.0</v>
      </c>
      <c r="J851" s="9">
        <v>0.0</v>
      </c>
      <c r="K851" s="9">
        <v>0.0</v>
      </c>
    </row>
    <row r="852" ht="15.75" customHeight="1">
      <c r="A852" s="7" t="s">
        <v>3287</v>
      </c>
      <c r="B852" s="13" t="s">
        <v>1538</v>
      </c>
      <c r="C852" s="14" t="s">
        <v>309</v>
      </c>
      <c r="D852" s="14" t="s">
        <v>46</v>
      </c>
      <c r="E852" s="14" t="s">
        <v>3288</v>
      </c>
      <c r="F852" s="9" t="s">
        <v>311</v>
      </c>
      <c r="G852" s="9" t="b">
        <v>0</v>
      </c>
      <c r="H852" s="9" t="s">
        <v>3289</v>
      </c>
      <c r="I852" s="9">
        <v>1.0</v>
      </c>
      <c r="J852" s="9">
        <v>0.0</v>
      </c>
      <c r="K852" s="9">
        <v>0.0</v>
      </c>
    </row>
    <row r="853" ht="15.75" customHeight="1">
      <c r="A853" s="7" t="s">
        <v>3290</v>
      </c>
      <c r="B853" s="14" t="s">
        <v>1543</v>
      </c>
      <c r="C853" s="14" t="s">
        <v>61</v>
      </c>
      <c r="D853" s="14" t="s">
        <v>35</v>
      </c>
      <c r="E853" s="14" t="s">
        <v>3291</v>
      </c>
      <c r="F853" s="9" t="s">
        <v>64</v>
      </c>
      <c r="G853" s="9" t="b">
        <v>0</v>
      </c>
      <c r="H853" s="9" t="s">
        <v>1544</v>
      </c>
      <c r="I853" s="9">
        <v>1.0</v>
      </c>
      <c r="J853" s="9">
        <v>0.0</v>
      </c>
      <c r="K853" s="9">
        <v>0.0</v>
      </c>
    </row>
    <row r="854" ht="15.75" customHeight="1">
      <c r="A854" s="7" t="s">
        <v>3292</v>
      </c>
      <c r="B854" s="13" t="s">
        <v>1545</v>
      </c>
      <c r="C854" s="14" t="s">
        <v>521</v>
      </c>
      <c r="D854" s="14" t="s">
        <v>46</v>
      </c>
      <c r="E854" s="15"/>
      <c r="F854" s="9" t="s">
        <v>523</v>
      </c>
      <c r="H854" s="9" t="s">
        <v>172</v>
      </c>
      <c r="I854" s="9">
        <v>1.0</v>
      </c>
      <c r="J854" s="9">
        <v>0.0</v>
      </c>
      <c r="K854" s="9">
        <v>0.0</v>
      </c>
    </row>
    <row r="855" ht="15.75" customHeight="1">
      <c r="A855" s="7" t="s">
        <v>3293</v>
      </c>
      <c r="B855" s="13" t="s">
        <v>1549</v>
      </c>
      <c r="C855" s="14" t="s">
        <v>169</v>
      </c>
      <c r="D855" s="14" t="s">
        <v>169</v>
      </c>
      <c r="E855" s="15"/>
      <c r="F855" s="9" t="s">
        <v>94</v>
      </c>
      <c r="H855" s="9" t="s">
        <v>172</v>
      </c>
      <c r="I855" s="9">
        <v>1.0</v>
      </c>
      <c r="J855" s="9">
        <v>0.0</v>
      </c>
      <c r="K855" s="9">
        <v>2.0</v>
      </c>
    </row>
    <row r="856" ht="15.75" customHeight="1">
      <c r="A856" s="7" t="s">
        <v>3294</v>
      </c>
      <c r="B856" s="13" t="s">
        <v>1553</v>
      </c>
      <c r="C856" s="14" t="s">
        <v>521</v>
      </c>
      <c r="D856" s="14" t="s">
        <v>46</v>
      </c>
      <c r="E856" s="15"/>
      <c r="F856" s="9" t="s">
        <v>523</v>
      </c>
      <c r="H856" s="9" t="s">
        <v>172</v>
      </c>
      <c r="I856" s="9">
        <v>1.0</v>
      </c>
      <c r="J856" s="9">
        <v>0.0</v>
      </c>
      <c r="K856" s="9">
        <v>0.0</v>
      </c>
    </row>
    <row r="857" ht="15.75" customHeight="1">
      <c r="A857" s="7" t="s">
        <v>3295</v>
      </c>
      <c r="B857" s="13" t="s">
        <v>1557</v>
      </c>
      <c r="C857" s="14" t="s">
        <v>169</v>
      </c>
      <c r="D857" s="14" t="s">
        <v>46</v>
      </c>
      <c r="E857" s="14" t="s">
        <v>3296</v>
      </c>
      <c r="F857" s="9" t="s">
        <v>94</v>
      </c>
      <c r="G857" s="9" t="b">
        <v>0</v>
      </c>
      <c r="I857" s="9">
        <v>1.0</v>
      </c>
      <c r="J857" s="9">
        <v>0.0</v>
      </c>
      <c r="K857" s="9">
        <v>0.0</v>
      </c>
    </row>
    <row r="858" ht="15.75" customHeight="1">
      <c r="A858" s="7" t="s">
        <v>3297</v>
      </c>
      <c r="B858" s="13" t="s">
        <v>423</v>
      </c>
      <c r="C858" s="14" t="s">
        <v>169</v>
      </c>
      <c r="D858" s="14" t="s">
        <v>169</v>
      </c>
      <c r="E858" s="14" t="s">
        <v>3298</v>
      </c>
      <c r="F858" s="9" t="s">
        <v>94</v>
      </c>
      <c r="G858" s="9" t="b">
        <v>0</v>
      </c>
      <c r="H858" s="9" t="s">
        <v>3299</v>
      </c>
      <c r="I858" s="9">
        <v>1.0</v>
      </c>
      <c r="J858" s="9">
        <v>0.0</v>
      </c>
      <c r="K858" s="9">
        <v>3.0</v>
      </c>
    </row>
    <row r="859" ht="15.75" customHeight="1">
      <c r="A859" s="7" t="s">
        <v>3300</v>
      </c>
      <c r="B859" s="13" t="s">
        <v>423</v>
      </c>
      <c r="C859" s="14" t="s">
        <v>34</v>
      </c>
      <c r="D859" s="14" t="s">
        <v>169</v>
      </c>
      <c r="E859" s="14" t="s">
        <v>3301</v>
      </c>
      <c r="F859" s="9" t="s">
        <v>37</v>
      </c>
      <c r="G859" s="9" t="b">
        <v>0</v>
      </c>
      <c r="H859" s="9" t="s">
        <v>716</v>
      </c>
      <c r="I859" s="9">
        <v>1.0</v>
      </c>
      <c r="J859" s="9">
        <v>0.0</v>
      </c>
      <c r="K859" s="9">
        <v>0.0</v>
      </c>
    </row>
    <row r="860" ht="15.75" customHeight="1">
      <c r="A860" s="7" t="s">
        <v>3302</v>
      </c>
      <c r="B860" s="13" t="s">
        <v>449</v>
      </c>
      <c r="C860" s="14" t="s">
        <v>309</v>
      </c>
      <c r="D860" s="14" t="s">
        <v>46</v>
      </c>
      <c r="E860" s="14" t="s">
        <v>3303</v>
      </c>
      <c r="F860" s="9" t="s">
        <v>311</v>
      </c>
      <c r="G860" s="9" t="b">
        <v>0</v>
      </c>
      <c r="H860" s="9" t="s">
        <v>3304</v>
      </c>
      <c r="I860" s="9">
        <v>1.0</v>
      </c>
      <c r="J860" s="9">
        <v>0.0</v>
      </c>
      <c r="K860" s="9">
        <v>2.0</v>
      </c>
    </row>
    <row r="861" ht="15.75" customHeight="1">
      <c r="A861" s="7" t="s">
        <v>3305</v>
      </c>
      <c r="B861" s="13" t="s">
        <v>449</v>
      </c>
      <c r="C861" s="14" t="s">
        <v>144</v>
      </c>
      <c r="D861" s="14" t="s">
        <v>46</v>
      </c>
      <c r="E861" s="14" t="s">
        <v>3306</v>
      </c>
      <c r="F861" s="9" t="s">
        <v>147</v>
      </c>
      <c r="G861" s="9" t="b">
        <v>0</v>
      </c>
      <c r="H861" s="9" t="s">
        <v>3307</v>
      </c>
      <c r="I861" s="9">
        <v>1.0</v>
      </c>
      <c r="J861" s="9">
        <v>0.0</v>
      </c>
      <c r="K861" s="9">
        <v>0.0</v>
      </c>
    </row>
    <row r="862" ht="15.75" customHeight="1">
      <c r="A862" s="7" t="s">
        <v>3308</v>
      </c>
      <c r="B862" s="13" t="s">
        <v>220</v>
      </c>
      <c r="C862" s="14" t="s">
        <v>144</v>
      </c>
      <c r="D862" s="14" t="s">
        <v>25</v>
      </c>
      <c r="E862" s="14" t="s">
        <v>3309</v>
      </c>
      <c r="F862" s="9" t="s">
        <v>147</v>
      </c>
      <c r="G862" s="9" t="b">
        <v>0</v>
      </c>
      <c r="H862" s="9" t="s">
        <v>201</v>
      </c>
      <c r="I862" s="9">
        <v>1.0</v>
      </c>
      <c r="J862" s="9">
        <v>0.0</v>
      </c>
      <c r="K862" s="9">
        <v>0.0</v>
      </c>
    </row>
    <row r="863" ht="15.75" customHeight="1">
      <c r="A863" s="7" t="s">
        <v>3310</v>
      </c>
      <c r="B863" s="13" t="s">
        <v>1559</v>
      </c>
      <c r="C863" s="14" t="s">
        <v>1203</v>
      </c>
      <c r="D863" s="14" t="s">
        <v>46</v>
      </c>
      <c r="E863" s="14" t="s">
        <v>3311</v>
      </c>
      <c r="F863" s="9" t="s">
        <v>1205</v>
      </c>
      <c r="G863" s="9" t="b">
        <v>0</v>
      </c>
      <c r="H863" s="9" t="s">
        <v>3312</v>
      </c>
      <c r="I863" s="9">
        <v>1.0</v>
      </c>
      <c r="J863" s="9">
        <v>0.0</v>
      </c>
      <c r="K863" s="9">
        <v>1.0</v>
      </c>
    </row>
    <row r="864" ht="15.75" customHeight="1">
      <c r="A864" s="7" t="s">
        <v>3313</v>
      </c>
      <c r="B864" s="13" t="s">
        <v>903</v>
      </c>
      <c r="C864" s="14" t="s">
        <v>34</v>
      </c>
      <c r="D864" s="14" t="s">
        <v>25</v>
      </c>
      <c r="E864" s="14" t="s">
        <v>3314</v>
      </c>
      <c r="F864" s="9" t="s">
        <v>37</v>
      </c>
      <c r="G864" s="9" t="b">
        <v>0</v>
      </c>
      <c r="H864" s="9" t="s">
        <v>552</v>
      </c>
      <c r="I864" s="9">
        <v>1.0</v>
      </c>
      <c r="J864" s="9">
        <v>0.0</v>
      </c>
      <c r="K864" s="9">
        <v>1.0</v>
      </c>
    </row>
    <row r="865" ht="15.75" customHeight="1">
      <c r="A865" s="7" t="s">
        <v>3315</v>
      </c>
      <c r="B865" s="13" t="s">
        <v>903</v>
      </c>
      <c r="C865" s="14" t="s">
        <v>34</v>
      </c>
      <c r="D865" s="14" t="s">
        <v>25</v>
      </c>
      <c r="E865" s="14" t="s">
        <v>3316</v>
      </c>
      <c r="F865" s="9" t="s">
        <v>37</v>
      </c>
      <c r="G865" s="9" t="b">
        <v>0</v>
      </c>
      <c r="H865" s="9" t="s">
        <v>3317</v>
      </c>
      <c r="I865" s="9">
        <v>1.0</v>
      </c>
      <c r="J865" s="9">
        <v>0.0</v>
      </c>
      <c r="K865" s="9">
        <v>2.0</v>
      </c>
    </row>
    <row r="866" ht="15.75" customHeight="1">
      <c r="A866" s="7" t="s">
        <v>3318</v>
      </c>
      <c r="B866" s="13" t="s">
        <v>1564</v>
      </c>
      <c r="C866" s="14" t="s">
        <v>144</v>
      </c>
      <c r="D866" s="14" t="s">
        <v>46</v>
      </c>
      <c r="E866" s="14" t="s">
        <v>3319</v>
      </c>
      <c r="F866" s="9" t="s">
        <v>147</v>
      </c>
      <c r="G866" s="9" t="b">
        <v>0</v>
      </c>
      <c r="H866" s="9" t="s">
        <v>1568</v>
      </c>
      <c r="I866" s="9">
        <v>1.0</v>
      </c>
      <c r="J866" s="9">
        <v>0.0</v>
      </c>
      <c r="K866" s="9">
        <v>0.0</v>
      </c>
    </row>
    <row r="867" ht="15.75" customHeight="1">
      <c r="A867" s="7" t="s">
        <v>3320</v>
      </c>
      <c r="B867" s="13" t="s">
        <v>1003</v>
      </c>
      <c r="C867" s="14" t="s">
        <v>169</v>
      </c>
      <c r="D867" s="14" t="s">
        <v>35</v>
      </c>
      <c r="E867" s="14" t="s">
        <v>3321</v>
      </c>
      <c r="F867" s="9" t="s">
        <v>94</v>
      </c>
      <c r="G867" s="9" t="b">
        <v>0</v>
      </c>
      <c r="H867" s="9" t="s">
        <v>1007</v>
      </c>
      <c r="I867" s="9">
        <v>1.0</v>
      </c>
      <c r="J867" s="9">
        <v>0.0</v>
      </c>
      <c r="K867" s="9">
        <v>1.0</v>
      </c>
    </row>
    <row r="868" ht="15.75" customHeight="1">
      <c r="A868" s="7" t="s">
        <v>3322</v>
      </c>
      <c r="B868" s="13" t="s">
        <v>1003</v>
      </c>
      <c r="C868" s="14" t="s">
        <v>169</v>
      </c>
      <c r="D868" s="14" t="s">
        <v>35</v>
      </c>
      <c r="E868" s="15"/>
      <c r="F868" s="9" t="s">
        <v>94</v>
      </c>
      <c r="G868" s="9" t="b">
        <v>0</v>
      </c>
      <c r="H868" s="9" t="s">
        <v>1409</v>
      </c>
      <c r="I868" s="9">
        <v>1.0</v>
      </c>
      <c r="J868" s="9">
        <v>0.0</v>
      </c>
      <c r="K868" s="9">
        <v>1.0</v>
      </c>
    </row>
    <row r="869" ht="15.75" customHeight="1">
      <c r="A869" s="7" t="s">
        <v>3323</v>
      </c>
      <c r="B869" s="13" t="s">
        <v>1570</v>
      </c>
      <c r="C869" s="14" t="s">
        <v>34</v>
      </c>
      <c r="D869" s="14" t="s">
        <v>46</v>
      </c>
      <c r="E869" s="14" t="s">
        <v>3324</v>
      </c>
      <c r="F869" s="9" t="s">
        <v>37</v>
      </c>
      <c r="G869" s="9" t="b">
        <v>0</v>
      </c>
      <c r="H869" s="9" t="s">
        <v>1571</v>
      </c>
      <c r="I869" s="9">
        <v>1.0</v>
      </c>
      <c r="J869" s="9">
        <v>0.0</v>
      </c>
      <c r="K869" s="9">
        <v>1.0</v>
      </c>
    </row>
    <row r="870" ht="15.75" customHeight="1">
      <c r="A870" s="7" t="s">
        <v>3325</v>
      </c>
      <c r="B870" s="13" t="s">
        <v>244</v>
      </c>
      <c r="C870" s="14" t="s">
        <v>144</v>
      </c>
      <c r="D870" s="14" t="s">
        <v>35</v>
      </c>
      <c r="E870" s="14" t="s">
        <v>3326</v>
      </c>
      <c r="F870" s="9" t="s">
        <v>147</v>
      </c>
      <c r="G870" s="9" t="b">
        <v>0</v>
      </c>
      <c r="H870" s="9" t="s">
        <v>927</v>
      </c>
      <c r="I870" s="9">
        <v>1.0</v>
      </c>
      <c r="J870" s="9">
        <v>0.0</v>
      </c>
      <c r="K870" s="9">
        <v>0.0</v>
      </c>
    </row>
    <row r="871" ht="15.75" customHeight="1">
      <c r="A871" s="7" t="s">
        <v>3327</v>
      </c>
      <c r="B871" s="13" t="s">
        <v>1576</v>
      </c>
      <c r="C871" s="14" t="s">
        <v>144</v>
      </c>
      <c r="D871" s="14" t="s">
        <v>46</v>
      </c>
      <c r="E871" s="14" t="s">
        <v>3328</v>
      </c>
      <c r="F871" s="9" t="s">
        <v>147</v>
      </c>
      <c r="G871" s="9" t="b">
        <v>0</v>
      </c>
      <c r="H871" s="9" t="s">
        <v>188</v>
      </c>
      <c r="I871" s="9">
        <v>1.0</v>
      </c>
      <c r="J871" s="9">
        <v>0.0</v>
      </c>
      <c r="K871" s="9">
        <v>0.0</v>
      </c>
    </row>
    <row r="872" ht="15.75" customHeight="1">
      <c r="A872" s="7" t="s">
        <v>3329</v>
      </c>
      <c r="B872" s="13" t="s">
        <v>1579</v>
      </c>
      <c r="C872" s="14" t="s">
        <v>309</v>
      </c>
      <c r="D872" s="14" t="s">
        <v>46</v>
      </c>
      <c r="E872" s="14" t="s">
        <v>3330</v>
      </c>
      <c r="F872" s="9" t="s">
        <v>311</v>
      </c>
      <c r="G872" s="9" t="b">
        <v>0</v>
      </c>
      <c r="H872" s="9" t="s">
        <v>188</v>
      </c>
      <c r="I872" s="9">
        <v>1.0</v>
      </c>
      <c r="J872" s="9">
        <v>0.0</v>
      </c>
      <c r="K872" s="9">
        <v>0.0</v>
      </c>
    </row>
    <row r="873" ht="15.75" customHeight="1">
      <c r="A873" s="7" t="s">
        <v>3331</v>
      </c>
      <c r="B873" s="13" t="s">
        <v>1030</v>
      </c>
      <c r="C873" s="14" t="s">
        <v>144</v>
      </c>
      <c r="D873" s="14" t="s">
        <v>46</v>
      </c>
      <c r="E873" s="14" t="s">
        <v>3332</v>
      </c>
      <c r="F873" s="9" t="s">
        <v>147</v>
      </c>
      <c r="G873" s="9" t="b">
        <v>0</v>
      </c>
      <c r="H873" s="9" t="s">
        <v>918</v>
      </c>
      <c r="I873" s="9">
        <v>1.0</v>
      </c>
      <c r="J873" s="9">
        <v>0.0</v>
      </c>
      <c r="K873" s="9">
        <v>1.0</v>
      </c>
    </row>
    <row r="874" ht="15.75" customHeight="1">
      <c r="A874" s="7" t="s">
        <v>3333</v>
      </c>
      <c r="B874" s="13" t="s">
        <v>1030</v>
      </c>
      <c r="C874" s="14" t="s">
        <v>144</v>
      </c>
      <c r="D874" s="14" t="s">
        <v>46</v>
      </c>
      <c r="E874" s="14" t="s">
        <v>3334</v>
      </c>
      <c r="F874" s="9" t="s">
        <v>147</v>
      </c>
      <c r="G874" s="9" t="b">
        <v>0</v>
      </c>
      <c r="H874" s="9" t="s">
        <v>2977</v>
      </c>
      <c r="I874" s="9">
        <v>1.0</v>
      </c>
      <c r="J874" s="9">
        <v>0.0</v>
      </c>
      <c r="K874" s="9">
        <v>0.0</v>
      </c>
    </row>
    <row r="875" ht="15.75" customHeight="1">
      <c r="A875" s="7" t="s">
        <v>3335</v>
      </c>
      <c r="B875" s="13" t="s">
        <v>1030</v>
      </c>
      <c r="C875" s="14" t="s">
        <v>144</v>
      </c>
      <c r="D875" s="14" t="s">
        <v>46</v>
      </c>
      <c r="E875" s="14" t="s">
        <v>3336</v>
      </c>
      <c r="F875" s="9" t="s">
        <v>147</v>
      </c>
      <c r="G875" s="9" t="b">
        <v>0</v>
      </c>
      <c r="H875" s="9" t="s">
        <v>969</v>
      </c>
      <c r="I875" s="9">
        <v>1.0</v>
      </c>
      <c r="J875" s="9">
        <v>0.0</v>
      </c>
      <c r="K875" s="9">
        <v>0.0</v>
      </c>
    </row>
    <row r="876" ht="15.75" customHeight="1">
      <c r="A876" s="7" t="s">
        <v>3337</v>
      </c>
      <c r="B876" s="13" t="s">
        <v>142</v>
      </c>
      <c r="C876" s="14" t="s">
        <v>169</v>
      </c>
      <c r="D876" s="14" t="s">
        <v>25</v>
      </c>
      <c r="E876" s="14" t="s">
        <v>3338</v>
      </c>
      <c r="F876" s="9" t="s">
        <v>94</v>
      </c>
      <c r="G876" s="9" t="b">
        <v>0</v>
      </c>
      <c r="I876" s="9">
        <v>1.0</v>
      </c>
      <c r="J876" s="9">
        <v>0.0</v>
      </c>
      <c r="K876" s="9">
        <v>1.0</v>
      </c>
    </row>
    <row r="877" ht="15.75" customHeight="1">
      <c r="A877" s="7" t="s">
        <v>3339</v>
      </c>
      <c r="B877" s="13" t="s">
        <v>1582</v>
      </c>
      <c r="C877" s="14" t="s">
        <v>144</v>
      </c>
      <c r="D877" s="14" t="s">
        <v>46</v>
      </c>
      <c r="E877" s="14" t="s">
        <v>3340</v>
      </c>
      <c r="F877" s="9" t="s">
        <v>147</v>
      </c>
      <c r="G877" s="9" t="b">
        <v>0</v>
      </c>
      <c r="I877" s="9">
        <v>1.0</v>
      </c>
      <c r="J877" s="9">
        <v>0.0</v>
      </c>
      <c r="K877" s="9">
        <v>0.0</v>
      </c>
    </row>
    <row r="878" ht="15.75" customHeight="1">
      <c r="A878" s="7" t="s">
        <v>3341</v>
      </c>
      <c r="B878" s="13" t="s">
        <v>1585</v>
      </c>
      <c r="C878" s="14" t="s">
        <v>169</v>
      </c>
      <c r="D878" s="14" t="s">
        <v>46</v>
      </c>
      <c r="E878" s="14" t="s">
        <v>3342</v>
      </c>
      <c r="F878" s="9" t="s">
        <v>94</v>
      </c>
      <c r="G878" s="9" t="b">
        <v>0</v>
      </c>
      <c r="I878" s="9">
        <v>1.0</v>
      </c>
      <c r="J878" s="9">
        <v>0.0</v>
      </c>
      <c r="K878" s="9">
        <v>2.0</v>
      </c>
    </row>
    <row r="879" ht="15.75" customHeight="1">
      <c r="A879" s="7" t="s">
        <v>3343</v>
      </c>
      <c r="B879" s="13" t="s">
        <v>1589</v>
      </c>
      <c r="C879" s="14" t="s">
        <v>309</v>
      </c>
      <c r="D879" s="14" t="s">
        <v>46</v>
      </c>
      <c r="E879" s="14" t="s">
        <v>3344</v>
      </c>
      <c r="F879" s="9" t="s">
        <v>311</v>
      </c>
      <c r="G879" s="9" t="b">
        <v>0</v>
      </c>
      <c r="I879" s="9">
        <v>1.0</v>
      </c>
      <c r="J879" s="9">
        <v>0.0</v>
      </c>
      <c r="K879" s="9">
        <v>0.0</v>
      </c>
    </row>
    <row r="880" ht="15.75" customHeight="1">
      <c r="A880" s="7" t="s">
        <v>3345</v>
      </c>
      <c r="B880" s="13" t="s">
        <v>1591</v>
      </c>
      <c r="C880" s="14" t="s">
        <v>34</v>
      </c>
      <c r="D880" s="14" t="s">
        <v>46</v>
      </c>
      <c r="E880" s="14" t="s">
        <v>3346</v>
      </c>
      <c r="F880" s="9" t="s">
        <v>37</v>
      </c>
      <c r="G880" s="9" t="b">
        <v>0</v>
      </c>
      <c r="H880" s="9" t="s">
        <v>3347</v>
      </c>
      <c r="I880" s="9">
        <v>1.0</v>
      </c>
      <c r="J880" s="9">
        <v>0.0</v>
      </c>
      <c r="K880" s="9">
        <v>1.0</v>
      </c>
    </row>
    <row r="881" ht="15.75" customHeight="1">
      <c r="A881" s="7" t="s">
        <v>3348</v>
      </c>
      <c r="B881" s="13" t="s">
        <v>1226</v>
      </c>
      <c r="C881" s="14" t="s">
        <v>1203</v>
      </c>
      <c r="D881" s="14" t="s">
        <v>270</v>
      </c>
      <c r="E881" s="14" t="s">
        <v>3349</v>
      </c>
      <c r="F881" s="9" t="s">
        <v>1205</v>
      </c>
      <c r="G881" s="9" t="b">
        <v>0</v>
      </c>
      <c r="H881" s="9" t="s">
        <v>1228</v>
      </c>
      <c r="I881" s="9">
        <v>1.0</v>
      </c>
      <c r="J881" s="9">
        <v>0.0</v>
      </c>
      <c r="K881" s="9">
        <v>1.0</v>
      </c>
    </row>
    <row r="882" ht="15.75" customHeight="1">
      <c r="A882" s="7" t="s">
        <v>3350</v>
      </c>
      <c r="B882" s="13" t="s">
        <v>1226</v>
      </c>
      <c r="C882" s="14" t="s">
        <v>1203</v>
      </c>
      <c r="D882" s="14" t="s">
        <v>270</v>
      </c>
      <c r="E882" s="14" t="s">
        <v>3351</v>
      </c>
      <c r="F882" s="9" t="s">
        <v>1205</v>
      </c>
      <c r="G882" s="9" t="b">
        <v>0</v>
      </c>
      <c r="I882" s="9">
        <v>1.0</v>
      </c>
      <c r="J882" s="9">
        <v>0.0</v>
      </c>
      <c r="K882" s="9">
        <v>2.0</v>
      </c>
    </row>
    <row r="883" ht="15.75" customHeight="1">
      <c r="A883" s="7" t="s">
        <v>3352</v>
      </c>
      <c r="B883" s="13" t="s">
        <v>1595</v>
      </c>
      <c r="C883" s="14" t="s">
        <v>521</v>
      </c>
      <c r="D883" s="14" t="s">
        <v>46</v>
      </c>
      <c r="E883" s="14" t="s">
        <v>3353</v>
      </c>
      <c r="F883" s="9" t="s">
        <v>523</v>
      </c>
      <c r="G883" s="9" t="b">
        <v>0</v>
      </c>
      <c r="I883" s="9">
        <v>1.0</v>
      </c>
      <c r="J883" s="9">
        <v>0.0</v>
      </c>
      <c r="K883" s="9">
        <v>0.0</v>
      </c>
    </row>
    <row r="884" ht="15.75" customHeight="1">
      <c r="A884" s="7" t="s">
        <v>3354</v>
      </c>
      <c r="B884" s="13" t="s">
        <v>1597</v>
      </c>
      <c r="C884" s="14" t="s">
        <v>521</v>
      </c>
      <c r="D884" s="14" t="s">
        <v>46</v>
      </c>
      <c r="E884" s="14" t="s">
        <v>3355</v>
      </c>
      <c r="F884" s="9" t="s">
        <v>523</v>
      </c>
      <c r="G884" s="9" t="b">
        <v>0</v>
      </c>
      <c r="H884" s="9" t="s">
        <v>340</v>
      </c>
      <c r="I884" s="9">
        <v>1.0</v>
      </c>
      <c r="J884" s="9">
        <v>0.0</v>
      </c>
      <c r="K884" s="9">
        <v>2.0</v>
      </c>
    </row>
    <row r="885" ht="15.75" customHeight="1">
      <c r="A885" s="7" t="s">
        <v>3356</v>
      </c>
      <c r="B885" s="13" t="s">
        <v>1599</v>
      </c>
      <c r="C885" s="14" t="s">
        <v>144</v>
      </c>
      <c r="D885" s="14" t="s">
        <v>46</v>
      </c>
      <c r="E885" s="14" t="s">
        <v>3357</v>
      </c>
      <c r="F885" s="9" t="s">
        <v>147</v>
      </c>
      <c r="G885" s="9" t="b">
        <v>0</v>
      </c>
      <c r="H885" s="9" t="s">
        <v>1339</v>
      </c>
      <c r="I885" s="9">
        <v>1.0</v>
      </c>
      <c r="J885" s="9">
        <v>0.0</v>
      </c>
      <c r="K885" s="9">
        <v>1.0</v>
      </c>
    </row>
    <row r="886" ht="15.75" customHeight="1">
      <c r="A886" s="7" t="s">
        <v>3358</v>
      </c>
      <c r="B886" s="13" t="s">
        <v>1602</v>
      </c>
      <c r="C886" s="14" t="s">
        <v>61</v>
      </c>
      <c r="D886" s="14" t="s">
        <v>169</v>
      </c>
      <c r="E886" s="14" t="s">
        <v>3359</v>
      </c>
      <c r="F886" s="9" t="s">
        <v>64</v>
      </c>
      <c r="G886" s="9" t="b">
        <v>0</v>
      </c>
      <c r="I886" s="9">
        <v>1.0</v>
      </c>
      <c r="J886" s="9">
        <v>0.0</v>
      </c>
      <c r="K886" s="9">
        <v>1.0</v>
      </c>
    </row>
    <row r="887" ht="15.75" customHeight="1">
      <c r="A887" s="7" t="s">
        <v>3360</v>
      </c>
      <c r="B887" s="13" t="s">
        <v>1603</v>
      </c>
      <c r="C887" s="14" t="s">
        <v>521</v>
      </c>
      <c r="D887" s="14" t="s">
        <v>46</v>
      </c>
      <c r="E887" s="14" t="s">
        <v>3361</v>
      </c>
      <c r="F887" s="9" t="s">
        <v>523</v>
      </c>
      <c r="G887" s="9" t="b">
        <v>0</v>
      </c>
      <c r="H887" s="9" t="s">
        <v>1328</v>
      </c>
      <c r="I887" s="9">
        <v>1.0</v>
      </c>
      <c r="J887" s="9">
        <v>0.0</v>
      </c>
      <c r="K887" s="9">
        <v>0.0</v>
      </c>
    </row>
    <row r="888" ht="15.75" customHeight="1">
      <c r="A888" s="7" t="s">
        <v>3362</v>
      </c>
      <c r="B888" s="13" t="s">
        <v>1605</v>
      </c>
      <c r="C888" s="14" t="s">
        <v>431</v>
      </c>
      <c r="D888" s="14" t="s">
        <v>46</v>
      </c>
      <c r="E888" s="14" t="s">
        <v>3363</v>
      </c>
      <c r="F888" s="9" t="s">
        <v>433</v>
      </c>
      <c r="G888" s="9" t="b">
        <v>0</v>
      </c>
      <c r="H888" s="9" t="s">
        <v>1568</v>
      </c>
      <c r="I888" s="9">
        <v>1.0</v>
      </c>
      <c r="J888" s="9">
        <v>0.0</v>
      </c>
      <c r="K888" s="9">
        <v>0.0</v>
      </c>
    </row>
    <row r="889" ht="15.75" customHeight="1">
      <c r="A889" s="7" t="s">
        <v>3364</v>
      </c>
      <c r="B889" s="13" t="s">
        <v>1438</v>
      </c>
      <c r="C889" s="14" t="s">
        <v>34</v>
      </c>
      <c r="D889" s="14" t="s">
        <v>46</v>
      </c>
      <c r="E889" s="14" t="s">
        <v>3365</v>
      </c>
      <c r="F889" s="9" t="s">
        <v>37</v>
      </c>
      <c r="G889" s="9" t="b">
        <v>0</v>
      </c>
      <c r="H889" s="9" t="s">
        <v>3366</v>
      </c>
      <c r="I889" s="9">
        <v>1.0</v>
      </c>
      <c r="J889" s="9">
        <v>0.0</v>
      </c>
      <c r="K889" s="9">
        <v>2.0</v>
      </c>
    </row>
    <row r="890" ht="15.75" customHeight="1">
      <c r="A890" s="7" t="s">
        <v>3367</v>
      </c>
      <c r="B890" s="13" t="s">
        <v>1438</v>
      </c>
      <c r="C890" s="14" t="s">
        <v>34</v>
      </c>
      <c r="D890" s="14" t="s">
        <v>46</v>
      </c>
      <c r="E890" s="14" t="s">
        <v>3368</v>
      </c>
      <c r="F890" s="9" t="s">
        <v>37</v>
      </c>
      <c r="G890" s="9" t="b">
        <v>0</v>
      </c>
      <c r="H890" s="9" t="s">
        <v>969</v>
      </c>
      <c r="I890" s="9">
        <v>1.0</v>
      </c>
      <c r="J890" s="9">
        <v>0.0</v>
      </c>
      <c r="K890" s="9">
        <v>0.0</v>
      </c>
    </row>
    <row r="891" ht="15.75" customHeight="1">
      <c r="A891" s="7" t="s">
        <v>3369</v>
      </c>
      <c r="B891" s="13" t="s">
        <v>1036</v>
      </c>
      <c r="C891" s="14" t="s">
        <v>34</v>
      </c>
      <c r="D891" s="14" t="s">
        <v>35</v>
      </c>
      <c r="E891" s="14" t="s">
        <v>3370</v>
      </c>
      <c r="F891" s="9" t="s">
        <v>37</v>
      </c>
      <c r="G891" s="9" t="b">
        <v>0</v>
      </c>
      <c r="H891" s="9" t="s">
        <v>3371</v>
      </c>
      <c r="I891" s="9">
        <v>1.0</v>
      </c>
      <c r="J891" s="9">
        <v>0.0</v>
      </c>
      <c r="K891" s="9">
        <v>1.0</v>
      </c>
    </row>
    <row r="892" ht="15.75" customHeight="1">
      <c r="A892" s="7" t="s">
        <v>3372</v>
      </c>
      <c r="B892" s="13" t="s">
        <v>1036</v>
      </c>
      <c r="C892" s="14" t="s">
        <v>34</v>
      </c>
      <c r="D892" s="14" t="s">
        <v>35</v>
      </c>
      <c r="E892" s="14" t="s">
        <v>3373</v>
      </c>
      <c r="F892" s="9" t="s">
        <v>37</v>
      </c>
      <c r="G892" s="9" t="b">
        <v>0</v>
      </c>
      <c r="H892" s="9" t="s">
        <v>3374</v>
      </c>
      <c r="I892" s="9">
        <v>1.0</v>
      </c>
      <c r="J892" s="9">
        <v>0.0</v>
      </c>
      <c r="K892" s="9">
        <v>1.0</v>
      </c>
    </row>
    <row r="893" ht="15.75" customHeight="1">
      <c r="A893" s="7" t="s">
        <v>3375</v>
      </c>
      <c r="B893" s="13" t="s">
        <v>1036</v>
      </c>
      <c r="C893" s="14" t="s">
        <v>34</v>
      </c>
      <c r="D893" s="14" t="s">
        <v>35</v>
      </c>
      <c r="E893" s="14" t="s">
        <v>3376</v>
      </c>
      <c r="F893" s="9" t="s">
        <v>37</v>
      </c>
      <c r="G893" s="9" t="b">
        <v>0</v>
      </c>
      <c r="H893" s="9" t="s">
        <v>3377</v>
      </c>
      <c r="I893" s="9">
        <v>1.0</v>
      </c>
      <c r="J893" s="9">
        <v>0.0</v>
      </c>
      <c r="K893" s="9">
        <v>0.0</v>
      </c>
    </row>
    <row r="894" ht="15.75" customHeight="1">
      <c r="A894" s="7" t="s">
        <v>3378</v>
      </c>
      <c r="B894" s="13" t="s">
        <v>1607</v>
      </c>
      <c r="C894" s="14" t="s">
        <v>521</v>
      </c>
      <c r="D894" s="14" t="s">
        <v>46</v>
      </c>
      <c r="E894" s="14" t="s">
        <v>3379</v>
      </c>
      <c r="F894" s="9" t="s">
        <v>523</v>
      </c>
      <c r="G894" s="9" t="b">
        <v>0</v>
      </c>
      <c r="I894" s="9">
        <v>1.0</v>
      </c>
      <c r="J894" s="9">
        <v>0.0</v>
      </c>
      <c r="K894" s="9">
        <v>0.0</v>
      </c>
    </row>
    <row r="895" ht="15.75" customHeight="1">
      <c r="A895" s="7" t="s">
        <v>3380</v>
      </c>
      <c r="B895" s="13" t="s">
        <v>29</v>
      </c>
      <c r="C895" s="14" t="s">
        <v>34</v>
      </c>
      <c r="D895" s="14" t="s">
        <v>46</v>
      </c>
      <c r="E895" s="14" t="s">
        <v>3381</v>
      </c>
      <c r="F895" s="9" t="s">
        <v>37</v>
      </c>
      <c r="G895" s="9" t="b">
        <v>0</v>
      </c>
      <c r="H895" s="9" t="s">
        <v>3382</v>
      </c>
      <c r="I895" s="9">
        <v>1.0</v>
      </c>
      <c r="J895" s="9">
        <v>0.0</v>
      </c>
      <c r="K895" s="9">
        <v>0.0</v>
      </c>
    </row>
    <row r="896" ht="15.75" customHeight="1">
      <c r="A896" s="7" t="s">
        <v>3383</v>
      </c>
      <c r="B896" s="13" t="s">
        <v>29</v>
      </c>
      <c r="C896" s="14" t="s">
        <v>34</v>
      </c>
      <c r="D896" s="14" t="s">
        <v>46</v>
      </c>
      <c r="E896" s="14" t="s">
        <v>3384</v>
      </c>
      <c r="F896" s="9" t="s">
        <v>37</v>
      </c>
      <c r="G896" s="9" t="b">
        <v>0</v>
      </c>
      <c r="H896" s="9" t="s">
        <v>3385</v>
      </c>
      <c r="I896" s="9">
        <v>1.0</v>
      </c>
      <c r="J896" s="9">
        <v>0.0</v>
      </c>
      <c r="K896" s="9">
        <v>1.0</v>
      </c>
    </row>
    <row r="897" ht="15.75" customHeight="1">
      <c r="A897" s="7" t="s">
        <v>3386</v>
      </c>
      <c r="B897" s="13" t="s">
        <v>29</v>
      </c>
      <c r="C897" s="14" t="s">
        <v>144</v>
      </c>
      <c r="D897" s="14" t="s">
        <v>46</v>
      </c>
      <c r="E897" s="14" t="s">
        <v>3387</v>
      </c>
      <c r="F897" s="9" t="s">
        <v>147</v>
      </c>
      <c r="G897" s="9" t="b">
        <v>0</v>
      </c>
      <c r="H897" s="9" t="s">
        <v>188</v>
      </c>
      <c r="I897" s="9">
        <v>1.0</v>
      </c>
      <c r="J897" s="9">
        <v>0.0</v>
      </c>
      <c r="K897" s="9">
        <v>1.0</v>
      </c>
    </row>
    <row r="898" ht="15.75" customHeight="1">
      <c r="A898" s="7" t="s">
        <v>3388</v>
      </c>
      <c r="B898" s="13" t="s">
        <v>168</v>
      </c>
      <c r="C898" s="14" t="s">
        <v>144</v>
      </c>
      <c r="D898" s="14" t="s">
        <v>46</v>
      </c>
      <c r="E898" s="14" t="s">
        <v>3389</v>
      </c>
      <c r="F898" s="9" t="s">
        <v>147</v>
      </c>
      <c r="G898" s="9" t="b">
        <v>0</v>
      </c>
      <c r="H898" s="9" t="s">
        <v>170</v>
      </c>
      <c r="I898" s="9">
        <v>1.0</v>
      </c>
      <c r="J898" s="9">
        <v>0.0</v>
      </c>
      <c r="K898" s="9">
        <v>1.0</v>
      </c>
    </row>
    <row r="899" ht="15.75" customHeight="1">
      <c r="A899" s="7" t="s">
        <v>3390</v>
      </c>
      <c r="B899" s="13" t="s">
        <v>1630</v>
      </c>
      <c r="C899" s="14" t="s">
        <v>3391</v>
      </c>
      <c r="D899" s="14" t="s">
        <v>46</v>
      </c>
      <c r="E899" s="14" t="s">
        <v>3392</v>
      </c>
      <c r="F899" s="9" t="s">
        <v>3393</v>
      </c>
      <c r="G899" s="9" t="b">
        <v>0</v>
      </c>
      <c r="H899" s="9" t="s">
        <v>3269</v>
      </c>
      <c r="I899" s="9">
        <v>1.0</v>
      </c>
      <c r="J899" s="9">
        <v>0.0</v>
      </c>
      <c r="K899" s="9">
        <v>0.0</v>
      </c>
    </row>
    <row r="900" ht="15.75" customHeight="1">
      <c r="A900" s="7" t="s">
        <v>3394</v>
      </c>
      <c r="B900" s="13" t="s">
        <v>1449</v>
      </c>
      <c r="C900" s="14" t="s">
        <v>34</v>
      </c>
      <c r="D900" s="14" t="s">
        <v>46</v>
      </c>
      <c r="E900" s="14" t="s">
        <v>3395</v>
      </c>
      <c r="F900" s="9" t="s">
        <v>37</v>
      </c>
      <c r="G900" s="9" t="b">
        <v>0</v>
      </c>
      <c r="I900" s="9">
        <v>1.0</v>
      </c>
      <c r="J900" s="9">
        <v>0.0</v>
      </c>
      <c r="K900" s="9">
        <v>2.0</v>
      </c>
    </row>
    <row r="901" ht="15.75" customHeight="1">
      <c r="A901" s="7" t="s">
        <v>3396</v>
      </c>
      <c r="B901" s="13" t="s">
        <v>1609</v>
      </c>
      <c r="C901" s="14" t="s">
        <v>521</v>
      </c>
      <c r="D901" s="14" t="s">
        <v>46</v>
      </c>
      <c r="E901" s="14" t="s">
        <v>3397</v>
      </c>
      <c r="F901" s="9" t="s">
        <v>523</v>
      </c>
      <c r="G901" s="9" t="b">
        <v>0</v>
      </c>
      <c r="H901" s="9" t="s">
        <v>188</v>
      </c>
      <c r="I901" s="9">
        <v>1.0</v>
      </c>
      <c r="J901" s="9">
        <v>0.0</v>
      </c>
      <c r="K901" s="9">
        <v>2.0</v>
      </c>
    </row>
    <row r="902" ht="15.75" customHeight="1">
      <c r="A902" s="7" t="s">
        <v>3398</v>
      </c>
      <c r="B902" s="13" t="s">
        <v>1613</v>
      </c>
      <c r="C902" s="14" t="s">
        <v>169</v>
      </c>
      <c r="D902" s="14" t="s">
        <v>35</v>
      </c>
      <c r="E902" s="14" t="s">
        <v>3399</v>
      </c>
      <c r="F902" s="9" t="s">
        <v>94</v>
      </c>
      <c r="G902" s="9" t="b">
        <v>0</v>
      </c>
      <c r="H902" s="9" t="s">
        <v>1616</v>
      </c>
      <c r="I902" s="9">
        <v>1.0</v>
      </c>
      <c r="J902" s="9">
        <v>0.0</v>
      </c>
      <c r="K902" s="9">
        <v>1.0</v>
      </c>
    </row>
    <row r="903" ht="15.75" customHeight="1">
      <c r="A903" s="7" t="s">
        <v>3400</v>
      </c>
      <c r="B903" s="14" t="s">
        <v>1618</v>
      </c>
      <c r="C903" s="14" t="s">
        <v>34</v>
      </c>
      <c r="D903" s="14" t="s">
        <v>46</v>
      </c>
      <c r="E903" s="14" t="s">
        <v>3401</v>
      </c>
      <c r="F903" s="9" t="s">
        <v>37</v>
      </c>
      <c r="G903" s="9" t="b">
        <v>0</v>
      </c>
      <c r="I903" s="9">
        <v>1.0</v>
      </c>
      <c r="J903" s="9">
        <v>0.0</v>
      </c>
      <c r="K903" s="9">
        <v>0.0</v>
      </c>
    </row>
    <row r="904" ht="15.75" customHeight="1">
      <c r="A904" s="7" t="s">
        <v>3402</v>
      </c>
      <c r="B904" s="13" t="s">
        <v>1619</v>
      </c>
      <c r="C904" s="14" t="s">
        <v>34</v>
      </c>
      <c r="D904" s="14" t="s">
        <v>46</v>
      </c>
      <c r="E904" s="14" t="s">
        <v>3403</v>
      </c>
      <c r="F904" s="9" t="s">
        <v>37</v>
      </c>
      <c r="G904" s="9" t="b">
        <v>0</v>
      </c>
      <c r="H904" s="9" t="s">
        <v>1620</v>
      </c>
      <c r="I904" s="9">
        <v>1.0</v>
      </c>
      <c r="J904" s="9">
        <v>0.0</v>
      </c>
      <c r="K904" s="9">
        <v>2.0</v>
      </c>
    </row>
    <row r="905" ht="15.75" customHeight="1">
      <c r="A905" s="7" t="s">
        <v>3404</v>
      </c>
      <c r="B905" s="13" t="s">
        <v>282</v>
      </c>
      <c r="C905" s="14" t="s">
        <v>521</v>
      </c>
      <c r="D905" s="14" t="s">
        <v>46</v>
      </c>
      <c r="E905" s="14" t="s">
        <v>3405</v>
      </c>
      <c r="F905" s="9" t="s">
        <v>523</v>
      </c>
      <c r="G905" s="9" t="b">
        <v>0</v>
      </c>
      <c r="H905" s="9" t="s">
        <v>188</v>
      </c>
      <c r="I905" s="9">
        <v>1.0</v>
      </c>
      <c r="J905" s="9">
        <v>0.0</v>
      </c>
      <c r="K905" s="9">
        <v>1.0</v>
      </c>
    </row>
    <row r="906" ht="15.75" customHeight="1">
      <c r="A906" s="7" t="s">
        <v>3406</v>
      </c>
      <c r="B906" s="13" t="s">
        <v>282</v>
      </c>
      <c r="C906" s="14" t="s">
        <v>169</v>
      </c>
      <c r="D906" s="14" t="s">
        <v>46</v>
      </c>
      <c r="E906" s="14" t="s">
        <v>3407</v>
      </c>
      <c r="F906" s="9" t="s">
        <v>94</v>
      </c>
      <c r="G906" s="9" t="b">
        <v>0</v>
      </c>
      <c r="H906" s="9" t="s">
        <v>3408</v>
      </c>
      <c r="I906" s="9">
        <v>1.0</v>
      </c>
      <c r="J906" s="9">
        <v>0.0</v>
      </c>
      <c r="K906" s="9">
        <v>1.0</v>
      </c>
    </row>
    <row r="907" ht="15.75" customHeight="1">
      <c r="A907" s="7" t="s">
        <v>3409</v>
      </c>
      <c r="B907" s="13" t="s">
        <v>282</v>
      </c>
      <c r="C907" s="14" t="s">
        <v>34</v>
      </c>
      <c r="D907" s="14" t="s">
        <v>46</v>
      </c>
      <c r="E907" s="14" t="s">
        <v>3410</v>
      </c>
      <c r="F907" s="9" t="s">
        <v>37</v>
      </c>
      <c r="G907" s="9" t="b">
        <v>0</v>
      </c>
      <c r="H907" s="9" t="s">
        <v>3411</v>
      </c>
      <c r="I907" s="9">
        <v>1.0</v>
      </c>
      <c r="J907" s="9">
        <v>0.0</v>
      </c>
      <c r="K907" s="9">
        <v>1.0</v>
      </c>
    </row>
    <row r="908" ht="15.75" customHeight="1">
      <c r="A908" s="7" t="s">
        <v>3412</v>
      </c>
      <c r="B908" s="13" t="s">
        <v>282</v>
      </c>
      <c r="C908" s="14" t="s">
        <v>144</v>
      </c>
      <c r="D908" s="14" t="s">
        <v>46</v>
      </c>
      <c r="E908" s="14" t="s">
        <v>3413</v>
      </c>
      <c r="F908" s="9" t="s">
        <v>147</v>
      </c>
      <c r="G908" s="9" t="b">
        <v>0</v>
      </c>
      <c r="H908" s="9" t="s">
        <v>3414</v>
      </c>
      <c r="I908" s="9">
        <v>1.0</v>
      </c>
      <c r="J908" s="9">
        <v>0.0</v>
      </c>
      <c r="K908" s="9">
        <v>0.0</v>
      </c>
    </row>
    <row r="909" ht="15.75" customHeight="1">
      <c r="A909" s="7" t="s">
        <v>3415</v>
      </c>
      <c r="B909" s="13" t="s">
        <v>282</v>
      </c>
      <c r="C909" s="14" t="s">
        <v>144</v>
      </c>
      <c r="D909" s="14" t="s">
        <v>46</v>
      </c>
      <c r="E909" s="14" t="s">
        <v>3416</v>
      </c>
      <c r="F909" s="9" t="s">
        <v>147</v>
      </c>
      <c r="G909" s="9" t="b">
        <v>0</v>
      </c>
      <c r="H909" s="9" t="s">
        <v>3417</v>
      </c>
      <c r="I909" s="9">
        <v>1.0</v>
      </c>
      <c r="J909" s="9">
        <v>0.0</v>
      </c>
      <c r="K909" s="9">
        <v>1.0</v>
      </c>
    </row>
    <row r="910" ht="15.75" customHeight="1">
      <c r="A910" s="7" t="s">
        <v>3418</v>
      </c>
      <c r="B910" s="13" t="s">
        <v>282</v>
      </c>
      <c r="C910" s="14" t="s">
        <v>144</v>
      </c>
      <c r="D910" s="14" t="s">
        <v>46</v>
      </c>
      <c r="E910" s="14" t="s">
        <v>3419</v>
      </c>
      <c r="F910" s="9" t="s">
        <v>147</v>
      </c>
      <c r="G910" s="9" t="b">
        <v>0</v>
      </c>
      <c r="H910" s="9" t="s">
        <v>340</v>
      </c>
      <c r="I910" s="9">
        <v>1.0</v>
      </c>
      <c r="J910" s="9">
        <v>0.0</v>
      </c>
      <c r="K910" s="9">
        <v>0.0</v>
      </c>
    </row>
    <row r="911" ht="15.75" customHeight="1">
      <c r="A911" s="7" t="s">
        <v>3420</v>
      </c>
      <c r="B911" s="13" t="s">
        <v>282</v>
      </c>
      <c r="C911" s="14" t="s">
        <v>169</v>
      </c>
      <c r="D911" s="14" t="s">
        <v>46</v>
      </c>
      <c r="E911" s="14" t="s">
        <v>3421</v>
      </c>
      <c r="F911" s="9" t="s">
        <v>94</v>
      </c>
      <c r="G911" s="9" t="b">
        <v>0</v>
      </c>
      <c r="H911" s="9" t="s">
        <v>3422</v>
      </c>
      <c r="I911" s="9">
        <v>1.0</v>
      </c>
      <c r="J911" s="9">
        <v>0.0</v>
      </c>
      <c r="K911" s="9">
        <v>0.0</v>
      </c>
    </row>
    <row r="912" ht="15.75" customHeight="1">
      <c r="A912" s="7" t="s">
        <v>3423</v>
      </c>
      <c r="B912" s="13" t="s">
        <v>1621</v>
      </c>
      <c r="C912" s="14" t="s">
        <v>144</v>
      </c>
      <c r="D912" s="14" t="s">
        <v>46</v>
      </c>
      <c r="E912" s="14" t="s">
        <v>3424</v>
      </c>
      <c r="F912" s="9" t="s">
        <v>147</v>
      </c>
      <c r="G912" s="9" t="b">
        <v>0</v>
      </c>
      <c r="I912" s="9">
        <v>1.0</v>
      </c>
      <c r="J912" s="9">
        <v>0.0</v>
      </c>
      <c r="K912" s="9">
        <v>1.0</v>
      </c>
    </row>
    <row r="913" ht="15.75" customHeight="1">
      <c r="A913" s="7" t="s">
        <v>3425</v>
      </c>
      <c r="B913" s="13" t="s">
        <v>1624</v>
      </c>
      <c r="C913" s="14" t="s">
        <v>61</v>
      </c>
      <c r="D913" s="14" t="s">
        <v>46</v>
      </c>
      <c r="E913" s="14" t="s">
        <v>3426</v>
      </c>
      <c r="F913" s="9" t="s">
        <v>64</v>
      </c>
      <c r="G913" s="9" t="b">
        <v>0</v>
      </c>
      <c r="I913" s="9">
        <v>1.0</v>
      </c>
      <c r="J913" s="9">
        <v>0.0</v>
      </c>
      <c r="K913" s="9">
        <v>0.0</v>
      </c>
    </row>
    <row r="914" ht="15.75" customHeight="1">
      <c r="A914" s="7" t="s">
        <v>3427</v>
      </c>
      <c r="B914" s="13" t="s">
        <v>1489</v>
      </c>
      <c r="C914" s="14" t="s">
        <v>1203</v>
      </c>
      <c r="D914" s="14" t="s">
        <v>46</v>
      </c>
      <c r="E914" s="14" t="s">
        <v>3428</v>
      </c>
      <c r="F914" s="9" t="s">
        <v>1205</v>
      </c>
      <c r="G914" s="9" t="b">
        <v>0</v>
      </c>
      <c r="H914" s="9" t="s">
        <v>482</v>
      </c>
      <c r="I914" s="9">
        <v>1.0</v>
      </c>
      <c r="J914" s="9">
        <v>0.0</v>
      </c>
      <c r="K914" s="9">
        <v>0.0</v>
      </c>
    </row>
    <row r="915" ht="15.75" customHeight="1">
      <c r="A915" s="7" t="s">
        <v>3429</v>
      </c>
      <c r="B915" s="13" t="s">
        <v>277</v>
      </c>
      <c r="C915" s="14" t="s">
        <v>1203</v>
      </c>
      <c r="D915" s="14" t="s">
        <v>169</v>
      </c>
      <c r="E915" s="14" t="s">
        <v>2392</v>
      </c>
      <c r="F915" s="9" t="s">
        <v>1205</v>
      </c>
      <c r="G915" s="9" t="b">
        <v>0</v>
      </c>
      <c r="I915" s="9">
        <v>1.0</v>
      </c>
      <c r="J915" s="9">
        <v>0.0</v>
      </c>
      <c r="K915" s="9">
        <v>3.0</v>
      </c>
    </row>
    <row r="916" ht="15.75" customHeight="1">
      <c r="A916" s="7" t="s">
        <v>3430</v>
      </c>
      <c r="B916" s="13" t="s">
        <v>916</v>
      </c>
      <c r="C916" s="14" t="s">
        <v>1203</v>
      </c>
      <c r="D916" s="14" t="s">
        <v>270</v>
      </c>
      <c r="E916" s="14" t="s">
        <v>3431</v>
      </c>
      <c r="F916" s="9" t="s">
        <v>1205</v>
      </c>
      <c r="G916" s="9" t="b">
        <v>0</v>
      </c>
      <c r="H916" s="9" t="s">
        <v>3432</v>
      </c>
      <c r="I916" s="9">
        <v>1.0</v>
      </c>
      <c r="J916" s="9">
        <v>0.0</v>
      </c>
      <c r="K916" s="9">
        <v>3.0</v>
      </c>
    </row>
    <row r="917" ht="15.75" customHeight="1">
      <c r="A917" s="7" t="s">
        <v>3433</v>
      </c>
      <c r="B917" s="13" t="s">
        <v>916</v>
      </c>
      <c r="C917" s="14" t="s">
        <v>1203</v>
      </c>
      <c r="D917" s="14" t="s">
        <v>270</v>
      </c>
      <c r="E917" s="14" t="s">
        <v>3434</v>
      </c>
      <c r="F917" s="9" t="s">
        <v>1205</v>
      </c>
      <c r="G917" s="9" t="b">
        <v>0</v>
      </c>
      <c r="H917" s="9" t="s">
        <v>3435</v>
      </c>
      <c r="I917" s="9">
        <v>1.0</v>
      </c>
      <c r="J917" s="9">
        <v>0.0</v>
      </c>
      <c r="K917" s="9">
        <v>1.0</v>
      </c>
    </row>
    <row r="918" ht="15.75" customHeight="1">
      <c r="A918" s="7" t="s">
        <v>3436</v>
      </c>
      <c r="B918" s="13" t="s">
        <v>920</v>
      </c>
      <c r="C918" s="14" t="s">
        <v>61</v>
      </c>
      <c r="D918" s="14" t="s">
        <v>270</v>
      </c>
      <c r="E918" s="14" t="s">
        <v>3437</v>
      </c>
      <c r="F918" s="9" t="s">
        <v>64</v>
      </c>
      <c r="G918" s="9" t="b">
        <v>0</v>
      </c>
      <c r="H918" s="9" t="s">
        <v>3438</v>
      </c>
      <c r="I918" s="9">
        <v>1.0</v>
      </c>
      <c r="J918" s="9">
        <v>0.0</v>
      </c>
      <c r="K918" s="9">
        <v>0.0</v>
      </c>
    </row>
    <row r="919" ht="15.75" customHeight="1">
      <c r="A919" s="7" t="s">
        <v>3439</v>
      </c>
      <c r="B919" s="13" t="s">
        <v>920</v>
      </c>
      <c r="C919" s="14" t="s">
        <v>23</v>
      </c>
      <c r="D919" s="14" t="s">
        <v>270</v>
      </c>
      <c r="E919" s="14" t="s">
        <v>3440</v>
      </c>
      <c r="F919" s="9" t="s">
        <v>27</v>
      </c>
      <c r="G919" s="9" t="b">
        <v>0</v>
      </c>
      <c r="H919" s="9" t="s">
        <v>3441</v>
      </c>
      <c r="I919" s="9">
        <v>1.0</v>
      </c>
      <c r="J919" s="9">
        <v>0.0</v>
      </c>
      <c r="K919" s="9">
        <v>1.0</v>
      </c>
    </row>
    <row r="920" ht="15.75" customHeight="1">
      <c r="A920" s="7" t="s">
        <v>3442</v>
      </c>
      <c r="B920" s="13" t="s">
        <v>1631</v>
      </c>
      <c r="C920" s="14" t="s">
        <v>144</v>
      </c>
      <c r="D920" s="14" t="s">
        <v>46</v>
      </c>
      <c r="E920" s="14" t="s">
        <v>3443</v>
      </c>
      <c r="F920" s="9" t="s">
        <v>147</v>
      </c>
      <c r="G920" s="9" t="b">
        <v>0</v>
      </c>
      <c r="H920" s="9" t="s">
        <v>1328</v>
      </c>
      <c r="I920" s="9">
        <v>1.0</v>
      </c>
      <c r="J920" s="9">
        <v>0.0</v>
      </c>
      <c r="K920" s="9">
        <v>0.0</v>
      </c>
    </row>
    <row r="921" ht="15.75" customHeight="1">
      <c r="A921" s="7" t="s">
        <v>3444</v>
      </c>
      <c r="B921" s="13" t="s">
        <v>1040</v>
      </c>
      <c r="C921" s="14" t="s">
        <v>144</v>
      </c>
      <c r="D921" s="14" t="s">
        <v>46</v>
      </c>
      <c r="E921" s="14" t="s">
        <v>3445</v>
      </c>
      <c r="F921" s="9" t="s">
        <v>147</v>
      </c>
      <c r="G921" s="9" t="b">
        <v>0</v>
      </c>
      <c r="H921" s="9" t="s">
        <v>720</v>
      </c>
      <c r="I921" s="9">
        <v>1.0</v>
      </c>
      <c r="J921" s="9">
        <v>0.0</v>
      </c>
      <c r="K921" s="9">
        <v>1.0</v>
      </c>
    </row>
    <row r="922" ht="15.75" customHeight="1">
      <c r="A922" s="7" t="s">
        <v>3446</v>
      </c>
      <c r="B922" s="13" t="s">
        <v>394</v>
      </c>
      <c r="C922" s="14" t="s">
        <v>61</v>
      </c>
      <c r="D922" s="14" t="s">
        <v>270</v>
      </c>
      <c r="E922" s="14" t="s">
        <v>3447</v>
      </c>
      <c r="F922" s="9" t="s">
        <v>64</v>
      </c>
      <c r="G922" s="9" t="b">
        <v>0</v>
      </c>
      <c r="H922" s="9" t="s">
        <v>3448</v>
      </c>
      <c r="I922" s="9">
        <v>1.0</v>
      </c>
      <c r="J922" s="9">
        <v>0.0</v>
      </c>
      <c r="K922" s="9">
        <v>1.0</v>
      </c>
    </row>
    <row r="923" ht="15.75" customHeight="1">
      <c r="A923" s="7" t="s">
        <v>3449</v>
      </c>
      <c r="B923" s="13" t="s">
        <v>394</v>
      </c>
      <c r="C923" s="14" t="s">
        <v>1203</v>
      </c>
      <c r="D923" s="14" t="s">
        <v>270</v>
      </c>
      <c r="E923" s="14" t="s">
        <v>3450</v>
      </c>
      <c r="F923" s="9" t="s">
        <v>1205</v>
      </c>
      <c r="G923" s="9" t="b">
        <v>0</v>
      </c>
      <c r="H923" s="9" t="s">
        <v>3451</v>
      </c>
      <c r="I923" s="9">
        <v>1.0</v>
      </c>
      <c r="J923" s="9">
        <v>0.0</v>
      </c>
      <c r="K923" s="9">
        <v>2.0</v>
      </c>
    </row>
    <row r="924" ht="15.75" customHeight="1">
      <c r="A924" s="7" t="s">
        <v>3452</v>
      </c>
      <c r="B924" s="13" t="s">
        <v>394</v>
      </c>
      <c r="C924" s="14" t="s">
        <v>1203</v>
      </c>
      <c r="D924" s="14" t="s">
        <v>270</v>
      </c>
      <c r="E924" s="14" t="s">
        <v>3453</v>
      </c>
      <c r="F924" s="9" t="s">
        <v>1205</v>
      </c>
      <c r="G924" s="9" t="b">
        <v>0</v>
      </c>
      <c r="H924" s="9" t="s">
        <v>3454</v>
      </c>
      <c r="I924" s="9">
        <v>1.0</v>
      </c>
      <c r="J924" s="9">
        <v>0.0</v>
      </c>
      <c r="K924" s="9">
        <v>4.0</v>
      </c>
    </row>
    <row r="925" ht="15.75" customHeight="1">
      <c r="A925" s="7" t="s">
        <v>3455</v>
      </c>
      <c r="B925" s="14" t="s">
        <v>1637</v>
      </c>
      <c r="C925" s="14" t="s">
        <v>144</v>
      </c>
      <c r="D925" s="14" t="s">
        <v>46</v>
      </c>
      <c r="E925" s="14" t="s">
        <v>3456</v>
      </c>
      <c r="F925" s="9" t="s">
        <v>147</v>
      </c>
      <c r="G925" s="9" t="b">
        <v>0</v>
      </c>
      <c r="I925" s="9">
        <v>1.0</v>
      </c>
      <c r="J925" s="9">
        <v>0.0</v>
      </c>
      <c r="K925" s="9">
        <v>0.0</v>
      </c>
    </row>
    <row r="926" ht="15.75" customHeight="1">
      <c r="A926" s="7" t="s">
        <v>3457</v>
      </c>
      <c r="B926" s="13" t="s">
        <v>1639</v>
      </c>
      <c r="C926" s="14" t="s">
        <v>521</v>
      </c>
      <c r="D926" s="14" t="s">
        <v>46</v>
      </c>
      <c r="E926" s="14" t="s">
        <v>3458</v>
      </c>
      <c r="F926" s="9" t="s">
        <v>523</v>
      </c>
      <c r="G926" s="9" t="b">
        <v>0</v>
      </c>
      <c r="H926" s="9" t="s">
        <v>340</v>
      </c>
      <c r="I926" s="9">
        <v>1.0</v>
      </c>
      <c r="J926" s="9">
        <v>0.0</v>
      </c>
      <c r="K926" s="9">
        <v>0.0</v>
      </c>
    </row>
    <row r="927" ht="15.75" customHeight="1">
      <c r="A927" s="7" t="s">
        <v>3459</v>
      </c>
      <c r="B927" s="14" t="s">
        <v>1642</v>
      </c>
      <c r="C927" s="14" t="s">
        <v>34</v>
      </c>
      <c r="D927" s="14" t="s">
        <v>46</v>
      </c>
      <c r="E927" s="14" t="s">
        <v>3460</v>
      </c>
      <c r="F927" s="9" t="s">
        <v>37</v>
      </c>
      <c r="G927" s="9" t="b">
        <v>0</v>
      </c>
      <c r="I927" s="9">
        <v>1.0</v>
      </c>
      <c r="J927" s="9">
        <v>0.0</v>
      </c>
      <c r="K927" s="9">
        <v>0.0</v>
      </c>
    </row>
    <row r="928" ht="15.75" customHeight="1">
      <c r="A928" s="7" t="s">
        <v>3461</v>
      </c>
      <c r="B928" s="13" t="s">
        <v>1644</v>
      </c>
      <c r="C928" s="14" t="s">
        <v>144</v>
      </c>
      <c r="D928" s="14" t="s">
        <v>46</v>
      </c>
      <c r="E928" s="14" t="s">
        <v>3462</v>
      </c>
      <c r="F928" s="9" t="s">
        <v>147</v>
      </c>
      <c r="G928" s="9" t="b">
        <v>0</v>
      </c>
      <c r="I928" s="9">
        <v>1.0</v>
      </c>
      <c r="J928" s="9">
        <v>0.0</v>
      </c>
      <c r="K928" s="9">
        <v>1.0</v>
      </c>
    </row>
    <row r="929" ht="15.75" customHeight="1">
      <c r="A929" s="7" t="s">
        <v>3463</v>
      </c>
      <c r="B929" s="13" t="s">
        <v>1647</v>
      </c>
      <c r="C929" s="14" t="s">
        <v>144</v>
      </c>
      <c r="D929" s="14" t="s">
        <v>46</v>
      </c>
      <c r="E929" s="14" t="s">
        <v>3464</v>
      </c>
      <c r="F929" s="9" t="s">
        <v>147</v>
      </c>
      <c r="G929" s="9" t="b">
        <v>0</v>
      </c>
      <c r="H929" s="9" t="s">
        <v>1430</v>
      </c>
      <c r="I929" s="9">
        <v>1.0</v>
      </c>
      <c r="J929" s="9">
        <v>0.0</v>
      </c>
      <c r="K929" s="9">
        <v>1.0</v>
      </c>
    </row>
    <row r="930" ht="15.75" customHeight="1">
      <c r="A930" s="7" t="s">
        <v>3465</v>
      </c>
      <c r="B930" s="13" t="s">
        <v>1649</v>
      </c>
      <c r="C930" s="14" t="s">
        <v>144</v>
      </c>
      <c r="D930" s="14" t="s">
        <v>46</v>
      </c>
      <c r="E930" s="14" t="s">
        <v>3466</v>
      </c>
      <c r="F930" s="9" t="s">
        <v>147</v>
      </c>
      <c r="G930" s="9" t="b">
        <v>0</v>
      </c>
      <c r="H930" s="9" t="s">
        <v>1248</v>
      </c>
      <c r="I930" s="9">
        <v>1.0</v>
      </c>
      <c r="J930" s="9">
        <v>0.0</v>
      </c>
      <c r="K930" s="9">
        <v>0.0</v>
      </c>
    </row>
    <row r="931" ht="15.75" customHeight="1">
      <c r="A931" s="7" t="s">
        <v>3467</v>
      </c>
      <c r="B931" s="13" t="s">
        <v>986</v>
      </c>
      <c r="C931" s="14" t="s">
        <v>309</v>
      </c>
      <c r="D931" s="14" t="s">
        <v>46</v>
      </c>
      <c r="E931" s="14" t="s">
        <v>3468</v>
      </c>
      <c r="F931" s="9" t="s">
        <v>311</v>
      </c>
      <c r="G931" s="9" t="b">
        <v>0</v>
      </c>
      <c r="I931" s="9">
        <v>1.0</v>
      </c>
      <c r="J931" s="9">
        <v>0.0</v>
      </c>
      <c r="K931" s="9">
        <v>0.0</v>
      </c>
    </row>
    <row r="932" ht="15.75" customHeight="1">
      <c r="A932" s="7" t="s">
        <v>3469</v>
      </c>
      <c r="B932" s="13" t="s">
        <v>986</v>
      </c>
      <c r="C932" s="14" t="s">
        <v>34</v>
      </c>
      <c r="D932" s="14" t="s">
        <v>46</v>
      </c>
      <c r="E932" s="14" t="s">
        <v>3470</v>
      </c>
      <c r="F932" s="9" t="s">
        <v>37</v>
      </c>
      <c r="G932" s="9" t="b">
        <v>0</v>
      </c>
      <c r="H932" s="9" t="s">
        <v>482</v>
      </c>
      <c r="I932" s="9">
        <v>1.0</v>
      </c>
      <c r="J932" s="9">
        <v>0.0</v>
      </c>
      <c r="K932" s="9">
        <v>0.0</v>
      </c>
    </row>
    <row r="933" ht="15.75" customHeight="1">
      <c r="A933" s="7" t="s">
        <v>3471</v>
      </c>
      <c r="B933" s="13" t="s">
        <v>986</v>
      </c>
      <c r="C933" s="14" t="s">
        <v>34</v>
      </c>
      <c r="D933" s="14" t="s">
        <v>46</v>
      </c>
      <c r="E933" s="14" t="s">
        <v>3472</v>
      </c>
      <c r="F933" s="9" t="s">
        <v>37</v>
      </c>
      <c r="G933" s="9" t="b">
        <v>0</v>
      </c>
      <c r="H933" s="9" t="s">
        <v>1328</v>
      </c>
      <c r="I933" s="9">
        <v>1.0</v>
      </c>
      <c r="J933" s="9">
        <v>0.0</v>
      </c>
      <c r="K933" s="9">
        <v>0.0</v>
      </c>
    </row>
    <row r="934" ht="15.75" customHeight="1">
      <c r="A934" s="7" t="s">
        <v>3473</v>
      </c>
      <c r="B934" s="13" t="s">
        <v>986</v>
      </c>
      <c r="C934" s="14" t="s">
        <v>34</v>
      </c>
      <c r="D934" s="14" t="s">
        <v>46</v>
      </c>
      <c r="E934" s="14" t="s">
        <v>3474</v>
      </c>
      <c r="F934" s="9" t="s">
        <v>37</v>
      </c>
      <c r="G934" s="9" t="b">
        <v>0</v>
      </c>
      <c r="I934" s="9">
        <v>1.0</v>
      </c>
      <c r="J934" s="9">
        <v>0.0</v>
      </c>
      <c r="K934" s="9">
        <v>0.0</v>
      </c>
    </row>
    <row r="935" ht="15.75" customHeight="1">
      <c r="A935" s="7" t="s">
        <v>3475</v>
      </c>
      <c r="B935" s="13" t="s">
        <v>986</v>
      </c>
      <c r="C935" s="14" t="s">
        <v>34</v>
      </c>
      <c r="D935" s="14" t="s">
        <v>46</v>
      </c>
      <c r="E935" s="14" t="s">
        <v>3476</v>
      </c>
      <c r="F935" s="9" t="s">
        <v>37</v>
      </c>
      <c r="G935" s="9" t="b">
        <v>0</v>
      </c>
      <c r="H935" s="9" t="s">
        <v>1285</v>
      </c>
      <c r="I935" s="9">
        <v>1.0</v>
      </c>
      <c r="J935" s="9">
        <v>0.0</v>
      </c>
      <c r="K935" s="9">
        <v>0.0</v>
      </c>
    </row>
    <row r="936" ht="15.75" customHeight="1">
      <c r="A936" s="7" t="s">
        <v>3477</v>
      </c>
      <c r="B936" s="13" t="s">
        <v>1652</v>
      </c>
      <c r="C936" s="14" t="s">
        <v>521</v>
      </c>
      <c r="D936" s="14" t="s">
        <v>46</v>
      </c>
      <c r="E936" s="14" t="s">
        <v>3478</v>
      </c>
      <c r="F936" s="9" t="s">
        <v>523</v>
      </c>
      <c r="G936" s="9" t="b">
        <v>0</v>
      </c>
      <c r="I936" s="9">
        <v>1.0</v>
      </c>
      <c r="J936" s="9">
        <v>0.0</v>
      </c>
      <c r="K936" s="9">
        <v>0.0</v>
      </c>
    </row>
    <row r="937" ht="15.75" customHeight="1">
      <c r="A937" s="7" t="s">
        <v>3479</v>
      </c>
      <c r="B937" s="13" t="s">
        <v>3480</v>
      </c>
      <c r="C937" s="14" t="s">
        <v>169</v>
      </c>
      <c r="D937" s="14" t="s">
        <v>46</v>
      </c>
      <c r="E937" s="14" t="s">
        <v>3481</v>
      </c>
      <c r="F937" s="9" t="s">
        <v>94</v>
      </c>
      <c r="G937" s="9" t="b">
        <v>0</v>
      </c>
      <c r="H937" s="9" t="s">
        <v>1763</v>
      </c>
      <c r="I937" s="9">
        <v>1.0</v>
      </c>
      <c r="J937" s="9">
        <v>0.0</v>
      </c>
      <c r="K937" s="9">
        <v>5.0</v>
      </c>
    </row>
    <row r="938" ht="15.75" customHeight="1">
      <c r="A938" s="7" t="s">
        <v>3482</v>
      </c>
      <c r="B938" s="13" t="s">
        <v>19</v>
      </c>
      <c r="C938" s="14" t="s">
        <v>23</v>
      </c>
      <c r="D938" s="14" t="s">
        <v>46</v>
      </c>
      <c r="E938" s="14" t="s">
        <v>3483</v>
      </c>
      <c r="F938" s="9" t="s">
        <v>27</v>
      </c>
      <c r="G938" s="9" t="b">
        <v>0</v>
      </c>
      <c r="H938" s="9" t="s">
        <v>3484</v>
      </c>
      <c r="I938" s="9">
        <v>1.0</v>
      </c>
      <c r="J938" s="9">
        <v>0.0</v>
      </c>
      <c r="K938" s="9">
        <v>0.0</v>
      </c>
    </row>
    <row r="939" ht="15.75" customHeight="1">
      <c r="A939" s="7" t="s">
        <v>3485</v>
      </c>
      <c r="B939" s="13" t="s">
        <v>19</v>
      </c>
      <c r="C939" s="14" t="s">
        <v>23</v>
      </c>
      <c r="D939" s="14" t="s">
        <v>46</v>
      </c>
      <c r="E939" s="14" t="s">
        <v>3486</v>
      </c>
      <c r="F939" s="9" t="s">
        <v>27</v>
      </c>
      <c r="G939" s="9" t="b">
        <v>0</v>
      </c>
      <c r="H939" s="9" t="s">
        <v>3487</v>
      </c>
      <c r="I939" s="9">
        <v>1.0</v>
      </c>
      <c r="J939" s="9">
        <v>0.0</v>
      </c>
      <c r="K939" s="9">
        <v>0.0</v>
      </c>
    </row>
    <row r="940" ht="15.75" customHeight="1">
      <c r="A940" s="7" t="s">
        <v>3488</v>
      </c>
      <c r="B940" s="13" t="s">
        <v>19</v>
      </c>
      <c r="C940" s="14" t="s">
        <v>169</v>
      </c>
      <c r="D940" s="14" t="s">
        <v>46</v>
      </c>
      <c r="E940" s="14" t="s">
        <v>3489</v>
      </c>
      <c r="F940" s="9" t="s">
        <v>94</v>
      </c>
      <c r="G940" s="9" t="b">
        <v>0</v>
      </c>
      <c r="H940" s="9" t="s">
        <v>3490</v>
      </c>
      <c r="I940" s="9">
        <v>1.0</v>
      </c>
      <c r="J940" s="9">
        <v>0.0</v>
      </c>
      <c r="K940" s="9">
        <v>0.0</v>
      </c>
    </row>
    <row r="941" ht="15.75" customHeight="1">
      <c r="A941" s="7" t="s">
        <v>3491</v>
      </c>
      <c r="B941" s="13" t="s">
        <v>19</v>
      </c>
      <c r="C941" s="14" t="s">
        <v>23</v>
      </c>
      <c r="D941" s="14" t="s">
        <v>46</v>
      </c>
      <c r="E941" s="14" t="s">
        <v>3492</v>
      </c>
      <c r="F941" s="9" t="s">
        <v>27</v>
      </c>
      <c r="G941" s="9" t="b">
        <v>0</v>
      </c>
      <c r="H941" s="9" t="s">
        <v>3493</v>
      </c>
      <c r="I941" s="9">
        <v>1.0</v>
      </c>
      <c r="J941" s="9">
        <v>0.0</v>
      </c>
      <c r="K941" s="9">
        <v>1.0</v>
      </c>
    </row>
    <row r="942" ht="15.75" customHeight="1">
      <c r="A942" s="7" t="s">
        <v>3494</v>
      </c>
      <c r="B942" s="13" t="s">
        <v>19</v>
      </c>
      <c r="C942" s="14" t="s">
        <v>23</v>
      </c>
      <c r="D942" s="14" t="s">
        <v>46</v>
      </c>
      <c r="E942" s="14" t="s">
        <v>3495</v>
      </c>
      <c r="F942" s="9" t="s">
        <v>27</v>
      </c>
      <c r="G942" s="9" t="b">
        <v>0</v>
      </c>
      <c r="H942" s="9" t="s">
        <v>3496</v>
      </c>
      <c r="I942" s="9">
        <v>1.0</v>
      </c>
      <c r="J942" s="9">
        <v>0.0</v>
      </c>
      <c r="K942" s="9">
        <v>0.0</v>
      </c>
    </row>
    <row r="943" ht="15.75" customHeight="1">
      <c r="A943" s="7" t="s">
        <v>3497</v>
      </c>
      <c r="B943" s="13" t="s">
        <v>19</v>
      </c>
      <c r="C943" s="14" t="s">
        <v>169</v>
      </c>
      <c r="D943" s="14" t="s">
        <v>46</v>
      </c>
      <c r="E943" s="14" t="s">
        <v>3498</v>
      </c>
      <c r="F943" s="9" t="s">
        <v>94</v>
      </c>
      <c r="G943" s="9" t="b">
        <v>0</v>
      </c>
      <c r="H943" s="9" t="s">
        <v>3499</v>
      </c>
      <c r="I943" s="9">
        <v>1.0</v>
      </c>
      <c r="J943" s="9">
        <v>0.0</v>
      </c>
      <c r="K943" s="9">
        <v>0.0</v>
      </c>
    </row>
    <row r="944" ht="15.75" customHeight="1">
      <c r="A944" s="7" t="s">
        <v>3500</v>
      </c>
      <c r="B944" s="13" t="s">
        <v>19</v>
      </c>
      <c r="C944" s="14" t="s">
        <v>23</v>
      </c>
      <c r="D944" s="14" t="s">
        <v>46</v>
      </c>
      <c r="E944" s="14" t="s">
        <v>3501</v>
      </c>
      <c r="F944" s="9" t="s">
        <v>27</v>
      </c>
      <c r="G944" s="9" t="b">
        <v>0</v>
      </c>
      <c r="H944" s="9" t="s">
        <v>3502</v>
      </c>
      <c r="I944" s="9">
        <v>1.0</v>
      </c>
      <c r="J944" s="9">
        <v>0.0</v>
      </c>
      <c r="K944" s="9">
        <v>0.0</v>
      </c>
    </row>
    <row r="945" ht="15.75" customHeight="1">
      <c r="A945" s="7" t="s">
        <v>3503</v>
      </c>
      <c r="B945" s="13" t="s">
        <v>19</v>
      </c>
      <c r="C945" s="14" t="s">
        <v>23</v>
      </c>
      <c r="D945" s="14" t="s">
        <v>46</v>
      </c>
      <c r="E945" s="14" t="s">
        <v>3504</v>
      </c>
      <c r="F945" s="9" t="s">
        <v>27</v>
      </c>
      <c r="G945" s="9" t="b">
        <v>0</v>
      </c>
      <c r="H945" s="9" t="s">
        <v>3505</v>
      </c>
      <c r="I945" s="9">
        <v>1.0</v>
      </c>
      <c r="J945" s="9">
        <v>0.0</v>
      </c>
      <c r="K945" s="9">
        <v>0.0</v>
      </c>
    </row>
    <row r="946" ht="15.75" customHeight="1">
      <c r="A946" s="7" t="s">
        <v>3506</v>
      </c>
      <c r="B946" s="13" t="s">
        <v>19</v>
      </c>
      <c r="C946" s="14" t="s">
        <v>23</v>
      </c>
      <c r="D946" s="14" t="s">
        <v>46</v>
      </c>
      <c r="E946" s="14" t="s">
        <v>3507</v>
      </c>
      <c r="F946" s="9" t="s">
        <v>27</v>
      </c>
      <c r="G946" s="9" t="b">
        <v>0</v>
      </c>
      <c r="H946" s="9" t="s">
        <v>3508</v>
      </c>
      <c r="I946" s="9">
        <v>1.0</v>
      </c>
      <c r="J946" s="9">
        <v>0.0</v>
      </c>
      <c r="K946" s="9">
        <v>0.0</v>
      </c>
    </row>
    <row r="947" ht="15.75" customHeight="1">
      <c r="A947" s="7" t="s">
        <v>3509</v>
      </c>
      <c r="B947" s="13" t="s">
        <v>1654</v>
      </c>
      <c r="C947" s="14" t="s">
        <v>169</v>
      </c>
      <c r="D947" s="14" t="s">
        <v>46</v>
      </c>
      <c r="E947" s="14" t="s">
        <v>3510</v>
      </c>
      <c r="F947" s="9" t="s">
        <v>94</v>
      </c>
      <c r="G947" s="9" t="b">
        <v>0</v>
      </c>
      <c r="I947" s="9">
        <v>1.0</v>
      </c>
      <c r="J947" s="9">
        <v>0.0</v>
      </c>
      <c r="K947" s="9">
        <v>1.0</v>
      </c>
    </row>
    <row r="948" ht="15.75" customHeight="1">
      <c r="A948" s="7" t="s">
        <v>3511</v>
      </c>
      <c r="B948" s="13" t="s">
        <v>1658</v>
      </c>
      <c r="C948" s="14" t="s">
        <v>34</v>
      </c>
      <c r="D948" s="14" t="s">
        <v>46</v>
      </c>
      <c r="E948" s="14" t="s">
        <v>3512</v>
      </c>
      <c r="F948" s="9" t="s">
        <v>37</v>
      </c>
      <c r="G948" s="9" t="b">
        <v>0</v>
      </c>
      <c r="H948" s="9" t="s">
        <v>3513</v>
      </c>
      <c r="I948" s="9">
        <v>1.0</v>
      </c>
      <c r="J948" s="9">
        <v>0.0</v>
      </c>
      <c r="K948" s="9">
        <v>0.0</v>
      </c>
    </row>
    <row r="949" ht="15.75" customHeight="1">
      <c r="A949" s="7" t="s">
        <v>3514</v>
      </c>
      <c r="B949" s="13" t="s">
        <v>160</v>
      </c>
      <c r="C949" s="14" t="s">
        <v>34</v>
      </c>
      <c r="D949" s="14" t="s">
        <v>46</v>
      </c>
      <c r="E949" s="14" t="s">
        <v>3515</v>
      </c>
      <c r="F949" s="9" t="s">
        <v>37</v>
      </c>
      <c r="G949" s="9" t="b">
        <v>0</v>
      </c>
      <c r="H949" s="9" t="s">
        <v>969</v>
      </c>
      <c r="I949" s="9">
        <v>1.0</v>
      </c>
      <c r="J949" s="9">
        <v>0.0</v>
      </c>
      <c r="K949" s="9">
        <v>0.0</v>
      </c>
    </row>
    <row r="950" ht="15.75" customHeight="1">
      <c r="A950" s="7" t="s">
        <v>3516</v>
      </c>
      <c r="B950" s="13" t="s">
        <v>160</v>
      </c>
      <c r="C950" s="14" t="s">
        <v>34</v>
      </c>
      <c r="D950" s="14" t="s">
        <v>46</v>
      </c>
      <c r="E950" s="14" t="s">
        <v>3517</v>
      </c>
      <c r="F950" s="9" t="s">
        <v>37</v>
      </c>
      <c r="G950" s="9" t="b">
        <v>0</v>
      </c>
      <c r="H950" s="9" t="s">
        <v>482</v>
      </c>
      <c r="I950" s="9">
        <v>1.0</v>
      </c>
      <c r="J950" s="9">
        <v>0.0</v>
      </c>
      <c r="K950" s="9">
        <v>1.0</v>
      </c>
    </row>
    <row r="951" ht="15.75" customHeight="1">
      <c r="A951" s="7" t="s">
        <v>3518</v>
      </c>
      <c r="B951" s="13" t="s">
        <v>160</v>
      </c>
      <c r="C951" s="14" t="s">
        <v>34</v>
      </c>
      <c r="D951" s="14" t="s">
        <v>46</v>
      </c>
      <c r="E951" s="14" t="s">
        <v>3519</v>
      </c>
      <c r="F951" s="9" t="s">
        <v>37</v>
      </c>
      <c r="G951" s="9" t="b">
        <v>0</v>
      </c>
      <c r="H951" s="9" t="s">
        <v>707</v>
      </c>
      <c r="I951" s="9">
        <v>1.0</v>
      </c>
      <c r="J951" s="9">
        <v>0.0</v>
      </c>
      <c r="K951" s="9">
        <v>0.0</v>
      </c>
    </row>
    <row r="952" ht="15.75" customHeight="1">
      <c r="A952" s="7" t="s">
        <v>3520</v>
      </c>
      <c r="B952" s="13" t="s">
        <v>160</v>
      </c>
      <c r="C952" s="14" t="s">
        <v>309</v>
      </c>
      <c r="D952" s="14" t="s">
        <v>46</v>
      </c>
      <c r="E952" s="14" t="s">
        <v>3521</v>
      </c>
      <c r="F952" s="9" t="s">
        <v>311</v>
      </c>
      <c r="G952" s="9" t="b">
        <v>0</v>
      </c>
      <c r="I952" s="9">
        <v>1.0</v>
      </c>
      <c r="J952" s="9">
        <v>0.0</v>
      </c>
      <c r="K952" s="9">
        <v>1.0</v>
      </c>
    </row>
    <row r="953" ht="15.75" customHeight="1">
      <c r="A953" s="7" t="s">
        <v>3522</v>
      </c>
      <c r="B953" s="13" t="s">
        <v>1662</v>
      </c>
      <c r="C953" s="14" t="s">
        <v>309</v>
      </c>
      <c r="D953" s="14" t="s">
        <v>35</v>
      </c>
      <c r="E953" s="14" t="s">
        <v>3523</v>
      </c>
      <c r="F953" s="9" t="s">
        <v>311</v>
      </c>
      <c r="G953" s="9" t="b">
        <v>0</v>
      </c>
      <c r="H953" s="9" t="s">
        <v>1664</v>
      </c>
      <c r="I953" s="9">
        <v>1.0</v>
      </c>
      <c r="J953" s="9">
        <v>0.0</v>
      </c>
      <c r="K953" s="9">
        <v>1.0</v>
      </c>
    </row>
    <row r="954" ht="15.75" customHeight="1">
      <c r="A954" s="7" t="s">
        <v>3524</v>
      </c>
      <c r="B954" s="13" t="s">
        <v>1239</v>
      </c>
      <c r="C954" s="14" t="s">
        <v>169</v>
      </c>
      <c r="D954" s="14" t="s">
        <v>270</v>
      </c>
      <c r="E954" s="14" t="s">
        <v>3525</v>
      </c>
      <c r="F954" s="9" t="s">
        <v>94</v>
      </c>
      <c r="G954" s="9" t="b">
        <v>0</v>
      </c>
      <c r="I954" s="9">
        <v>1.0</v>
      </c>
      <c r="J954" s="9">
        <v>0.0</v>
      </c>
      <c r="K954" s="9">
        <v>1.0</v>
      </c>
    </row>
    <row r="955" ht="15.75" customHeight="1">
      <c r="A955" s="7" t="s">
        <v>3526</v>
      </c>
      <c r="B955" s="13" t="s">
        <v>1239</v>
      </c>
      <c r="C955" s="14" t="s">
        <v>1203</v>
      </c>
      <c r="D955" s="14" t="s">
        <v>270</v>
      </c>
      <c r="E955" s="14" t="s">
        <v>3527</v>
      </c>
      <c r="F955" s="9" t="s">
        <v>1205</v>
      </c>
      <c r="G955" s="9" t="b">
        <v>0</v>
      </c>
      <c r="H955" s="9" t="s">
        <v>3528</v>
      </c>
      <c r="I955" s="9">
        <v>1.0</v>
      </c>
      <c r="J955" s="9">
        <v>0.0</v>
      </c>
      <c r="K955" s="9">
        <v>1.0</v>
      </c>
    </row>
    <row r="956" ht="15.75" customHeight="1">
      <c r="A956" s="7" t="s">
        <v>3529</v>
      </c>
      <c r="B956" s="13" t="s">
        <v>1665</v>
      </c>
      <c r="C956" s="14" t="s">
        <v>34</v>
      </c>
      <c r="D956" s="14" t="s">
        <v>46</v>
      </c>
      <c r="E956" s="14" t="s">
        <v>3530</v>
      </c>
      <c r="F956" s="9" t="s">
        <v>37</v>
      </c>
      <c r="G956" s="9" t="b">
        <v>0</v>
      </c>
      <c r="H956" s="9" t="s">
        <v>3531</v>
      </c>
      <c r="I956" s="9">
        <v>1.0</v>
      </c>
      <c r="J956" s="9">
        <v>0.0</v>
      </c>
      <c r="K956" s="9">
        <v>0.0</v>
      </c>
    </row>
    <row r="957" ht="15.75" customHeight="1">
      <c r="A957" s="7" t="s">
        <v>3532</v>
      </c>
      <c r="B957" s="13" t="s">
        <v>1669</v>
      </c>
      <c r="C957" s="14" t="s">
        <v>144</v>
      </c>
      <c r="D957" s="14" t="s">
        <v>46</v>
      </c>
      <c r="E957" s="14" t="s">
        <v>3533</v>
      </c>
      <c r="F957" s="9" t="s">
        <v>147</v>
      </c>
      <c r="G957" s="9" t="b">
        <v>0</v>
      </c>
      <c r="I957" s="9">
        <v>1.0</v>
      </c>
      <c r="J957" s="9">
        <v>0.0</v>
      </c>
      <c r="K957" s="9">
        <v>0.0</v>
      </c>
    </row>
    <row r="958" ht="15.75" customHeight="1">
      <c r="A958" s="7" t="s">
        <v>3534</v>
      </c>
      <c r="B958" s="13" t="s">
        <v>1045</v>
      </c>
      <c r="C958" s="14" t="s">
        <v>34</v>
      </c>
      <c r="D958" s="14" t="s">
        <v>46</v>
      </c>
      <c r="E958" s="14" t="s">
        <v>3535</v>
      </c>
      <c r="F958" s="9" t="s">
        <v>37</v>
      </c>
      <c r="G958" s="9" t="b">
        <v>0</v>
      </c>
      <c r="H958" s="9" t="s">
        <v>3536</v>
      </c>
      <c r="I958" s="9">
        <v>1.0</v>
      </c>
      <c r="J958" s="9">
        <v>0.0</v>
      </c>
      <c r="K958" s="9">
        <v>0.0</v>
      </c>
    </row>
    <row r="959" ht="15.75" customHeight="1">
      <c r="A959" s="7" t="s">
        <v>3537</v>
      </c>
      <c r="B959" s="13" t="s">
        <v>1182</v>
      </c>
      <c r="C959" s="14" t="s">
        <v>144</v>
      </c>
      <c r="D959" s="14" t="s">
        <v>46</v>
      </c>
      <c r="E959" s="14" t="s">
        <v>3538</v>
      </c>
      <c r="F959" s="9" t="s">
        <v>147</v>
      </c>
      <c r="G959" s="9" t="b">
        <v>0</v>
      </c>
      <c r="H959" s="9" t="s">
        <v>188</v>
      </c>
      <c r="I959" s="9">
        <v>1.0</v>
      </c>
      <c r="J959" s="9">
        <v>0.0</v>
      </c>
      <c r="K959" s="9">
        <v>1.0</v>
      </c>
    </row>
    <row r="960" ht="15.75" customHeight="1">
      <c r="A960" s="7" t="s">
        <v>3539</v>
      </c>
      <c r="B960" s="13" t="s">
        <v>1182</v>
      </c>
      <c r="C960" s="14" t="s">
        <v>144</v>
      </c>
      <c r="D960" s="14" t="s">
        <v>46</v>
      </c>
      <c r="E960" s="14" t="s">
        <v>3540</v>
      </c>
      <c r="F960" s="9" t="s">
        <v>147</v>
      </c>
      <c r="G960" s="9" t="b">
        <v>0</v>
      </c>
      <c r="H960" s="9" t="s">
        <v>188</v>
      </c>
      <c r="I960" s="9">
        <v>1.0</v>
      </c>
      <c r="J960" s="9">
        <v>0.0</v>
      </c>
      <c r="K960" s="9">
        <v>2.0</v>
      </c>
    </row>
    <row r="961" ht="15.75" customHeight="1">
      <c r="A961" s="7" t="s">
        <v>3541</v>
      </c>
      <c r="B961" s="13" t="s">
        <v>1672</v>
      </c>
      <c r="C961" s="14" t="s">
        <v>521</v>
      </c>
      <c r="D961" s="14" t="s">
        <v>46</v>
      </c>
      <c r="E961" s="14" t="s">
        <v>3542</v>
      </c>
      <c r="F961" s="9" t="s">
        <v>523</v>
      </c>
      <c r="G961" s="9" t="b">
        <v>0</v>
      </c>
      <c r="H961" s="9" t="s">
        <v>1328</v>
      </c>
      <c r="I961" s="9">
        <v>1.0</v>
      </c>
      <c r="J961" s="9">
        <v>0.0</v>
      </c>
      <c r="K961" s="9">
        <v>0.0</v>
      </c>
    </row>
    <row r="962" ht="15.75" customHeight="1">
      <c r="A962" s="7" t="s">
        <v>3543</v>
      </c>
      <c r="B962" s="13" t="s">
        <v>703</v>
      </c>
      <c r="C962" s="14" t="s">
        <v>521</v>
      </c>
      <c r="D962" s="14" t="s">
        <v>46</v>
      </c>
      <c r="E962" s="14" t="s">
        <v>3544</v>
      </c>
      <c r="F962" s="9" t="s">
        <v>523</v>
      </c>
      <c r="G962" s="9" t="b">
        <v>0</v>
      </c>
      <c r="I962" s="9">
        <v>1.0</v>
      </c>
      <c r="J962" s="9">
        <v>0.0</v>
      </c>
      <c r="K962" s="9">
        <v>1.0</v>
      </c>
    </row>
    <row r="963" ht="15.75" customHeight="1">
      <c r="A963" s="7" t="s">
        <v>3545</v>
      </c>
      <c r="B963" s="13" t="s">
        <v>703</v>
      </c>
      <c r="C963" s="14" t="s">
        <v>34</v>
      </c>
      <c r="D963" s="14" t="s">
        <v>46</v>
      </c>
      <c r="E963" s="14" t="s">
        <v>3546</v>
      </c>
      <c r="F963" s="9" t="s">
        <v>37</v>
      </c>
      <c r="G963" s="9" t="b">
        <v>0</v>
      </c>
      <c r="H963" s="9" t="s">
        <v>188</v>
      </c>
      <c r="I963" s="9">
        <v>1.0</v>
      </c>
      <c r="J963" s="9">
        <v>0.0</v>
      </c>
      <c r="K963" s="9">
        <v>0.0</v>
      </c>
    </row>
    <row r="964" ht="15.75" customHeight="1">
      <c r="A964" s="7" t="s">
        <v>3547</v>
      </c>
      <c r="B964" s="13" t="s">
        <v>1675</v>
      </c>
      <c r="C964" s="14" t="s">
        <v>169</v>
      </c>
      <c r="D964" s="14" t="s">
        <v>46</v>
      </c>
      <c r="E964" s="14" t="s">
        <v>3548</v>
      </c>
      <c r="F964" s="9" t="s">
        <v>94</v>
      </c>
      <c r="G964" s="9" t="b">
        <v>0</v>
      </c>
      <c r="I964" s="9">
        <v>1.0</v>
      </c>
      <c r="J964" s="9">
        <v>0.0</v>
      </c>
      <c r="K964" s="9">
        <v>1.0</v>
      </c>
    </row>
    <row r="965" ht="15.75" customHeight="1">
      <c r="A965" s="7" t="s">
        <v>3549</v>
      </c>
      <c r="B965" s="13" t="s">
        <v>1676</v>
      </c>
      <c r="C965" s="14" t="s">
        <v>521</v>
      </c>
      <c r="D965" s="14" t="s">
        <v>46</v>
      </c>
      <c r="E965" s="14" t="s">
        <v>3550</v>
      </c>
      <c r="F965" s="9" t="s">
        <v>523</v>
      </c>
      <c r="G965" s="9" t="b">
        <v>0</v>
      </c>
      <c r="I965" s="9">
        <v>1.0</v>
      </c>
      <c r="J965" s="9">
        <v>0.0</v>
      </c>
      <c r="K965" s="9">
        <v>0.0</v>
      </c>
    </row>
    <row r="966" ht="15.75" customHeight="1">
      <c r="A966" s="7" t="s">
        <v>3551</v>
      </c>
      <c r="B966" s="13" t="s">
        <v>1680</v>
      </c>
      <c r="C966" s="14" t="s">
        <v>521</v>
      </c>
      <c r="D966" s="14" t="s">
        <v>46</v>
      </c>
      <c r="E966" s="15"/>
      <c r="F966" s="9" t="s">
        <v>523</v>
      </c>
      <c r="H966" s="9" t="s">
        <v>172</v>
      </c>
      <c r="I966" s="9">
        <v>1.0</v>
      </c>
      <c r="J966" s="9">
        <v>0.0</v>
      </c>
      <c r="K966" s="9">
        <v>2.0</v>
      </c>
    </row>
    <row r="967" ht="15.75" customHeight="1">
      <c r="A967" s="7" t="s">
        <v>3552</v>
      </c>
      <c r="B967" s="13" t="s">
        <v>1440</v>
      </c>
      <c r="C967" s="14" t="s">
        <v>521</v>
      </c>
      <c r="D967" s="14" t="s">
        <v>46</v>
      </c>
      <c r="E967" s="14" t="s">
        <v>3553</v>
      </c>
      <c r="F967" s="9" t="s">
        <v>523</v>
      </c>
      <c r="G967" s="9" t="b">
        <v>0</v>
      </c>
      <c r="H967" s="9" t="s">
        <v>482</v>
      </c>
      <c r="I967" s="9">
        <v>1.0</v>
      </c>
      <c r="J967" s="9">
        <v>0.0</v>
      </c>
      <c r="K967" s="9">
        <v>3.0</v>
      </c>
    </row>
    <row r="968" ht="15.75" customHeight="1">
      <c r="A968" s="7" t="s">
        <v>3554</v>
      </c>
      <c r="B968" s="13" t="s">
        <v>1440</v>
      </c>
      <c r="C968" s="14" t="s">
        <v>144</v>
      </c>
      <c r="D968" s="14" t="s">
        <v>46</v>
      </c>
      <c r="E968" s="14" t="s">
        <v>3555</v>
      </c>
      <c r="F968" s="9" t="s">
        <v>147</v>
      </c>
      <c r="G968" s="9" t="b">
        <v>0</v>
      </c>
      <c r="H968" s="9" t="s">
        <v>482</v>
      </c>
      <c r="I968" s="9">
        <v>1.0</v>
      </c>
      <c r="J968" s="9">
        <v>0.0</v>
      </c>
      <c r="K968" s="9">
        <v>0.0</v>
      </c>
    </row>
    <row r="969" ht="15.75" customHeight="1">
      <c r="A969" s="7" t="s">
        <v>3556</v>
      </c>
      <c r="B969" s="13" t="s">
        <v>1442</v>
      </c>
      <c r="C969" s="14" t="s">
        <v>144</v>
      </c>
      <c r="D969" s="14" t="s">
        <v>46</v>
      </c>
      <c r="E969" s="14" t="s">
        <v>3557</v>
      </c>
      <c r="F969" s="9" t="s">
        <v>147</v>
      </c>
      <c r="G969" s="9" t="b">
        <v>0</v>
      </c>
      <c r="H969" s="9" t="s">
        <v>3558</v>
      </c>
      <c r="I969" s="9">
        <v>1.0</v>
      </c>
      <c r="J969" s="9">
        <v>0.0</v>
      </c>
      <c r="K969" s="9">
        <v>2.0</v>
      </c>
    </row>
    <row r="970" ht="15.75" customHeight="1">
      <c r="A970" s="7" t="s">
        <v>3559</v>
      </c>
      <c r="B970" s="13" t="s">
        <v>1684</v>
      </c>
      <c r="C970" s="14" t="s">
        <v>1203</v>
      </c>
      <c r="D970" s="14" t="s">
        <v>46</v>
      </c>
      <c r="E970" s="14" t="s">
        <v>3560</v>
      </c>
      <c r="F970" s="9" t="s">
        <v>1205</v>
      </c>
      <c r="G970" s="9" t="b">
        <v>0</v>
      </c>
      <c r="I970" s="9">
        <v>1.0</v>
      </c>
      <c r="J970" s="9">
        <v>0.0</v>
      </c>
      <c r="K970" s="9">
        <v>1.0</v>
      </c>
    </row>
    <row r="971" ht="15.75" customHeight="1">
      <c r="A971" s="7" t="s">
        <v>3561</v>
      </c>
      <c r="B971" s="13" t="s">
        <v>1685</v>
      </c>
      <c r="C971" s="14" t="s">
        <v>144</v>
      </c>
      <c r="D971" s="14" t="s">
        <v>46</v>
      </c>
      <c r="E971" s="14" t="s">
        <v>3562</v>
      </c>
      <c r="F971" s="9" t="s">
        <v>147</v>
      </c>
      <c r="G971" s="9" t="b">
        <v>0</v>
      </c>
      <c r="H971" s="9" t="s">
        <v>1686</v>
      </c>
      <c r="I971" s="9">
        <v>1.0</v>
      </c>
      <c r="J971" s="9">
        <v>0.0</v>
      </c>
      <c r="K971" s="9">
        <v>0.0</v>
      </c>
    </row>
    <row r="972" ht="15.75" customHeight="1">
      <c r="A972" s="7" t="s">
        <v>3563</v>
      </c>
      <c r="B972" s="14" t="s">
        <v>752</v>
      </c>
      <c r="C972" s="14" t="s">
        <v>144</v>
      </c>
      <c r="D972" s="14" t="s">
        <v>46</v>
      </c>
      <c r="E972" s="14" t="s">
        <v>3564</v>
      </c>
      <c r="F972" s="9" t="s">
        <v>147</v>
      </c>
      <c r="G972" s="9" t="b">
        <v>0</v>
      </c>
      <c r="I972" s="9">
        <v>1.0</v>
      </c>
      <c r="J972" s="9">
        <v>0.0</v>
      </c>
      <c r="K972" s="9">
        <v>0.0</v>
      </c>
    </row>
    <row r="973" ht="15.75" customHeight="1">
      <c r="A973" s="7" t="s">
        <v>3565</v>
      </c>
      <c r="B973" s="13" t="s">
        <v>1688</v>
      </c>
      <c r="C973" s="14" t="s">
        <v>144</v>
      </c>
      <c r="D973" s="14" t="s">
        <v>46</v>
      </c>
      <c r="E973" s="14" t="s">
        <v>3566</v>
      </c>
      <c r="F973" s="9" t="s">
        <v>147</v>
      </c>
      <c r="G973" s="9" t="b">
        <v>0</v>
      </c>
      <c r="H973" s="9" t="s">
        <v>720</v>
      </c>
      <c r="I973" s="9">
        <v>1.0</v>
      </c>
      <c r="J973" s="9">
        <v>0.0</v>
      </c>
      <c r="K973" s="9">
        <v>0.0</v>
      </c>
    </row>
    <row r="974" ht="15.75" customHeight="1">
      <c r="A974" s="7" t="s">
        <v>3567</v>
      </c>
      <c r="B974" s="13" t="s">
        <v>70</v>
      </c>
      <c r="C974" s="14" t="s">
        <v>23</v>
      </c>
      <c r="D974" s="14" t="s">
        <v>46</v>
      </c>
      <c r="E974" s="14" t="s">
        <v>3568</v>
      </c>
      <c r="F974" s="9" t="s">
        <v>27</v>
      </c>
      <c r="G974" s="9" t="b">
        <v>0</v>
      </c>
      <c r="H974" s="9" t="s">
        <v>3569</v>
      </c>
      <c r="I974" s="9">
        <v>1.0</v>
      </c>
      <c r="J974" s="9">
        <v>0.0</v>
      </c>
      <c r="K974" s="9">
        <v>0.0</v>
      </c>
    </row>
    <row r="975" ht="15.75" customHeight="1">
      <c r="A975" s="7" t="s">
        <v>3570</v>
      </c>
      <c r="B975" s="13" t="s">
        <v>70</v>
      </c>
      <c r="C975" s="14" t="s">
        <v>34</v>
      </c>
      <c r="D975" s="14" t="s">
        <v>46</v>
      </c>
      <c r="E975" s="14" t="s">
        <v>3571</v>
      </c>
      <c r="F975" s="9" t="s">
        <v>37</v>
      </c>
      <c r="G975" s="9" t="b">
        <v>0</v>
      </c>
      <c r="H975" s="9" t="s">
        <v>3572</v>
      </c>
      <c r="I975" s="9">
        <v>1.0</v>
      </c>
      <c r="J975" s="9">
        <v>0.0</v>
      </c>
      <c r="K975" s="9">
        <v>0.0</v>
      </c>
    </row>
    <row r="976" ht="15.75" customHeight="1">
      <c r="A976" s="7" t="s">
        <v>3573</v>
      </c>
      <c r="B976" s="13" t="s">
        <v>70</v>
      </c>
      <c r="C976" s="14" t="s">
        <v>23</v>
      </c>
      <c r="D976" s="14" t="s">
        <v>46</v>
      </c>
      <c r="E976" s="14" t="s">
        <v>3574</v>
      </c>
      <c r="F976" s="9" t="s">
        <v>27</v>
      </c>
      <c r="G976" s="9" t="b">
        <v>0</v>
      </c>
      <c r="H976" s="9" t="s">
        <v>3575</v>
      </c>
      <c r="I976" s="9">
        <v>1.0</v>
      </c>
      <c r="J976" s="9">
        <v>0.0</v>
      </c>
      <c r="K976" s="9">
        <v>0.0</v>
      </c>
    </row>
    <row r="977" ht="15.75" customHeight="1">
      <c r="A977" s="7" t="s">
        <v>3576</v>
      </c>
      <c r="B977" s="13" t="s">
        <v>70</v>
      </c>
      <c r="C977" s="14" t="s">
        <v>34</v>
      </c>
      <c r="D977" s="14" t="s">
        <v>46</v>
      </c>
      <c r="E977" s="14" t="s">
        <v>3577</v>
      </c>
      <c r="F977" s="9" t="s">
        <v>37</v>
      </c>
      <c r="G977" s="9" t="b">
        <v>0</v>
      </c>
      <c r="H977" s="9" t="s">
        <v>1285</v>
      </c>
      <c r="I977" s="9">
        <v>1.0</v>
      </c>
      <c r="J977" s="9">
        <v>0.0</v>
      </c>
      <c r="K977" s="9">
        <v>1.0</v>
      </c>
    </row>
    <row r="978" ht="15.75" customHeight="1">
      <c r="A978" s="7" t="s">
        <v>3578</v>
      </c>
      <c r="B978" s="13" t="s">
        <v>70</v>
      </c>
      <c r="C978" s="14" t="s">
        <v>34</v>
      </c>
      <c r="D978" s="14" t="s">
        <v>46</v>
      </c>
      <c r="E978" s="14" t="s">
        <v>3579</v>
      </c>
      <c r="F978" s="9" t="s">
        <v>37</v>
      </c>
      <c r="G978" s="9" t="b">
        <v>0</v>
      </c>
      <c r="H978" s="9" t="s">
        <v>1096</v>
      </c>
      <c r="I978" s="9">
        <v>1.0</v>
      </c>
      <c r="J978" s="9">
        <v>0.0</v>
      </c>
      <c r="K978" s="9">
        <v>0.0</v>
      </c>
    </row>
    <row r="979" ht="15.75" customHeight="1">
      <c r="A979" s="7" t="s">
        <v>3580</v>
      </c>
      <c r="B979" s="13" t="s">
        <v>70</v>
      </c>
      <c r="C979" s="14" t="s">
        <v>169</v>
      </c>
      <c r="D979" s="14" t="s">
        <v>46</v>
      </c>
      <c r="E979" s="14" t="s">
        <v>3581</v>
      </c>
      <c r="F979" s="9" t="s">
        <v>94</v>
      </c>
      <c r="G979" s="9" t="b">
        <v>0</v>
      </c>
      <c r="H979" s="9" t="s">
        <v>3582</v>
      </c>
      <c r="I979" s="9">
        <v>1.0</v>
      </c>
      <c r="J979" s="9">
        <v>0.0</v>
      </c>
      <c r="K979" s="9">
        <v>0.0</v>
      </c>
    </row>
    <row r="980" ht="15.75" customHeight="1">
      <c r="A980" s="7" t="s">
        <v>3583</v>
      </c>
      <c r="B980" s="13" t="s">
        <v>1689</v>
      </c>
      <c r="C980" s="14" t="s">
        <v>169</v>
      </c>
      <c r="D980" s="14" t="s">
        <v>46</v>
      </c>
      <c r="E980" s="14" t="s">
        <v>3584</v>
      </c>
      <c r="F980" s="9" t="s">
        <v>94</v>
      </c>
      <c r="G980" s="9" t="b">
        <v>0</v>
      </c>
      <c r="I980" s="9">
        <v>1.0</v>
      </c>
      <c r="J980" s="9">
        <v>0.0</v>
      </c>
      <c r="K980" s="9">
        <v>0.0</v>
      </c>
    </row>
    <row r="981" ht="15.75" customHeight="1">
      <c r="A981" s="7" t="s">
        <v>3585</v>
      </c>
      <c r="B981" s="13" t="s">
        <v>1690</v>
      </c>
      <c r="C981" s="14" t="s">
        <v>169</v>
      </c>
      <c r="D981" s="14" t="s">
        <v>46</v>
      </c>
      <c r="E981" s="14" t="s">
        <v>3586</v>
      </c>
      <c r="F981" s="9" t="s">
        <v>94</v>
      </c>
      <c r="G981" s="9" t="b">
        <v>0</v>
      </c>
      <c r="I981" s="9">
        <v>1.0</v>
      </c>
      <c r="J981" s="9">
        <v>0.0</v>
      </c>
      <c r="K981" s="9">
        <v>1.0</v>
      </c>
    </row>
    <row r="982" ht="15.75" customHeight="1">
      <c r="A982" s="7" t="s">
        <v>3587</v>
      </c>
      <c r="B982" s="13" t="s">
        <v>1694</v>
      </c>
      <c r="C982" s="14" t="s">
        <v>521</v>
      </c>
      <c r="D982" s="14" t="s">
        <v>46</v>
      </c>
      <c r="E982" s="14" t="s">
        <v>3588</v>
      </c>
      <c r="F982" s="9" t="s">
        <v>523</v>
      </c>
      <c r="G982" s="9" t="b">
        <v>0</v>
      </c>
      <c r="H982" s="9" t="s">
        <v>188</v>
      </c>
      <c r="I982" s="9">
        <v>1.0</v>
      </c>
      <c r="J982" s="9">
        <v>0.0</v>
      </c>
      <c r="K982" s="9">
        <v>0.0</v>
      </c>
    </row>
    <row r="983" ht="15.75" customHeight="1">
      <c r="A983" s="7" t="s">
        <v>3589</v>
      </c>
      <c r="B983" s="13" t="s">
        <v>1695</v>
      </c>
      <c r="C983" s="14" t="s">
        <v>144</v>
      </c>
      <c r="D983" s="14" t="s">
        <v>46</v>
      </c>
      <c r="E983" s="14" t="s">
        <v>3590</v>
      </c>
      <c r="F983" s="9" t="s">
        <v>147</v>
      </c>
      <c r="G983" s="9" t="b">
        <v>0</v>
      </c>
      <c r="H983" s="9" t="s">
        <v>720</v>
      </c>
      <c r="I983" s="9">
        <v>1.0</v>
      </c>
      <c r="J983" s="9">
        <v>0.0</v>
      </c>
      <c r="K983" s="9">
        <v>0.0</v>
      </c>
    </row>
    <row r="984" ht="15.75" customHeight="1">
      <c r="A984" s="7" t="s">
        <v>3591</v>
      </c>
      <c r="B984" s="13" t="s">
        <v>760</v>
      </c>
      <c r="C984" s="14" t="s">
        <v>34</v>
      </c>
      <c r="D984" s="14" t="s">
        <v>46</v>
      </c>
      <c r="E984" s="14" t="s">
        <v>3592</v>
      </c>
      <c r="F984" s="9" t="s">
        <v>37</v>
      </c>
      <c r="G984" s="9" t="b">
        <v>0</v>
      </c>
      <c r="H984" s="9" t="s">
        <v>3593</v>
      </c>
      <c r="I984" s="9">
        <v>1.0</v>
      </c>
      <c r="J984" s="9">
        <v>0.0</v>
      </c>
      <c r="K984" s="9">
        <v>2.0</v>
      </c>
    </row>
    <row r="985" ht="15.75" customHeight="1">
      <c r="A985" s="7" t="s">
        <v>3594</v>
      </c>
      <c r="B985" s="13" t="s">
        <v>1698</v>
      </c>
      <c r="C985" s="14" t="s">
        <v>521</v>
      </c>
      <c r="D985" s="14" t="s">
        <v>46</v>
      </c>
      <c r="E985" s="14" t="s">
        <v>3595</v>
      </c>
      <c r="F985" s="9" t="s">
        <v>523</v>
      </c>
      <c r="G985" s="9" t="b">
        <v>0</v>
      </c>
      <c r="I985" s="9">
        <v>1.0</v>
      </c>
      <c r="J985" s="9">
        <v>0.0</v>
      </c>
      <c r="K985" s="9">
        <v>0.0</v>
      </c>
    </row>
    <row r="986" ht="15.75" customHeight="1">
      <c r="A986" s="7" t="s">
        <v>3596</v>
      </c>
      <c r="B986" s="13" t="s">
        <v>385</v>
      </c>
      <c r="C986" s="14" t="s">
        <v>144</v>
      </c>
      <c r="D986" s="14" t="s">
        <v>46</v>
      </c>
      <c r="E986" s="14" t="s">
        <v>3597</v>
      </c>
      <c r="F986" s="9" t="s">
        <v>147</v>
      </c>
      <c r="G986" s="9" t="b">
        <v>0</v>
      </c>
      <c r="H986" s="9" t="s">
        <v>2434</v>
      </c>
      <c r="I986" s="9">
        <v>1.0</v>
      </c>
      <c r="J986" s="9">
        <v>0.0</v>
      </c>
      <c r="K986" s="9">
        <v>0.0</v>
      </c>
    </row>
    <row r="987" ht="15.75" customHeight="1">
      <c r="A987" s="7" t="s">
        <v>3598</v>
      </c>
      <c r="B987" s="13" t="s">
        <v>33</v>
      </c>
      <c r="C987" s="14" t="s">
        <v>61</v>
      </c>
      <c r="D987" s="14" t="s">
        <v>62</v>
      </c>
      <c r="E987" s="14" t="s">
        <v>3599</v>
      </c>
      <c r="F987" s="9" t="s">
        <v>64</v>
      </c>
      <c r="G987" s="9" t="b">
        <v>0</v>
      </c>
      <c r="H987" s="9" t="s">
        <v>3600</v>
      </c>
      <c r="I987" s="9">
        <v>1.0</v>
      </c>
      <c r="J987" s="9">
        <v>0.0</v>
      </c>
      <c r="K987" s="9">
        <v>0.0</v>
      </c>
    </row>
    <row r="988" ht="15.75" customHeight="1">
      <c r="A988" s="7" t="s">
        <v>3601</v>
      </c>
      <c r="B988" s="13" t="s">
        <v>756</v>
      </c>
      <c r="C988" s="14" t="s">
        <v>144</v>
      </c>
      <c r="D988" s="14" t="s">
        <v>35</v>
      </c>
      <c r="E988" s="14" t="s">
        <v>3602</v>
      </c>
      <c r="F988" s="9" t="s">
        <v>147</v>
      </c>
      <c r="G988" s="9" t="b">
        <v>0</v>
      </c>
      <c r="H988" s="9" t="s">
        <v>3603</v>
      </c>
      <c r="I988" s="9">
        <v>1.0</v>
      </c>
      <c r="J988" s="9">
        <v>0.0</v>
      </c>
      <c r="K988" s="9">
        <v>3.0</v>
      </c>
    </row>
    <row r="989" ht="15.75" customHeight="1">
      <c r="A989" s="7" t="s">
        <v>3604</v>
      </c>
      <c r="B989" s="13" t="s">
        <v>756</v>
      </c>
      <c r="C989" s="14" t="s">
        <v>34</v>
      </c>
      <c r="D989" s="14" t="s">
        <v>35</v>
      </c>
      <c r="E989" s="14" t="s">
        <v>3605</v>
      </c>
      <c r="F989" s="9" t="s">
        <v>37</v>
      </c>
      <c r="G989" s="9" t="b">
        <v>0</v>
      </c>
      <c r="H989" s="9" t="s">
        <v>3606</v>
      </c>
      <c r="I989" s="9">
        <v>1.0</v>
      </c>
      <c r="J989" s="9">
        <v>0.0</v>
      </c>
      <c r="K989" s="9">
        <v>1.0</v>
      </c>
    </row>
    <row r="990" ht="15.75" customHeight="1">
      <c r="A990" s="7" t="s">
        <v>3607</v>
      </c>
      <c r="B990" s="13" t="s">
        <v>527</v>
      </c>
      <c r="C990" s="14" t="s">
        <v>34</v>
      </c>
      <c r="D990" s="14" t="s">
        <v>35</v>
      </c>
      <c r="E990" s="14" t="s">
        <v>3608</v>
      </c>
      <c r="F990" s="9" t="s">
        <v>37</v>
      </c>
      <c r="G990" s="9" t="b">
        <v>0</v>
      </c>
      <c r="H990" s="9" t="s">
        <v>3609</v>
      </c>
      <c r="I990" s="9">
        <v>1.0</v>
      </c>
      <c r="J990" s="9">
        <v>0.0</v>
      </c>
      <c r="K990" s="9">
        <v>1.0</v>
      </c>
    </row>
    <row r="991" ht="15.75" customHeight="1">
      <c r="A991" s="7" t="s">
        <v>3610</v>
      </c>
      <c r="B991" s="13" t="s">
        <v>527</v>
      </c>
      <c r="C991" s="14" t="s">
        <v>34</v>
      </c>
      <c r="D991" s="14" t="s">
        <v>35</v>
      </c>
      <c r="E991" s="14" t="s">
        <v>3611</v>
      </c>
      <c r="F991" s="9" t="s">
        <v>37</v>
      </c>
      <c r="G991" s="9" t="b">
        <v>0</v>
      </c>
      <c r="H991" s="9" t="s">
        <v>3612</v>
      </c>
      <c r="I991" s="9">
        <v>1.0</v>
      </c>
      <c r="J991" s="9">
        <v>0.0</v>
      </c>
      <c r="K991" s="9">
        <v>1.0</v>
      </c>
    </row>
    <row r="992" ht="15.75" customHeight="1">
      <c r="A992" s="7" t="s">
        <v>3613</v>
      </c>
      <c r="B992" s="13" t="s">
        <v>1699</v>
      </c>
      <c r="C992" s="14" t="s">
        <v>521</v>
      </c>
      <c r="D992" s="14" t="s">
        <v>46</v>
      </c>
      <c r="E992" s="14" t="s">
        <v>3614</v>
      </c>
      <c r="F992" s="9" t="s">
        <v>523</v>
      </c>
      <c r="G992" s="9" t="b">
        <v>0</v>
      </c>
      <c r="I992" s="9">
        <v>1.0</v>
      </c>
      <c r="J992" s="9">
        <v>0.0</v>
      </c>
      <c r="K992" s="9">
        <v>0.0</v>
      </c>
    </row>
    <row r="993" ht="15.75" customHeight="1">
      <c r="A993" s="7" t="s">
        <v>3615</v>
      </c>
      <c r="B993" s="13" t="s">
        <v>1701</v>
      </c>
      <c r="C993" s="14" t="s">
        <v>144</v>
      </c>
      <c r="D993" s="14" t="s">
        <v>46</v>
      </c>
      <c r="E993" s="14" t="s">
        <v>3616</v>
      </c>
      <c r="F993" s="9" t="s">
        <v>147</v>
      </c>
      <c r="G993" s="9" t="b">
        <v>0</v>
      </c>
      <c r="H993" s="9" t="s">
        <v>188</v>
      </c>
      <c r="I993" s="9">
        <v>1.0</v>
      </c>
      <c r="J993" s="9">
        <v>0.0</v>
      </c>
      <c r="K993" s="9">
        <v>0.0</v>
      </c>
    </row>
    <row r="994" ht="15.75" customHeight="1">
      <c r="A994" s="7" t="s">
        <v>3617</v>
      </c>
      <c r="B994" s="13" t="s">
        <v>128</v>
      </c>
      <c r="C994" s="14" t="s">
        <v>144</v>
      </c>
      <c r="D994" s="14" t="s">
        <v>169</v>
      </c>
      <c r="E994" s="14" t="s">
        <v>3618</v>
      </c>
      <c r="F994" s="9" t="s">
        <v>147</v>
      </c>
      <c r="G994" s="9" t="b">
        <v>0</v>
      </c>
      <c r="H994" s="9" t="s">
        <v>358</v>
      </c>
      <c r="I994" s="9">
        <v>1.0</v>
      </c>
      <c r="J994" s="9">
        <v>0.0</v>
      </c>
      <c r="K994" s="9">
        <v>2.0</v>
      </c>
    </row>
    <row r="995">
      <c r="A995" s="7" t="s">
        <v>3619</v>
      </c>
      <c r="B995" s="13" t="s">
        <v>128</v>
      </c>
      <c r="C995" s="14" t="s">
        <v>144</v>
      </c>
      <c r="D995" s="14" t="s">
        <v>169</v>
      </c>
      <c r="E995" s="14" t="s">
        <v>3620</v>
      </c>
      <c r="F995" s="9" t="s">
        <v>147</v>
      </c>
      <c r="G995" s="9" t="b">
        <v>0</v>
      </c>
      <c r="H995" s="9" t="s">
        <v>358</v>
      </c>
      <c r="I995" s="9">
        <v>1.0</v>
      </c>
      <c r="J995" s="9">
        <v>0.0</v>
      </c>
      <c r="K995" s="9">
        <v>1.0</v>
      </c>
    </row>
    <row r="996">
      <c r="A996" s="7" t="s">
        <v>3621</v>
      </c>
      <c r="B996" s="13" t="s">
        <v>291</v>
      </c>
      <c r="C996" s="14" t="s">
        <v>521</v>
      </c>
      <c r="D996" s="14" t="s">
        <v>35</v>
      </c>
      <c r="E996" s="14" t="s">
        <v>3622</v>
      </c>
      <c r="F996" s="9" t="s">
        <v>523</v>
      </c>
      <c r="G996" s="9" t="b">
        <v>0</v>
      </c>
      <c r="H996" s="9" t="s">
        <v>3623</v>
      </c>
      <c r="I996" s="9">
        <v>1.0</v>
      </c>
      <c r="J996" s="9">
        <v>0.0</v>
      </c>
      <c r="K996" s="9">
        <v>1.0</v>
      </c>
    </row>
    <row r="997">
      <c r="A997" s="7" t="s">
        <v>3624</v>
      </c>
      <c r="B997" s="13" t="s">
        <v>291</v>
      </c>
      <c r="C997" s="14" t="s">
        <v>144</v>
      </c>
      <c r="D997" s="14" t="s">
        <v>35</v>
      </c>
      <c r="E997" s="14" t="s">
        <v>3625</v>
      </c>
      <c r="F997" s="9" t="s">
        <v>147</v>
      </c>
      <c r="G997" s="9" t="b">
        <v>0</v>
      </c>
      <c r="H997" s="9" t="s">
        <v>3623</v>
      </c>
      <c r="I997" s="9">
        <v>1.0</v>
      </c>
      <c r="J997" s="9">
        <v>0.0</v>
      </c>
      <c r="K997" s="9">
        <v>0.0</v>
      </c>
    </row>
    <row r="998">
      <c r="A998" s="7" t="s">
        <v>3626</v>
      </c>
      <c r="B998" s="13" t="s">
        <v>649</v>
      </c>
      <c r="C998" s="14" t="s">
        <v>521</v>
      </c>
      <c r="D998" s="14" t="s">
        <v>46</v>
      </c>
      <c r="E998" s="14" t="s">
        <v>3627</v>
      </c>
      <c r="F998" s="9" t="s">
        <v>523</v>
      </c>
      <c r="G998" s="9" t="b">
        <v>0</v>
      </c>
      <c r="H998" s="9" t="s">
        <v>188</v>
      </c>
      <c r="I998" s="9">
        <v>1.0</v>
      </c>
      <c r="J998" s="9">
        <v>0.0</v>
      </c>
      <c r="K998" s="9">
        <v>2.0</v>
      </c>
    </row>
    <row r="999">
      <c r="A999" s="7" t="s">
        <v>3628</v>
      </c>
      <c r="B999" s="13" t="s">
        <v>1703</v>
      </c>
      <c r="C999" s="14" t="s">
        <v>521</v>
      </c>
      <c r="D999" s="14" t="s">
        <v>46</v>
      </c>
      <c r="E999" s="14" t="s">
        <v>3629</v>
      </c>
      <c r="F999" s="9" t="s">
        <v>523</v>
      </c>
      <c r="G999" s="9" t="b">
        <v>0</v>
      </c>
      <c r="I999" s="9">
        <v>1.0</v>
      </c>
      <c r="J999" s="9">
        <v>0.0</v>
      </c>
      <c r="K999" s="9">
        <v>0.0</v>
      </c>
    </row>
    <row r="1000">
      <c r="A1000" s="7" t="s">
        <v>3630</v>
      </c>
      <c r="B1000" s="13" t="s">
        <v>1707</v>
      </c>
      <c r="C1000" s="14" t="s">
        <v>34</v>
      </c>
      <c r="D1000" s="14" t="s">
        <v>46</v>
      </c>
      <c r="E1000" s="14" t="s">
        <v>3631</v>
      </c>
      <c r="F1000" s="9" t="s">
        <v>37</v>
      </c>
      <c r="G1000" s="9" t="b">
        <v>0</v>
      </c>
      <c r="H1000" s="9" t="s">
        <v>3632</v>
      </c>
      <c r="I1000" s="9">
        <v>1.0</v>
      </c>
      <c r="J1000" s="9">
        <v>0.0</v>
      </c>
      <c r="K1000" s="9">
        <v>2.0</v>
      </c>
    </row>
    <row r="1001">
      <c r="A1001" s="7" t="s">
        <v>3633</v>
      </c>
      <c r="B1001" s="13" t="s">
        <v>1709</v>
      </c>
      <c r="C1001" s="14" t="s">
        <v>169</v>
      </c>
      <c r="D1001" s="14" t="s">
        <v>46</v>
      </c>
      <c r="E1001" s="14" t="s">
        <v>3634</v>
      </c>
      <c r="F1001" s="9" t="s">
        <v>94</v>
      </c>
      <c r="G1001" s="9" t="b">
        <v>0</v>
      </c>
      <c r="I1001" s="9">
        <v>1.0</v>
      </c>
      <c r="J1001" s="9">
        <v>0.0</v>
      </c>
      <c r="K1001" s="9">
        <v>1.0</v>
      </c>
    </row>
    <row r="1002">
      <c r="A1002" s="7" t="s">
        <v>3635</v>
      </c>
      <c r="B1002" s="13" t="s">
        <v>1051</v>
      </c>
      <c r="C1002" s="14" t="s">
        <v>34</v>
      </c>
      <c r="D1002" s="14" t="s">
        <v>35</v>
      </c>
      <c r="E1002" s="14" t="s">
        <v>3636</v>
      </c>
      <c r="F1002" s="9" t="s">
        <v>37</v>
      </c>
      <c r="G1002" s="9" t="b">
        <v>0</v>
      </c>
      <c r="H1002" s="9" t="s">
        <v>3637</v>
      </c>
      <c r="I1002" s="9">
        <v>1.0</v>
      </c>
      <c r="J1002" s="9">
        <v>0.0</v>
      </c>
      <c r="K1002" s="9">
        <v>2.0</v>
      </c>
    </row>
    <row r="1003">
      <c r="A1003" s="7" t="s">
        <v>3638</v>
      </c>
      <c r="B1003" s="13" t="s">
        <v>1765</v>
      </c>
      <c r="C1003" s="14" t="s">
        <v>169</v>
      </c>
      <c r="D1003" s="14" t="s">
        <v>169</v>
      </c>
      <c r="E1003" s="15"/>
      <c r="F1003" s="9" t="s">
        <v>94</v>
      </c>
      <c r="H1003" s="9" t="s">
        <v>172</v>
      </c>
      <c r="I1003" s="9">
        <v>1.0</v>
      </c>
      <c r="J1003" s="9">
        <v>0.0</v>
      </c>
      <c r="K1003" s="9">
        <v>1.0</v>
      </c>
    </row>
    <row r="1004">
      <c r="A1004" s="7" t="s">
        <v>3639</v>
      </c>
      <c r="B1004" s="13" t="s">
        <v>1713</v>
      </c>
      <c r="C1004" s="14" t="s">
        <v>34</v>
      </c>
      <c r="D1004" s="14" t="s">
        <v>35</v>
      </c>
      <c r="E1004" s="14" t="s">
        <v>3640</v>
      </c>
      <c r="F1004" s="9" t="s">
        <v>37</v>
      </c>
      <c r="G1004" s="9" t="b">
        <v>0</v>
      </c>
      <c r="H1004" s="9" t="s">
        <v>1715</v>
      </c>
      <c r="I1004" s="9">
        <v>1.0</v>
      </c>
      <c r="J1004" s="9">
        <v>0.0</v>
      </c>
      <c r="K1004" s="9">
        <v>0.0</v>
      </c>
    </row>
    <row r="1005">
      <c r="A1005" s="7" t="s">
        <v>3641</v>
      </c>
      <c r="B1005" s="14" t="s">
        <v>1717</v>
      </c>
      <c r="C1005" s="14" t="s">
        <v>1203</v>
      </c>
      <c r="D1005" s="14" t="s">
        <v>46</v>
      </c>
      <c r="E1005" s="14" t="s">
        <v>3642</v>
      </c>
      <c r="F1005" s="9" t="s">
        <v>1205</v>
      </c>
      <c r="G1005" s="9" t="b">
        <v>0</v>
      </c>
      <c r="H1005" s="9" t="s">
        <v>188</v>
      </c>
      <c r="I1005" s="9">
        <v>1.0</v>
      </c>
      <c r="J1005" s="9">
        <v>0.0</v>
      </c>
      <c r="K1005" s="9">
        <v>0.0</v>
      </c>
    </row>
    <row r="1006">
      <c r="A1006" s="7" t="s">
        <v>3643</v>
      </c>
      <c r="B1006" s="13" t="s">
        <v>1718</v>
      </c>
      <c r="C1006" s="14" t="s">
        <v>34</v>
      </c>
      <c r="D1006" s="14" t="s">
        <v>46</v>
      </c>
      <c r="E1006" s="14" t="s">
        <v>3644</v>
      </c>
      <c r="F1006" s="9" t="s">
        <v>37</v>
      </c>
      <c r="G1006" s="9" t="b">
        <v>0</v>
      </c>
      <c r="I1006" s="9">
        <v>1.0</v>
      </c>
      <c r="J1006" s="9">
        <v>0.0</v>
      </c>
      <c r="K1006" s="9">
        <v>1.0</v>
      </c>
    </row>
    <row r="1007">
      <c r="A1007" s="7" t="s">
        <v>3645</v>
      </c>
      <c r="B1007" s="13" t="s">
        <v>1719</v>
      </c>
      <c r="C1007" s="14" t="s">
        <v>144</v>
      </c>
      <c r="D1007" s="14" t="s">
        <v>46</v>
      </c>
      <c r="E1007" s="14" t="s">
        <v>3646</v>
      </c>
      <c r="F1007" s="9" t="s">
        <v>147</v>
      </c>
      <c r="G1007" s="9" t="b">
        <v>0</v>
      </c>
      <c r="H1007" s="9" t="s">
        <v>720</v>
      </c>
      <c r="I1007" s="9">
        <v>1.0</v>
      </c>
      <c r="J1007" s="9">
        <v>0.0</v>
      </c>
      <c r="K1007" s="9">
        <v>1.0</v>
      </c>
    </row>
    <row r="1008">
      <c r="A1008" s="7" t="s">
        <v>3647</v>
      </c>
      <c r="B1008" s="13" t="s">
        <v>1723</v>
      </c>
      <c r="C1008" s="14" t="s">
        <v>34</v>
      </c>
      <c r="D1008" s="14" t="s">
        <v>46</v>
      </c>
      <c r="E1008" s="14" t="s">
        <v>3648</v>
      </c>
      <c r="F1008" s="9" t="s">
        <v>37</v>
      </c>
      <c r="G1008" s="9" t="b">
        <v>0</v>
      </c>
      <c r="H1008" s="9" t="s">
        <v>1724</v>
      </c>
      <c r="I1008" s="9">
        <v>1.0</v>
      </c>
      <c r="J1008" s="9">
        <v>0.0</v>
      </c>
      <c r="K1008" s="9">
        <v>1.0</v>
      </c>
    </row>
    <row r="1009">
      <c r="A1009" s="7" t="s">
        <v>3649</v>
      </c>
      <c r="B1009" s="13" t="s">
        <v>1725</v>
      </c>
      <c r="C1009" s="14" t="s">
        <v>61</v>
      </c>
      <c r="D1009" s="14" t="s">
        <v>46</v>
      </c>
      <c r="E1009" s="14" t="s">
        <v>3650</v>
      </c>
      <c r="F1009" s="9" t="s">
        <v>64</v>
      </c>
      <c r="G1009" s="9" t="b">
        <v>0</v>
      </c>
      <c r="I1009" s="9">
        <v>1.0</v>
      </c>
      <c r="J1009" s="9">
        <v>0.0</v>
      </c>
      <c r="K1009" s="9">
        <v>1.0</v>
      </c>
    </row>
    <row r="1010">
      <c r="A1010" s="7" t="s">
        <v>3651</v>
      </c>
      <c r="B1010" s="13" t="s">
        <v>1727</v>
      </c>
      <c r="C1010" s="14" t="s">
        <v>34</v>
      </c>
      <c r="D1010" s="14" t="s">
        <v>270</v>
      </c>
      <c r="E1010" s="14" t="s">
        <v>3652</v>
      </c>
      <c r="F1010" s="9" t="s">
        <v>37</v>
      </c>
      <c r="G1010" s="9" t="b">
        <v>0</v>
      </c>
      <c r="H1010" s="9" t="s">
        <v>720</v>
      </c>
      <c r="I1010" s="9">
        <v>1.0</v>
      </c>
      <c r="J1010" s="9">
        <v>0.0</v>
      </c>
      <c r="K1010" s="9">
        <v>1.0</v>
      </c>
    </row>
    <row r="1011">
      <c r="A1011" s="7" t="s">
        <v>3653</v>
      </c>
      <c r="B1011" s="13" t="s">
        <v>1729</v>
      </c>
      <c r="C1011" s="14" t="s">
        <v>144</v>
      </c>
      <c r="D1011" s="14" t="s">
        <v>169</v>
      </c>
      <c r="E1011" s="14" t="s">
        <v>3654</v>
      </c>
      <c r="F1011" s="9" t="s">
        <v>147</v>
      </c>
      <c r="G1011" s="9" t="b">
        <v>0</v>
      </c>
      <c r="I1011" s="9">
        <v>1.0</v>
      </c>
      <c r="J1011" s="9">
        <v>0.0</v>
      </c>
      <c r="K1011" s="9">
        <v>0.0</v>
      </c>
    </row>
    <row r="1012">
      <c r="A1012" s="7" t="s">
        <v>3655</v>
      </c>
      <c r="B1012" s="13" t="s">
        <v>1731</v>
      </c>
      <c r="C1012" s="14" t="s">
        <v>521</v>
      </c>
      <c r="D1012" s="14" t="s">
        <v>46</v>
      </c>
      <c r="E1012" s="14" t="s">
        <v>3656</v>
      </c>
      <c r="F1012" s="9" t="s">
        <v>523</v>
      </c>
      <c r="G1012" s="9" t="b">
        <v>0</v>
      </c>
      <c r="I1012" s="9">
        <v>1.0</v>
      </c>
      <c r="J1012" s="9">
        <v>0.0</v>
      </c>
      <c r="K1012" s="9">
        <v>0.0</v>
      </c>
    </row>
    <row r="1013">
      <c r="A1013" s="7" t="s">
        <v>3657</v>
      </c>
      <c r="B1013" s="14" t="s">
        <v>1733</v>
      </c>
      <c r="C1013" s="14" t="s">
        <v>169</v>
      </c>
      <c r="D1013" s="14" t="s">
        <v>46</v>
      </c>
      <c r="E1013" s="14" t="s">
        <v>3658</v>
      </c>
      <c r="F1013" s="9" t="s">
        <v>94</v>
      </c>
      <c r="G1013" s="9" t="b">
        <v>0</v>
      </c>
      <c r="I1013" s="9">
        <v>1.0</v>
      </c>
      <c r="J1013" s="9">
        <v>0.0</v>
      </c>
      <c r="K1013" s="9">
        <v>1.0</v>
      </c>
    </row>
    <row r="1014">
      <c r="A1014" s="7" t="s">
        <v>3659</v>
      </c>
      <c r="B1014" s="13" t="s">
        <v>1055</v>
      </c>
      <c r="C1014" s="14" t="s">
        <v>1203</v>
      </c>
      <c r="D1014" s="14" t="s">
        <v>46</v>
      </c>
      <c r="E1014" s="14" t="s">
        <v>3660</v>
      </c>
      <c r="F1014" s="9" t="s">
        <v>1205</v>
      </c>
      <c r="G1014" s="9" t="b">
        <v>0</v>
      </c>
      <c r="I1014" s="9">
        <v>1.0</v>
      </c>
      <c r="J1014" s="9">
        <v>0.0</v>
      </c>
      <c r="K1014" s="9">
        <v>1.0</v>
      </c>
    </row>
    <row r="1015">
      <c r="A1015" s="7" t="s">
        <v>3661</v>
      </c>
      <c r="B1015" s="13" t="s">
        <v>1734</v>
      </c>
      <c r="C1015" s="14" t="s">
        <v>144</v>
      </c>
      <c r="D1015" s="14" t="s">
        <v>46</v>
      </c>
      <c r="E1015" s="14" t="s">
        <v>3662</v>
      </c>
      <c r="F1015" s="9" t="s">
        <v>147</v>
      </c>
      <c r="G1015" s="9" t="b">
        <v>0</v>
      </c>
      <c r="I1015" s="9">
        <v>1.0</v>
      </c>
      <c r="J1015" s="9">
        <v>0.0</v>
      </c>
      <c r="K1015" s="9">
        <v>3.0</v>
      </c>
    </row>
    <row r="1016">
      <c r="A1016" s="7" t="s">
        <v>3663</v>
      </c>
      <c r="B1016" s="13" t="s">
        <v>1739</v>
      </c>
      <c r="C1016" s="14" t="s">
        <v>1203</v>
      </c>
      <c r="D1016" s="14" t="s">
        <v>46</v>
      </c>
      <c r="E1016" s="14" t="s">
        <v>3664</v>
      </c>
      <c r="F1016" s="9" t="s">
        <v>1205</v>
      </c>
      <c r="G1016" s="9" t="b">
        <v>0</v>
      </c>
      <c r="I1016" s="9">
        <v>1.0</v>
      </c>
      <c r="J1016" s="9">
        <v>0.0</v>
      </c>
      <c r="K1016" s="9">
        <v>1.0</v>
      </c>
    </row>
    <row r="1017">
      <c r="A1017" s="7" t="s">
        <v>3665</v>
      </c>
      <c r="B1017" s="13" t="s">
        <v>1740</v>
      </c>
      <c r="C1017" s="14" t="s">
        <v>144</v>
      </c>
      <c r="D1017" s="14" t="s">
        <v>46</v>
      </c>
      <c r="E1017" s="14" t="s">
        <v>3666</v>
      </c>
      <c r="F1017" s="9" t="s">
        <v>147</v>
      </c>
      <c r="G1017" s="9" t="b">
        <v>0</v>
      </c>
      <c r="I1017" s="9">
        <v>1.0</v>
      </c>
      <c r="J1017" s="9">
        <v>0.0</v>
      </c>
      <c r="K1017" s="9">
        <v>0.0</v>
      </c>
    </row>
    <row r="1018">
      <c r="A1018" s="7" t="s">
        <v>3667</v>
      </c>
      <c r="B1018" s="13" t="s">
        <v>254</v>
      </c>
      <c r="C1018" s="14" t="s">
        <v>61</v>
      </c>
      <c r="D1018" s="14" t="s">
        <v>35</v>
      </c>
      <c r="E1018" s="14" t="s">
        <v>3668</v>
      </c>
      <c r="F1018" s="9" t="s">
        <v>64</v>
      </c>
      <c r="G1018" s="9" t="b">
        <v>0</v>
      </c>
      <c r="H1018" s="9" t="s">
        <v>573</v>
      </c>
      <c r="I1018" s="9">
        <v>1.0</v>
      </c>
      <c r="J1018" s="9">
        <v>0.0</v>
      </c>
      <c r="K1018" s="9">
        <v>2.0</v>
      </c>
    </row>
    <row r="1019">
      <c r="A1019" s="7" t="s">
        <v>3669</v>
      </c>
      <c r="B1019" s="13" t="s">
        <v>1742</v>
      </c>
      <c r="C1019" s="14" t="s">
        <v>521</v>
      </c>
      <c r="D1019" s="14" t="s">
        <v>35</v>
      </c>
      <c r="E1019" s="14" t="s">
        <v>3670</v>
      </c>
      <c r="F1019" s="9" t="s">
        <v>523</v>
      </c>
      <c r="G1019" s="9" t="b">
        <v>0</v>
      </c>
      <c r="H1019" s="9" t="s">
        <v>3671</v>
      </c>
      <c r="I1019" s="9">
        <v>1.0</v>
      </c>
      <c r="J1019" s="9">
        <v>0.0</v>
      </c>
      <c r="K1019" s="9">
        <v>1.0</v>
      </c>
    </row>
    <row r="1020">
      <c r="A1020" s="7" t="s">
        <v>3672</v>
      </c>
      <c r="B1020" s="13" t="s">
        <v>1742</v>
      </c>
      <c r="C1020" s="14" t="s">
        <v>169</v>
      </c>
      <c r="D1020" s="14" t="s">
        <v>35</v>
      </c>
      <c r="E1020" s="14" t="s">
        <v>3673</v>
      </c>
      <c r="F1020" s="9" t="s">
        <v>94</v>
      </c>
      <c r="G1020" s="9" t="b">
        <v>0</v>
      </c>
      <c r="H1020" s="9" t="s">
        <v>467</v>
      </c>
      <c r="I1020" s="9">
        <v>1.0</v>
      </c>
      <c r="J1020" s="9">
        <v>0.0</v>
      </c>
      <c r="K1020" s="9">
        <v>1.0</v>
      </c>
    </row>
    <row r="1021">
      <c r="A1021" s="7" t="s">
        <v>3674</v>
      </c>
      <c r="B1021" s="13" t="s">
        <v>1746</v>
      </c>
      <c r="C1021" s="14" t="s">
        <v>169</v>
      </c>
      <c r="D1021" s="14" t="s">
        <v>46</v>
      </c>
      <c r="E1021" s="14" t="s">
        <v>3675</v>
      </c>
      <c r="F1021" s="9" t="s">
        <v>94</v>
      </c>
      <c r="G1021" s="9" t="b">
        <v>0</v>
      </c>
      <c r="I1021" s="9">
        <v>1.0</v>
      </c>
      <c r="J1021" s="9">
        <v>0.0</v>
      </c>
      <c r="K1021" s="9">
        <v>0.0</v>
      </c>
    </row>
    <row r="1022">
      <c r="A1022" s="7" t="s">
        <v>3676</v>
      </c>
      <c r="B1022" s="13" t="s">
        <v>1747</v>
      </c>
      <c r="C1022" s="14" t="s">
        <v>61</v>
      </c>
      <c r="D1022" s="14" t="s">
        <v>46</v>
      </c>
      <c r="E1022" s="14" t="s">
        <v>3677</v>
      </c>
      <c r="F1022" s="9" t="s">
        <v>64</v>
      </c>
      <c r="G1022" s="9" t="b">
        <v>0</v>
      </c>
      <c r="H1022" s="9" t="s">
        <v>1749</v>
      </c>
      <c r="I1022" s="9">
        <v>1.0</v>
      </c>
      <c r="J1022" s="9">
        <v>0.0</v>
      </c>
      <c r="K1022" s="9">
        <v>0.0</v>
      </c>
    </row>
    <row r="1023">
      <c r="A1023" s="7" t="s">
        <v>3678</v>
      </c>
      <c r="B1023" s="13" t="s">
        <v>1751</v>
      </c>
      <c r="C1023" s="14" t="s">
        <v>34</v>
      </c>
      <c r="D1023" s="14" t="s">
        <v>46</v>
      </c>
      <c r="E1023" s="14" t="s">
        <v>3679</v>
      </c>
      <c r="F1023" s="9" t="s">
        <v>37</v>
      </c>
      <c r="G1023" s="9" t="b">
        <v>0</v>
      </c>
      <c r="H1023" s="9" t="s">
        <v>3680</v>
      </c>
      <c r="I1023" s="9">
        <v>1.0</v>
      </c>
      <c r="J1023" s="9">
        <v>0.0</v>
      </c>
      <c r="K1023" s="9">
        <v>1.0</v>
      </c>
    </row>
    <row r="1024">
      <c r="A1024" s="7" t="s">
        <v>3681</v>
      </c>
      <c r="B1024" s="13" t="s">
        <v>838</v>
      </c>
      <c r="C1024" s="14" t="s">
        <v>169</v>
      </c>
      <c r="D1024" s="14" t="s">
        <v>46</v>
      </c>
      <c r="E1024" s="14" t="s">
        <v>3682</v>
      </c>
      <c r="F1024" s="9" t="s">
        <v>94</v>
      </c>
      <c r="G1024" s="9" t="b">
        <v>0</v>
      </c>
      <c r="I1024" s="9">
        <v>1.0</v>
      </c>
      <c r="J1024" s="9">
        <v>0.0</v>
      </c>
      <c r="K1024" s="9">
        <v>0.0</v>
      </c>
    </row>
    <row r="1025">
      <c r="A1025" s="7" t="s">
        <v>3683</v>
      </c>
      <c r="B1025" s="13" t="s">
        <v>1754</v>
      </c>
      <c r="C1025" s="14" t="s">
        <v>144</v>
      </c>
      <c r="D1025" s="14" t="s">
        <v>46</v>
      </c>
      <c r="E1025" s="14" t="s">
        <v>3684</v>
      </c>
      <c r="F1025" s="9" t="s">
        <v>147</v>
      </c>
      <c r="G1025" s="9" t="b">
        <v>0</v>
      </c>
      <c r="I1025" s="9">
        <v>1.0</v>
      </c>
      <c r="J1025" s="9">
        <v>0.0</v>
      </c>
      <c r="K1025" s="9">
        <v>2.0</v>
      </c>
    </row>
    <row r="1026">
      <c r="A1026" s="7" t="s">
        <v>3685</v>
      </c>
      <c r="B1026" s="13" t="s">
        <v>1759</v>
      </c>
      <c r="C1026" s="14" t="s">
        <v>1203</v>
      </c>
      <c r="D1026" s="14" t="s">
        <v>270</v>
      </c>
      <c r="E1026" s="14" t="s">
        <v>3686</v>
      </c>
      <c r="F1026" s="9" t="s">
        <v>1205</v>
      </c>
      <c r="G1026" s="9" t="b">
        <v>0</v>
      </c>
      <c r="H1026" s="9" t="s">
        <v>3687</v>
      </c>
      <c r="I1026" s="9">
        <v>1.0</v>
      </c>
      <c r="J1026" s="9">
        <v>0.0</v>
      </c>
      <c r="K1026" s="9">
        <v>0.0</v>
      </c>
    </row>
    <row r="1027">
      <c r="A1027" s="7" t="s">
        <v>3688</v>
      </c>
      <c r="B1027" s="13" t="s">
        <v>819</v>
      </c>
      <c r="C1027" s="14" t="s">
        <v>169</v>
      </c>
      <c r="D1027" s="14" t="s">
        <v>169</v>
      </c>
      <c r="E1027" s="15"/>
      <c r="F1027" s="9" t="s">
        <v>94</v>
      </c>
      <c r="H1027" s="9" t="s">
        <v>172</v>
      </c>
      <c r="I1027" s="9">
        <v>1.0</v>
      </c>
      <c r="J1027" s="9">
        <v>0.0</v>
      </c>
      <c r="K1027" s="9">
        <v>4.0</v>
      </c>
    </row>
    <row r="1028">
      <c r="A1028" s="7" t="s">
        <v>3689</v>
      </c>
      <c r="B1028" s="13" t="s">
        <v>3690</v>
      </c>
      <c r="C1028" s="14" t="s">
        <v>144</v>
      </c>
      <c r="D1028" s="14" t="s">
        <v>46</v>
      </c>
      <c r="E1028" s="14" t="s">
        <v>3691</v>
      </c>
      <c r="F1028" s="9" t="s">
        <v>147</v>
      </c>
      <c r="G1028" s="9" t="b">
        <v>0</v>
      </c>
      <c r="H1028" s="9" t="s">
        <v>720</v>
      </c>
      <c r="I1028" s="9">
        <v>1.0</v>
      </c>
      <c r="J1028" s="9">
        <v>0.0</v>
      </c>
      <c r="K1028" s="9">
        <v>0.0</v>
      </c>
    </row>
    <row r="1029">
      <c r="A1029" s="7" t="s">
        <v>3692</v>
      </c>
      <c r="B1029" s="13" t="s">
        <v>2425</v>
      </c>
      <c r="C1029" s="14" t="s">
        <v>23</v>
      </c>
      <c r="D1029" s="14" t="s">
        <v>46</v>
      </c>
      <c r="E1029" s="14" t="s">
        <v>3693</v>
      </c>
      <c r="F1029" s="9" t="s">
        <v>27</v>
      </c>
      <c r="G1029" s="9" t="b">
        <v>0</v>
      </c>
      <c r="H1029" s="9" t="s">
        <v>2427</v>
      </c>
      <c r="I1029" s="9">
        <v>1.0</v>
      </c>
      <c r="J1029" s="9">
        <v>0.0</v>
      </c>
      <c r="K1029" s="9">
        <v>1.0</v>
      </c>
    </row>
    <row r="1030">
      <c r="A1030" s="7" t="s">
        <v>3694</v>
      </c>
      <c r="B1030" s="13" t="s">
        <v>268</v>
      </c>
      <c r="C1030" s="14" t="s">
        <v>169</v>
      </c>
      <c r="D1030" s="14" t="s">
        <v>169</v>
      </c>
      <c r="E1030" s="14" t="s">
        <v>3695</v>
      </c>
      <c r="F1030" s="9" t="s">
        <v>94</v>
      </c>
      <c r="G1030" s="9" t="b">
        <v>0</v>
      </c>
      <c r="I1030" s="9">
        <v>1.0</v>
      </c>
      <c r="J1030" s="9">
        <v>0.0</v>
      </c>
      <c r="K1030" s="9">
        <v>1.0</v>
      </c>
    </row>
    <row r="1031">
      <c r="A1031" s="7" t="s">
        <v>3696</v>
      </c>
      <c r="B1031" s="13" t="s">
        <v>1761</v>
      </c>
      <c r="C1031" s="14" t="s">
        <v>34</v>
      </c>
      <c r="D1031" s="14" t="s">
        <v>46</v>
      </c>
      <c r="E1031" s="14" t="s">
        <v>3697</v>
      </c>
      <c r="F1031" s="9" t="s">
        <v>37</v>
      </c>
      <c r="G1031" s="9" t="b">
        <v>0</v>
      </c>
      <c r="I1031" s="9">
        <v>1.0</v>
      </c>
      <c r="J1031" s="9">
        <v>0.0</v>
      </c>
      <c r="K1031" s="9">
        <v>0.0</v>
      </c>
    </row>
    <row r="1032">
      <c r="A1032" s="7" t="s">
        <v>3698</v>
      </c>
      <c r="B1032" s="13" t="s">
        <v>1768</v>
      </c>
      <c r="C1032" s="14" t="s">
        <v>169</v>
      </c>
      <c r="D1032" s="14" t="s">
        <v>46</v>
      </c>
      <c r="E1032" s="14" t="s">
        <v>3699</v>
      </c>
      <c r="F1032" s="9" t="s">
        <v>94</v>
      </c>
      <c r="G1032" s="9" t="b">
        <v>0</v>
      </c>
      <c r="I1032" s="9">
        <v>1.0</v>
      </c>
      <c r="J1032" s="9">
        <v>0.0</v>
      </c>
      <c r="K1032" s="9">
        <v>1.0</v>
      </c>
    </row>
    <row r="1033">
      <c r="A1033" s="7" t="s">
        <v>3700</v>
      </c>
      <c r="B1033" s="13" t="s">
        <v>1769</v>
      </c>
      <c r="C1033" s="14" t="s">
        <v>521</v>
      </c>
      <c r="D1033" s="14" t="s">
        <v>46</v>
      </c>
      <c r="E1033" s="14" t="s">
        <v>3701</v>
      </c>
      <c r="F1033" s="9" t="s">
        <v>523</v>
      </c>
      <c r="G1033" s="9" t="b">
        <v>0</v>
      </c>
      <c r="H1033" s="9" t="s">
        <v>188</v>
      </c>
      <c r="I1033" s="9">
        <v>1.0</v>
      </c>
      <c r="J1033" s="9">
        <v>0.0</v>
      </c>
      <c r="K1033" s="9">
        <v>0.0</v>
      </c>
    </row>
    <row r="1034">
      <c r="A1034" s="7" t="s">
        <v>3702</v>
      </c>
      <c r="B1034" s="13" t="s">
        <v>1773</v>
      </c>
      <c r="C1034" s="14" t="s">
        <v>169</v>
      </c>
      <c r="D1034" s="14" t="s">
        <v>46</v>
      </c>
      <c r="E1034" s="14" t="s">
        <v>3703</v>
      </c>
      <c r="F1034" s="9" t="s">
        <v>94</v>
      </c>
      <c r="G1034" s="9" t="b">
        <v>0</v>
      </c>
      <c r="I1034" s="9">
        <v>1.0</v>
      </c>
      <c r="J1034" s="9">
        <v>0.0</v>
      </c>
      <c r="K1034" s="9">
        <v>1.0</v>
      </c>
    </row>
    <row r="1035">
      <c r="A1035" s="7" t="s">
        <v>3704</v>
      </c>
      <c r="B1035" s="13" t="s">
        <v>1776</v>
      </c>
      <c r="C1035" s="14" t="s">
        <v>1203</v>
      </c>
      <c r="D1035" s="14" t="s">
        <v>46</v>
      </c>
      <c r="E1035" s="14" t="s">
        <v>3705</v>
      </c>
      <c r="F1035" s="9" t="s">
        <v>1205</v>
      </c>
      <c r="G1035" s="9" t="b">
        <v>0</v>
      </c>
      <c r="H1035" s="9" t="s">
        <v>188</v>
      </c>
      <c r="I1035" s="9">
        <v>1.0</v>
      </c>
      <c r="J1035" s="9">
        <v>0.0</v>
      </c>
      <c r="K1035" s="9">
        <v>1.0</v>
      </c>
    </row>
    <row r="1036">
      <c r="A1036" s="7" t="s">
        <v>3706</v>
      </c>
      <c r="B1036" s="13" t="s">
        <v>1779</v>
      </c>
      <c r="C1036" s="14" t="s">
        <v>144</v>
      </c>
      <c r="D1036" s="14" t="s">
        <v>46</v>
      </c>
      <c r="E1036" s="14" t="s">
        <v>3707</v>
      </c>
      <c r="F1036" s="9" t="s">
        <v>147</v>
      </c>
      <c r="G1036" s="9" t="b">
        <v>0</v>
      </c>
      <c r="H1036" s="9" t="s">
        <v>482</v>
      </c>
      <c r="I1036" s="9">
        <v>1.0</v>
      </c>
      <c r="J1036" s="9">
        <v>0.0</v>
      </c>
      <c r="K1036" s="9">
        <v>0.0</v>
      </c>
    </row>
    <row r="1037">
      <c r="A1037" s="7" t="s">
        <v>3708</v>
      </c>
      <c r="B1037" s="13" t="s">
        <v>1782</v>
      </c>
      <c r="C1037" s="14" t="s">
        <v>34</v>
      </c>
      <c r="D1037" s="14" t="s">
        <v>62</v>
      </c>
      <c r="E1037" s="14" t="s">
        <v>3709</v>
      </c>
      <c r="F1037" s="9" t="s">
        <v>37</v>
      </c>
      <c r="G1037" s="9" t="b">
        <v>0</v>
      </c>
      <c r="I1037" s="9">
        <v>1.0</v>
      </c>
      <c r="J1037" s="9">
        <v>0.0</v>
      </c>
      <c r="K1037" s="9">
        <v>1.0</v>
      </c>
    </row>
    <row r="1038">
      <c r="A1038" s="7" t="s">
        <v>3710</v>
      </c>
      <c r="B1038" s="13" t="s">
        <v>1786</v>
      </c>
      <c r="C1038" s="14" t="s">
        <v>521</v>
      </c>
      <c r="D1038" s="14" t="s">
        <v>46</v>
      </c>
      <c r="E1038" s="14" t="s">
        <v>3711</v>
      </c>
      <c r="F1038" s="9" t="s">
        <v>523</v>
      </c>
      <c r="G1038" s="9" t="b">
        <v>0</v>
      </c>
      <c r="H1038" s="9" t="s">
        <v>188</v>
      </c>
      <c r="I1038" s="9">
        <v>1.0</v>
      </c>
      <c r="J1038" s="9">
        <v>0.0</v>
      </c>
      <c r="K1038" s="9">
        <v>0.0</v>
      </c>
    </row>
    <row r="1039">
      <c r="A1039" s="7" t="s">
        <v>3712</v>
      </c>
      <c r="B1039" s="13" t="s">
        <v>1790</v>
      </c>
      <c r="C1039" s="14" t="s">
        <v>169</v>
      </c>
      <c r="D1039" s="14" t="s">
        <v>25</v>
      </c>
      <c r="E1039" s="14" t="s">
        <v>3713</v>
      </c>
      <c r="F1039" s="9" t="s">
        <v>94</v>
      </c>
      <c r="G1039" s="9" t="b">
        <v>0</v>
      </c>
      <c r="H1039" s="9" t="s">
        <v>482</v>
      </c>
      <c r="I1039" s="9">
        <v>1.0</v>
      </c>
      <c r="J1039" s="9">
        <v>0.0</v>
      </c>
      <c r="K1039" s="9">
        <v>0.0</v>
      </c>
    </row>
    <row r="1040">
      <c r="A1040" s="7" t="s">
        <v>3714</v>
      </c>
      <c r="B1040" s="13" t="s">
        <v>840</v>
      </c>
      <c r="C1040" s="14" t="s">
        <v>61</v>
      </c>
      <c r="D1040" s="14" t="s">
        <v>25</v>
      </c>
      <c r="E1040" s="14" t="s">
        <v>3715</v>
      </c>
      <c r="F1040" s="9" t="s">
        <v>64</v>
      </c>
      <c r="G1040" s="9" t="b">
        <v>0</v>
      </c>
      <c r="I1040" s="9">
        <v>1.0</v>
      </c>
      <c r="J1040" s="9">
        <v>0.0</v>
      </c>
      <c r="K1040" s="9">
        <v>0.0</v>
      </c>
    </row>
    <row r="1041">
      <c r="A1041" s="7" t="s">
        <v>3716</v>
      </c>
      <c r="B1041" s="14" t="s">
        <v>893</v>
      </c>
      <c r="C1041" s="14" t="s">
        <v>34</v>
      </c>
      <c r="D1041" s="14" t="s">
        <v>46</v>
      </c>
      <c r="E1041" s="14" t="s">
        <v>3717</v>
      </c>
      <c r="F1041" s="9" t="s">
        <v>37</v>
      </c>
      <c r="G1041" s="9" t="b">
        <v>0</v>
      </c>
      <c r="H1041" s="9" t="s">
        <v>3718</v>
      </c>
      <c r="I1041" s="9">
        <v>1.0</v>
      </c>
      <c r="J1041" s="9">
        <v>0.0</v>
      </c>
      <c r="K1041" s="9">
        <v>1.0</v>
      </c>
    </row>
    <row r="1042">
      <c r="A1042" s="7" t="s">
        <v>3719</v>
      </c>
      <c r="B1042" s="14" t="s">
        <v>893</v>
      </c>
      <c r="C1042" s="14" t="s">
        <v>34</v>
      </c>
      <c r="D1042" s="14" t="s">
        <v>46</v>
      </c>
      <c r="E1042" s="14" t="s">
        <v>3720</v>
      </c>
      <c r="F1042" s="9" t="s">
        <v>37</v>
      </c>
      <c r="G1042" s="9" t="b">
        <v>0</v>
      </c>
      <c r="H1042" s="9" t="s">
        <v>3721</v>
      </c>
      <c r="I1042" s="9">
        <v>1.0</v>
      </c>
      <c r="J1042" s="9">
        <v>0.0</v>
      </c>
      <c r="K1042" s="9">
        <v>1.0</v>
      </c>
    </row>
    <row r="1043">
      <c r="A1043" s="7" t="s">
        <v>3722</v>
      </c>
      <c r="B1043" s="14" t="s">
        <v>893</v>
      </c>
      <c r="C1043" s="14" t="s">
        <v>309</v>
      </c>
      <c r="D1043" s="14" t="s">
        <v>46</v>
      </c>
      <c r="E1043" s="14" t="s">
        <v>3723</v>
      </c>
      <c r="F1043" s="9" t="s">
        <v>311</v>
      </c>
      <c r="G1043" s="9" t="b">
        <v>0</v>
      </c>
      <c r="H1043" s="9" t="s">
        <v>3724</v>
      </c>
      <c r="I1043" s="9">
        <v>1.0</v>
      </c>
      <c r="J1043" s="9">
        <v>0.0</v>
      </c>
      <c r="K1043" s="9">
        <v>1.0</v>
      </c>
    </row>
    <row r="1044">
      <c r="A1044" s="7" t="s">
        <v>3725</v>
      </c>
      <c r="B1044" s="13" t="s">
        <v>1793</v>
      </c>
      <c r="C1044" s="14" t="s">
        <v>521</v>
      </c>
      <c r="D1044" s="14" t="s">
        <v>46</v>
      </c>
      <c r="E1044" s="14" t="s">
        <v>3726</v>
      </c>
      <c r="F1044" s="9" t="s">
        <v>523</v>
      </c>
      <c r="G1044" s="9" t="b">
        <v>0</v>
      </c>
      <c r="I1044" s="9">
        <v>1.0</v>
      </c>
      <c r="J1044" s="9">
        <v>0.0</v>
      </c>
      <c r="K1044" s="9">
        <v>0.0</v>
      </c>
    </row>
    <row r="1045">
      <c r="A1045" s="7" t="s">
        <v>3727</v>
      </c>
      <c r="B1045" s="13" t="s">
        <v>1008</v>
      </c>
      <c r="C1045" s="14" t="s">
        <v>34</v>
      </c>
      <c r="D1045" s="14" t="s">
        <v>46</v>
      </c>
      <c r="E1045" s="14" t="s">
        <v>3728</v>
      </c>
      <c r="F1045" s="9" t="s">
        <v>37</v>
      </c>
      <c r="G1045" s="9" t="b">
        <v>0</v>
      </c>
      <c r="H1045" s="9" t="s">
        <v>482</v>
      </c>
      <c r="I1045" s="9">
        <v>1.0</v>
      </c>
      <c r="J1045" s="9">
        <v>0.0</v>
      </c>
      <c r="K1045" s="9">
        <v>0.0</v>
      </c>
    </row>
    <row r="1046">
      <c r="A1046" s="7" t="s">
        <v>3729</v>
      </c>
      <c r="B1046" s="13" t="s">
        <v>1795</v>
      </c>
      <c r="C1046" s="14" t="s">
        <v>34</v>
      </c>
      <c r="D1046" s="14" t="s">
        <v>46</v>
      </c>
      <c r="E1046" s="14" t="s">
        <v>3730</v>
      </c>
      <c r="F1046" s="9" t="s">
        <v>37</v>
      </c>
      <c r="G1046" s="9" t="b">
        <v>0</v>
      </c>
      <c r="H1046" s="9" t="s">
        <v>3731</v>
      </c>
      <c r="I1046" s="9">
        <v>1.0</v>
      </c>
      <c r="J1046" s="9">
        <v>0.0</v>
      </c>
      <c r="K1046" s="9">
        <v>0.0</v>
      </c>
    </row>
    <row r="1047">
      <c r="A1047" s="7" t="s">
        <v>3732</v>
      </c>
      <c r="B1047" s="13" t="s">
        <v>1798</v>
      </c>
      <c r="C1047" s="14" t="s">
        <v>3391</v>
      </c>
      <c r="D1047" s="14" t="s">
        <v>169</v>
      </c>
      <c r="E1047" s="14" t="s">
        <v>3733</v>
      </c>
      <c r="F1047" s="9" t="s">
        <v>3393</v>
      </c>
      <c r="G1047" s="9" t="b">
        <v>0</v>
      </c>
      <c r="H1047" s="9" t="s">
        <v>201</v>
      </c>
      <c r="I1047" s="9">
        <v>1.0</v>
      </c>
      <c r="J1047" s="9">
        <v>0.0</v>
      </c>
      <c r="K1047" s="9">
        <v>1.0</v>
      </c>
    </row>
    <row r="1048">
      <c r="A1048" s="7" t="s">
        <v>3734</v>
      </c>
      <c r="B1048" s="13" t="s">
        <v>1801</v>
      </c>
      <c r="C1048" s="14" t="s">
        <v>34</v>
      </c>
      <c r="D1048" s="14" t="s">
        <v>46</v>
      </c>
      <c r="E1048" s="14" t="s">
        <v>3735</v>
      </c>
      <c r="F1048" s="9" t="s">
        <v>37</v>
      </c>
      <c r="G1048" s="9" t="b">
        <v>0</v>
      </c>
      <c r="I1048" s="9">
        <v>1.0</v>
      </c>
      <c r="J1048" s="9">
        <v>0.0</v>
      </c>
      <c r="K1048" s="9">
        <v>0.0</v>
      </c>
    </row>
    <row r="1049">
      <c r="A1049" s="7" t="s">
        <v>3736</v>
      </c>
      <c r="B1049" s="13" t="s">
        <v>1802</v>
      </c>
      <c r="C1049" s="14" t="s">
        <v>1203</v>
      </c>
      <c r="D1049" s="14" t="s">
        <v>46</v>
      </c>
      <c r="E1049" s="14" t="s">
        <v>3737</v>
      </c>
      <c r="F1049" s="9" t="s">
        <v>1205</v>
      </c>
      <c r="G1049" s="9" t="b">
        <v>0</v>
      </c>
      <c r="I1049" s="9">
        <v>1.0</v>
      </c>
      <c r="J1049" s="9">
        <v>0.0</v>
      </c>
      <c r="K1049" s="9">
        <v>0.0</v>
      </c>
    </row>
    <row r="1050">
      <c r="A1050" s="7" t="s">
        <v>3738</v>
      </c>
      <c r="B1050" s="13" t="s">
        <v>1806</v>
      </c>
      <c r="C1050" s="14" t="s">
        <v>144</v>
      </c>
      <c r="D1050" s="14" t="s">
        <v>46</v>
      </c>
      <c r="E1050" s="14" t="s">
        <v>3739</v>
      </c>
      <c r="F1050" s="9" t="s">
        <v>147</v>
      </c>
      <c r="G1050" s="9" t="b">
        <v>0</v>
      </c>
      <c r="H1050" s="9" t="s">
        <v>552</v>
      </c>
      <c r="I1050" s="9">
        <v>1.0</v>
      </c>
      <c r="J1050" s="9">
        <v>0.0</v>
      </c>
      <c r="K1050" s="9">
        <v>0.0</v>
      </c>
    </row>
    <row r="1051">
      <c r="A1051" s="7" t="s">
        <v>3740</v>
      </c>
      <c r="B1051" s="13" t="s">
        <v>1067</v>
      </c>
      <c r="C1051" s="14" t="s">
        <v>1203</v>
      </c>
      <c r="D1051" s="14" t="s">
        <v>270</v>
      </c>
      <c r="E1051" s="14" t="s">
        <v>2920</v>
      </c>
      <c r="F1051" s="9" t="s">
        <v>1205</v>
      </c>
      <c r="G1051" s="9" t="b">
        <v>0</v>
      </c>
      <c r="H1051" s="9" t="s">
        <v>1070</v>
      </c>
      <c r="I1051" s="9">
        <v>1.0</v>
      </c>
      <c r="J1051" s="9">
        <v>0.0</v>
      </c>
      <c r="K1051" s="9">
        <v>1.0</v>
      </c>
    </row>
    <row r="1052">
      <c r="A1052" s="7" t="s">
        <v>3741</v>
      </c>
      <c r="B1052" s="13" t="s">
        <v>726</v>
      </c>
      <c r="C1052" s="14" t="s">
        <v>61</v>
      </c>
      <c r="D1052" s="14" t="s">
        <v>46</v>
      </c>
      <c r="E1052" s="14" t="s">
        <v>3742</v>
      </c>
      <c r="F1052" s="9" t="s">
        <v>64</v>
      </c>
      <c r="G1052" s="9" t="b">
        <v>0</v>
      </c>
      <c r="H1052" s="9" t="s">
        <v>482</v>
      </c>
      <c r="I1052" s="9">
        <v>1.0</v>
      </c>
      <c r="J1052" s="9">
        <v>0.0</v>
      </c>
      <c r="K1052" s="9">
        <v>1.0</v>
      </c>
    </row>
    <row r="1053">
      <c r="A1053" s="7" t="s">
        <v>3743</v>
      </c>
      <c r="B1053" s="13" t="s">
        <v>726</v>
      </c>
      <c r="C1053" s="14" t="s">
        <v>23</v>
      </c>
      <c r="D1053" s="14" t="s">
        <v>46</v>
      </c>
      <c r="E1053" s="14" t="s">
        <v>3744</v>
      </c>
      <c r="F1053" s="9" t="s">
        <v>27</v>
      </c>
      <c r="G1053" s="9" t="b">
        <v>0</v>
      </c>
      <c r="I1053" s="9">
        <v>1.0</v>
      </c>
      <c r="J1053" s="9">
        <v>0.0</v>
      </c>
      <c r="K1053" s="9">
        <v>0.0</v>
      </c>
    </row>
    <row r="1054">
      <c r="A1054" s="7" t="s">
        <v>3745</v>
      </c>
      <c r="B1054" s="13" t="s">
        <v>1811</v>
      </c>
      <c r="C1054" s="14" t="s">
        <v>521</v>
      </c>
      <c r="D1054" s="14" t="s">
        <v>46</v>
      </c>
      <c r="E1054" s="14" t="s">
        <v>3746</v>
      </c>
      <c r="F1054" s="9" t="s">
        <v>523</v>
      </c>
      <c r="G1054" s="9" t="b">
        <v>0</v>
      </c>
      <c r="H1054" s="9" t="s">
        <v>720</v>
      </c>
      <c r="I1054" s="9">
        <v>1.0</v>
      </c>
      <c r="J1054" s="9">
        <v>0.0</v>
      </c>
      <c r="K1054" s="9">
        <v>1.0</v>
      </c>
    </row>
    <row r="1055">
      <c r="A1055" s="7" t="s">
        <v>3747</v>
      </c>
      <c r="B1055" s="13" t="s">
        <v>259</v>
      </c>
      <c r="C1055" s="14" t="s">
        <v>144</v>
      </c>
      <c r="D1055" s="14" t="s">
        <v>35</v>
      </c>
      <c r="E1055" s="14" t="s">
        <v>3748</v>
      </c>
      <c r="F1055" s="9" t="s">
        <v>147</v>
      </c>
      <c r="G1055" s="9" t="b">
        <v>0</v>
      </c>
      <c r="H1055" s="9" t="s">
        <v>260</v>
      </c>
      <c r="I1055" s="9">
        <v>1.0</v>
      </c>
      <c r="J1055" s="9">
        <v>0.0</v>
      </c>
      <c r="K1055" s="9">
        <v>1.0</v>
      </c>
    </row>
    <row r="1056">
      <c r="A1056" s="7" t="s">
        <v>3749</v>
      </c>
      <c r="B1056" s="13" t="s">
        <v>259</v>
      </c>
      <c r="C1056" s="14" t="s">
        <v>169</v>
      </c>
      <c r="D1056" s="14" t="s">
        <v>35</v>
      </c>
      <c r="E1056" s="14" t="s">
        <v>3750</v>
      </c>
      <c r="F1056" s="9" t="s">
        <v>94</v>
      </c>
      <c r="G1056" s="9" t="b">
        <v>0</v>
      </c>
      <c r="H1056" s="9" t="s">
        <v>260</v>
      </c>
      <c r="I1056" s="9">
        <v>1.0</v>
      </c>
      <c r="J1056" s="9">
        <v>0.0</v>
      </c>
      <c r="K1056" s="9">
        <v>1.0</v>
      </c>
    </row>
    <row r="1057">
      <c r="A1057" s="7" t="s">
        <v>3751</v>
      </c>
      <c r="B1057" s="13" t="s">
        <v>456</v>
      </c>
      <c r="C1057" s="14" t="s">
        <v>144</v>
      </c>
      <c r="D1057" s="14" t="s">
        <v>46</v>
      </c>
      <c r="E1057" s="14" t="s">
        <v>3752</v>
      </c>
      <c r="F1057" s="9" t="s">
        <v>147</v>
      </c>
      <c r="G1057" s="9" t="b">
        <v>0</v>
      </c>
      <c r="H1057" s="9" t="s">
        <v>188</v>
      </c>
      <c r="I1057" s="9">
        <v>1.0</v>
      </c>
      <c r="J1057" s="9">
        <v>0.0</v>
      </c>
      <c r="K1057" s="9">
        <v>1.0</v>
      </c>
    </row>
    <row r="1058">
      <c r="A1058" s="7" t="s">
        <v>3753</v>
      </c>
      <c r="B1058" s="13" t="s">
        <v>1813</v>
      </c>
      <c r="C1058" s="14" t="s">
        <v>169</v>
      </c>
      <c r="D1058" s="14" t="s">
        <v>169</v>
      </c>
      <c r="E1058" s="14" t="s">
        <v>3754</v>
      </c>
      <c r="F1058" s="9" t="s">
        <v>94</v>
      </c>
      <c r="G1058" s="9" t="b">
        <v>0</v>
      </c>
      <c r="H1058" s="9" t="s">
        <v>3755</v>
      </c>
      <c r="I1058" s="9">
        <v>1.0</v>
      </c>
      <c r="J1058" s="9">
        <v>0.0</v>
      </c>
      <c r="K1058" s="9">
        <v>1.0</v>
      </c>
    </row>
    <row r="1059">
      <c r="A1059" s="7" t="s">
        <v>3756</v>
      </c>
      <c r="B1059" s="13" t="s">
        <v>1817</v>
      </c>
      <c r="C1059" s="14" t="s">
        <v>521</v>
      </c>
      <c r="D1059" s="14" t="s">
        <v>46</v>
      </c>
      <c r="E1059" s="14" t="s">
        <v>3757</v>
      </c>
      <c r="F1059" s="9" t="s">
        <v>523</v>
      </c>
      <c r="G1059" s="9" t="b">
        <v>0</v>
      </c>
      <c r="I1059" s="9">
        <v>1.0</v>
      </c>
      <c r="J1059" s="9">
        <v>0.0</v>
      </c>
      <c r="K1059" s="9">
        <v>0.0</v>
      </c>
    </row>
    <row r="1060">
      <c r="A1060" s="7" t="s">
        <v>3758</v>
      </c>
      <c r="B1060" s="13" t="s">
        <v>1820</v>
      </c>
      <c r="C1060" s="14" t="s">
        <v>309</v>
      </c>
      <c r="D1060" s="14" t="s">
        <v>46</v>
      </c>
      <c r="E1060" s="14" t="s">
        <v>3759</v>
      </c>
      <c r="F1060" s="9" t="s">
        <v>311</v>
      </c>
      <c r="G1060" s="9" t="b">
        <v>0</v>
      </c>
      <c r="H1060" s="9" t="s">
        <v>1328</v>
      </c>
      <c r="I1060" s="9">
        <v>1.0</v>
      </c>
      <c r="J1060" s="9">
        <v>0.0</v>
      </c>
      <c r="K1060" s="9">
        <v>1.0</v>
      </c>
    </row>
    <row r="1061">
      <c r="A1061" s="7" t="s">
        <v>3760</v>
      </c>
      <c r="B1061" s="13" t="s">
        <v>1823</v>
      </c>
      <c r="C1061" s="14" t="s">
        <v>309</v>
      </c>
      <c r="D1061" s="14" t="s">
        <v>46</v>
      </c>
      <c r="E1061" s="14" t="s">
        <v>3761</v>
      </c>
      <c r="F1061" s="9" t="s">
        <v>311</v>
      </c>
      <c r="G1061" s="9" t="b">
        <v>0</v>
      </c>
      <c r="H1061" s="9" t="s">
        <v>720</v>
      </c>
      <c r="I1061" s="9">
        <v>1.0</v>
      </c>
      <c r="J1061" s="9">
        <v>0.0</v>
      </c>
      <c r="K1061" s="9">
        <v>0.0</v>
      </c>
    </row>
    <row r="1062">
      <c r="A1062" s="7" t="s">
        <v>3762</v>
      </c>
      <c r="B1062" s="13" t="s">
        <v>1825</v>
      </c>
      <c r="C1062" s="14" t="s">
        <v>144</v>
      </c>
      <c r="D1062" s="14" t="s">
        <v>46</v>
      </c>
      <c r="E1062" s="15"/>
      <c r="F1062" s="9" t="s">
        <v>147</v>
      </c>
      <c r="G1062" s="9" t="b">
        <v>0</v>
      </c>
      <c r="H1062" s="9" t="s">
        <v>188</v>
      </c>
      <c r="I1062" s="9">
        <v>1.0</v>
      </c>
      <c r="J1062" s="9">
        <v>0.0</v>
      </c>
      <c r="K1062" s="9">
        <v>1.0</v>
      </c>
    </row>
    <row r="1063">
      <c r="A1063" s="7" t="s">
        <v>3763</v>
      </c>
      <c r="B1063" s="13" t="s">
        <v>1827</v>
      </c>
      <c r="C1063" s="14" t="s">
        <v>34</v>
      </c>
      <c r="D1063" s="14" t="s">
        <v>46</v>
      </c>
      <c r="E1063" s="14" t="s">
        <v>3764</v>
      </c>
      <c r="F1063" s="9" t="s">
        <v>37</v>
      </c>
      <c r="G1063" s="9" t="b">
        <v>0</v>
      </c>
      <c r="I1063" s="9">
        <v>1.0</v>
      </c>
      <c r="J1063" s="9">
        <v>0.0</v>
      </c>
      <c r="K1063" s="9">
        <v>0.0</v>
      </c>
    </row>
    <row r="1064">
      <c r="A1064" s="7" t="s">
        <v>3765</v>
      </c>
      <c r="B1064" s="13" t="s">
        <v>1423</v>
      </c>
      <c r="C1064" s="14" t="s">
        <v>169</v>
      </c>
      <c r="D1064" s="14" t="s">
        <v>62</v>
      </c>
      <c r="E1064" s="14" t="s">
        <v>3766</v>
      </c>
      <c r="F1064" s="9" t="s">
        <v>94</v>
      </c>
      <c r="G1064" s="9" t="b">
        <v>0</v>
      </c>
      <c r="H1064" s="9" t="s">
        <v>1424</v>
      </c>
      <c r="I1064" s="9">
        <v>1.0</v>
      </c>
      <c r="J1064" s="9">
        <v>0.0</v>
      </c>
      <c r="K1064" s="9">
        <v>3.0</v>
      </c>
    </row>
    <row r="1065">
      <c r="A1065" s="7" t="s">
        <v>3767</v>
      </c>
      <c r="B1065" s="13" t="s">
        <v>79</v>
      </c>
      <c r="C1065" s="14" t="s">
        <v>521</v>
      </c>
      <c r="D1065" s="14" t="s">
        <v>35</v>
      </c>
      <c r="E1065" s="14" t="s">
        <v>3768</v>
      </c>
      <c r="F1065" s="9" t="s">
        <v>523</v>
      </c>
      <c r="G1065" s="9" t="b">
        <v>0</v>
      </c>
      <c r="H1065" s="9" t="s">
        <v>2665</v>
      </c>
      <c r="I1065" s="9">
        <v>1.0</v>
      </c>
      <c r="J1065" s="9">
        <v>0.0</v>
      </c>
      <c r="K1065" s="9">
        <v>1.0</v>
      </c>
    </row>
    <row r="1066">
      <c r="A1066" s="7" t="s">
        <v>3769</v>
      </c>
      <c r="B1066" s="13" t="s">
        <v>79</v>
      </c>
      <c r="C1066" s="14" t="s">
        <v>144</v>
      </c>
      <c r="D1066" s="14" t="s">
        <v>35</v>
      </c>
      <c r="E1066" s="14" t="s">
        <v>3770</v>
      </c>
      <c r="F1066" s="9" t="s">
        <v>147</v>
      </c>
      <c r="G1066" s="9" t="b">
        <v>0</v>
      </c>
      <c r="H1066" s="9" t="s">
        <v>599</v>
      </c>
      <c r="I1066" s="9">
        <v>1.0</v>
      </c>
      <c r="J1066" s="9">
        <v>0.0</v>
      </c>
      <c r="K1066" s="9">
        <v>1.0</v>
      </c>
    </row>
    <row r="1067">
      <c r="A1067" s="7" t="s">
        <v>3771</v>
      </c>
      <c r="B1067" s="13" t="s">
        <v>79</v>
      </c>
      <c r="C1067" s="14" t="s">
        <v>144</v>
      </c>
      <c r="D1067" s="14" t="s">
        <v>35</v>
      </c>
      <c r="E1067" s="14" t="s">
        <v>3772</v>
      </c>
      <c r="F1067" s="9" t="s">
        <v>147</v>
      </c>
      <c r="G1067" s="9" t="b">
        <v>0</v>
      </c>
      <c r="H1067" s="9" t="s">
        <v>3773</v>
      </c>
      <c r="I1067" s="9">
        <v>1.0</v>
      </c>
      <c r="J1067" s="9">
        <v>0.0</v>
      </c>
      <c r="K1067" s="9">
        <v>0.0</v>
      </c>
    </row>
    <row r="1068">
      <c r="A1068" s="7" t="s">
        <v>3774</v>
      </c>
      <c r="B1068" s="13" t="s">
        <v>753</v>
      </c>
      <c r="C1068" s="14" t="s">
        <v>169</v>
      </c>
      <c r="D1068" s="14" t="s">
        <v>46</v>
      </c>
      <c r="E1068" s="14" t="s">
        <v>3775</v>
      </c>
      <c r="F1068" s="9" t="s">
        <v>94</v>
      </c>
      <c r="G1068" s="9" t="b">
        <v>0</v>
      </c>
      <c r="I1068" s="9">
        <v>1.0</v>
      </c>
      <c r="J1068" s="9">
        <v>0.0</v>
      </c>
      <c r="K1068" s="9">
        <v>4.0</v>
      </c>
    </row>
    <row r="1069">
      <c r="A1069" s="7" t="s">
        <v>3776</v>
      </c>
      <c r="B1069" s="13" t="s">
        <v>296</v>
      </c>
      <c r="C1069" s="14" t="s">
        <v>34</v>
      </c>
      <c r="D1069" s="14" t="s">
        <v>35</v>
      </c>
      <c r="E1069" s="14" t="s">
        <v>3777</v>
      </c>
      <c r="F1069" s="9" t="s">
        <v>37</v>
      </c>
      <c r="G1069" s="9" t="b">
        <v>0</v>
      </c>
      <c r="H1069" s="9" t="s">
        <v>3778</v>
      </c>
      <c r="I1069" s="9">
        <v>1.0</v>
      </c>
      <c r="J1069" s="9">
        <v>0.0</v>
      </c>
      <c r="K1069" s="9">
        <v>2.0</v>
      </c>
    </row>
    <row r="1070">
      <c r="A1070" s="7" t="s">
        <v>3779</v>
      </c>
      <c r="B1070" s="13" t="s">
        <v>296</v>
      </c>
      <c r="C1070" s="14" t="s">
        <v>34</v>
      </c>
      <c r="D1070" s="14" t="s">
        <v>35</v>
      </c>
      <c r="E1070" s="14" t="s">
        <v>3780</v>
      </c>
      <c r="F1070" s="9" t="s">
        <v>37</v>
      </c>
      <c r="G1070" s="9" t="b">
        <v>0</v>
      </c>
      <c r="H1070" s="9" t="s">
        <v>3781</v>
      </c>
      <c r="I1070" s="9">
        <v>1.0</v>
      </c>
      <c r="J1070" s="9">
        <v>0.0</v>
      </c>
      <c r="K1070" s="9">
        <v>2.0</v>
      </c>
    </row>
    <row r="1071">
      <c r="A1071" s="7" t="s">
        <v>3782</v>
      </c>
      <c r="B1071" s="13" t="s">
        <v>844</v>
      </c>
      <c r="C1071" s="14" t="s">
        <v>144</v>
      </c>
      <c r="D1071" s="14" t="s">
        <v>2964</v>
      </c>
      <c r="E1071" s="14" t="s">
        <v>3783</v>
      </c>
      <c r="F1071" s="9" t="s">
        <v>147</v>
      </c>
      <c r="G1071" s="9" t="b">
        <v>1</v>
      </c>
      <c r="H1071" s="9" t="s">
        <v>2966</v>
      </c>
      <c r="I1071" s="9">
        <v>1.0</v>
      </c>
      <c r="J1071" s="9">
        <v>0.0</v>
      </c>
      <c r="K1071" s="9">
        <v>1.0</v>
      </c>
    </row>
    <row r="1072">
      <c r="A1072" s="7" t="s">
        <v>3784</v>
      </c>
      <c r="B1072" s="13" t="s">
        <v>54</v>
      </c>
      <c r="C1072" s="14" t="s">
        <v>23</v>
      </c>
      <c r="D1072" s="14" t="s">
        <v>25</v>
      </c>
      <c r="E1072" s="14" t="s">
        <v>3785</v>
      </c>
      <c r="F1072" s="9" t="s">
        <v>27</v>
      </c>
      <c r="G1072" s="9" t="b">
        <v>0</v>
      </c>
      <c r="H1072" s="9" t="s">
        <v>3786</v>
      </c>
      <c r="I1072" s="9">
        <v>1.0</v>
      </c>
      <c r="J1072" s="9">
        <v>0.0</v>
      </c>
      <c r="K1072" s="9">
        <v>2.0</v>
      </c>
    </row>
    <row r="1073">
      <c r="A1073" s="7" t="s">
        <v>3787</v>
      </c>
      <c r="B1073" s="13" t="s">
        <v>54</v>
      </c>
      <c r="C1073" s="14" t="s">
        <v>61</v>
      </c>
      <c r="D1073" s="14" t="s">
        <v>25</v>
      </c>
      <c r="E1073" s="14" t="s">
        <v>3788</v>
      </c>
      <c r="F1073" s="9" t="s">
        <v>64</v>
      </c>
      <c r="G1073" s="9" t="b">
        <v>0</v>
      </c>
      <c r="H1073" s="9" t="s">
        <v>188</v>
      </c>
      <c r="I1073" s="9">
        <v>1.0</v>
      </c>
      <c r="J1073" s="9">
        <v>0.0</v>
      </c>
      <c r="K1073" s="9">
        <v>2.0</v>
      </c>
    </row>
    <row r="1074">
      <c r="A1074" s="7" t="s">
        <v>3789</v>
      </c>
      <c r="B1074" s="13" t="s">
        <v>54</v>
      </c>
      <c r="C1074" s="14" t="s">
        <v>23</v>
      </c>
      <c r="D1074" s="14" t="s">
        <v>25</v>
      </c>
      <c r="E1074" s="14" t="s">
        <v>3790</v>
      </c>
      <c r="F1074" s="9" t="s">
        <v>27</v>
      </c>
      <c r="G1074" s="9" t="b">
        <v>0</v>
      </c>
      <c r="H1074" s="9" t="s">
        <v>3791</v>
      </c>
      <c r="I1074" s="9">
        <v>1.0</v>
      </c>
      <c r="J1074" s="9">
        <v>0.0</v>
      </c>
      <c r="K1074" s="9">
        <v>0.0</v>
      </c>
    </row>
    <row r="1075">
      <c r="A1075" s="7" t="s">
        <v>3792</v>
      </c>
      <c r="B1075" s="13" t="s">
        <v>54</v>
      </c>
      <c r="C1075" s="14" t="s">
        <v>23</v>
      </c>
      <c r="D1075" s="14" t="s">
        <v>25</v>
      </c>
      <c r="E1075" s="14" t="s">
        <v>3793</v>
      </c>
      <c r="F1075" s="9" t="s">
        <v>27</v>
      </c>
      <c r="G1075" s="9" t="b">
        <v>0</v>
      </c>
      <c r="H1075" s="9" t="s">
        <v>513</v>
      </c>
      <c r="I1075" s="9">
        <v>1.0</v>
      </c>
      <c r="J1075" s="9">
        <v>0.0</v>
      </c>
      <c r="K1075" s="9">
        <v>0.0</v>
      </c>
    </row>
    <row r="1076">
      <c r="A1076" s="7" t="s">
        <v>3794</v>
      </c>
      <c r="B1076" s="13" t="s">
        <v>1574</v>
      </c>
      <c r="C1076" s="14" t="s">
        <v>521</v>
      </c>
      <c r="D1076" s="14" t="s">
        <v>35</v>
      </c>
      <c r="E1076" s="14" t="s">
        <v>3795</v>
      </c>
      <c r="F1076" s="9" t="s">
        <v>523</v>
      </c>
      <c r="G1076" s="9" t="b">
        <v>0</v>
      </c>
      <c r="H1076" s="9" t="s">
        <v>1568</v>
      </c>
      <c r="I1076" s="9">
        <v>1.0</v>
      </c>
      <c r="J1076" s="9">
        <v>0.0</v>
      </c>
      <c r="K1076" s="9">
        <v>1.0</v>
      </c>
    </row>
    <row r="1077">
      <c r="A1077" s="7" t="s">
        <v>3796</v>
      </c>
      <c r="B1077" s="13" t="s">
        <v>277</v>
      </c>
      <c r="C1077" s="14" t="s">
        <v>169</v>
      </c>
      <c r="D1077" s="14" t="s">
        <v>169</v>
      </c>
      <c r="E1077" s="15"/>
      <c r="F1077" s="9" t="s">
        <v>94</v>
      </c>
      <c r="H1077" s="9" t="s">
        <v>172</v>
      </c>
      <c r="I1077" s="9">
        <v>1.0</v>
      </c>
      <c r="J1077" s="9">
        <v>0.0</v>
      </c>
      <c r="K1077" s="9">
        <v>0.0</v>
      </c>
    </row>
    <row r="1078">
      <c r="A1078" s="7" t="s">
        <v>3797</v>
      </c>
      <c r="B1078" s="13" t="s">
        <v>277</v>
      </c>
      <c r="C1078" s="14" t="s">
        <v>169</v>
      </c>
      <c r="D1078" s="14" t="s">
        <v>169</v>
      </c>
      <c r="E1078" s="15"/>
      <c r="F1078" s="9" t="s">
        <v>94</v>
      </c>
      <c r="H1078" s="9" t="s">
        <v>172</v>
      </c>
      <c r="I1078" s="9">
        <v>1.0</v>
      </c>
      <c r="J1078" s="9">
        <v>0.0</v>
      </c>
      <c r="K1078" s="9">
        <v>0.0</v>
      </c>
    </row>
    <row r="1079">
      <c r="A1079" s="7" t="s">
        <v>3798</v>
      </c>
      <c r="B1079" s="13" t="s">
        <v>277</v>
      </c>
      <c r="C1079" s="14" t="s">
        <v>169</v>
      </c>
      <c r="D1079" s="14" t="s">
        <v>169</v>
      </c>
      <c r="E1079" s="15"/>
      <c r="F1079" s="9" t="s">
        <v>94</v>
      </c>
      <c r="H1079" s="9" t="s">
        <v>172</v>
      </c>
      <c r="I1079" s="9">
        <v>1.0</v>
      </c>
      <c r="J1079" s="9">
        <v>0.0</v>
      </c>
      <c r="K1079" s="9">
        <v>0.0</v>
      </c>
    </row>
    <row r="1080">
      <c r="A1080" s="7" t="s">
        <v>3799</v>
      </c>
      <c r="B1080" s="13" t="s">
        <v>277</v>
      </c>
      <c r="C1080" s="14" t="s">
        <v>169</v>
      </c>
      <c r="D1080" s="14" t="s">
        <v>169</v>
      </c>
      <c r="E1080" s="15"/>
      <c r="F1080" s="9" t="s">
        <v>94</v>
      </c>
      <c r="H1080" s="9" t="s">
        <v>172</v>
      </c>
      <c r="I1080" s="9">
        <v>1.0</v>
      </c>
      <c r="J1080" s="9">
        <v>0.0</v>
      </c>
      <c r="K1080" s="9">
        <v>0.0</v>
      </c>
    </row>
    <row r="1081">
      <c r="A1081" s="7" t="s">
        <v>3800</v>
      </c>
      <c r="B1081" s="13" t="s">
        <v>277</v>
      </c>
      <c r="C1081" s="14" t="s">
        <v>169</v>
      </c>
      <c r="D1081" s="14" t="s">
        <v>169</v>
      </c>
      <c r="E1081" s="15"/>
      <c r="F1081" s="9" t="s">
        <v>94</v>
      </c>
      <c r="H1081" s="9" t="s">
        <v>172</v>
      </c>
      <c r="I1081" s="9">
        <v>1.0</v>
      </c>
      <c r="J1081" s="9">
        <v>0.0</v>
      </c>
      <c r="K1081" s="9">
        <v>2.0</v>
      </c>
    </row>
    <row r="1082">
      <c r="A1082" s="7" t="s">
        <v>3801</v>
      </c>
      <c r="B1082" s="13" t="s">
        <v>277</v>
      </c>
      <c r="C1082" s="14" t="s">
        <v>169</v>
      </c>
      <c r="D1082" s="14" t="s">
        <v>169</v>
      </c>
      <c r="E1082" s="15"/>
      <c r="F1082" s="9" t="s">
        <v>94</v>
      </c>
      <c r="H1082" s="9" t="s">
        <v>172</v>
      </c>
      <c r="I1082" s="9">
        <v>1.0</v>
      </c>
      <c r="J1082" s="9">
        <v>0.0</v>
      </c>
      <c r="K1082" s="9">
        <v>0.0</v>
      </c>
    </row>
    <row r="1083">
      <c r="A1083" s="7" t="s">
        <v>3802</v>
      </c>
      <c r="B1083" s="13" t="s">
        <v>277</v>
      </c>
      <c r="C1083" s="14" t="s">
        <v>169</v>
      </c>
      <c r="D1083" s="14" t="s">
        <v>169</v>
      </c>
      <c r="E1083" s="15"/>
      <c r="F1083" s="9" t="s">
        <v>94</v>
      </c>
      <c r="H1083" s="9" t="s">
        <v>172</v>
      </c>
      <c r="I1083" s="9">
        <v>1.0</v>
      </c>
      <c r="J1083" s="9">
        <v>0.0</v>
      </c>
      <c r="K1083" s="9">
        <v>0.0</v>
      </c>
    </row>
    <row r="1084">
      <c r="A1084" s="7" t="s">
        <v>3803</v>
      </c>
      <c r="B1084" s="13" t="s">
        <v>277</v>
      </c>
      <c r="C1084" s="14" t="s">
        <v>169</v>
      </c>
      <c r="D1084" s="14" t="s">
        <v>169</v>
      </c>
      <c r="E1084" s="15"/>
      <c r="F1084" s="9" t="s">
        <v>94</v>
      </c>
      <c r="H1084" s="9" t="s">
        <v>172</v>
      </c>
      <c r="I1084" s="9">
        <v>1.0</v>
      </c>
      <c r="J1084" s="9">
        <v>0.0</v>
      </c>
      <c r="K1084" s="9">
        <v>0.0</v>
      </c>
    </row>
    <row r="1085">
      <c r="A1085" s="7" t="s">
        <v>3804</v>
      </c>
      <c r="B1085" s="13" t="s">
        <v>277</v>
      </c>
      <c r="C1085" s="14" t="s">
        <v>169</v>
      </c>
      <c r="D1085" s="14" t="s">
        <v>169</v>
      </c>
      <c r="E1085" s="15"/>
      <c r="F1085" s="9" t="s">
        <v>94</v>
      </c>
      <c r="H1085" s="9" t="s">
        <v>172</v>
      </c>
      <c r="I1085" s="9">
        <v>1.0</v>
      </c>
      <c r="J1085" s="9">
        <v>0.0</v>
      </c>
      <c r="K1085" s="9">
        <v>0.0</v>
      </c>
    </row>
    <row r="1086">
      <c r="A1086" s="7" t="s">
        <v>3805</v>
      </c>
      <c r="B1086" s="13" t="s">
        <v>277</v>
      </c>
      <c r="C1086" s="14" t="s">
        <v>169</v>
      </c>
      <c r="D1086" s="14" t="s">
        <v>169</v>
      </c>
      <c r="E1086" s="15"/>
      <c r="F1086" s="9" t="s">
        <v>94</v>
      </c>
      <c r="H1086" s="9" t="s">
        <v>172</v>
      </c>
      <c r="I1086" s="9">
        <v>1.0</v>
      </c>
      <c r="J1086" s="9">
        <v>0.0</v>
      </c>
      <c r="K1086" s="9">
        <v>0.0</v>
      </c>
    </row>
    <row r="1087">
      <c r="A1087" s="7" t="s">
        <v>3806</v>
      </c>
      <c r="B1087" s="13" t="s">
        <v>277</v>
      </c>
      <c r="C1087" s="14" t="s">
        <v>169</v>
      </c>
      <c r="D1087" s="14" t="s">
        <v>169</v>
      </c>
      <c r="E1087" s="15"/>
      <c r="F1087" s="9" t="s">
        <v>94</v>
      </c>
      <c r="H1087" s="9" t="s">
        <v>172</v>
      </c>
      <c r="I1087" s="9">
        <v>1.0</v>
      </c>
      <c r="J1087" s="9">
        <v>0.0</v>
      </c>
      <c r="K1087" s="9">
        <v>0.0</v>
      </c>
    </row>
    <row r="1088">
      <c r="A1088" s="7" t="s">
        <v>3807</v>
      </c>
      <c r="B1088" s="13" t="s">
        <v>277</v>
      </c>
      <c r="C1088" s="14" t="s">
        <v>169</v>
      </c>
      <c r="D1088" s="14" t="s">
        <v>169</v>
      </c>
      <c r="E1088" s="15"/>
      <c r="F1088" s="9" t="s">
        <v>94</v>
      </c>
      <c r="H1088" s="9" t="s">
        <v>172</v>
      </c>
      <c r="I1088" s="9">
        <v>1.0</v>
      </c>
      <c r="J1088" s="9">
        <v>0.0</v>
      </c>
      <c r="K1088" s="9">
        <v>0.0</v>
      </c>
    </row>
    <row r="1089">
      <c r="A1089" s="7" t="s">
        <v>3808</v>
      </c>
      <c r="B1089" s="13" t="s">
        <v>277</v>
      </c>
      <c r="C1089" s="14" t="s">
        <v>169</v>
      </c>
      <c r="D1089" s="14" t="s">
        <v>169</v>
      </c>
      <c r="E1089" s="15"/>
      <c r="F1089" s="9" t="s">
        <v>94</v>
      </c>
      <c r="H1089" s="9" t="s">
        <v>172</v>
      </c>
      <c r="I1089" s="9">
        <v>1.0</v>
      </c>
      <c r="J1089" s="9">
        <v>0.0</v>
      </c>
      <c r="K1089" s="9">
        <v>0.0</v>
      </c>
    </row>
    <row r="1090">
      <c r="A1090" s="7" t="s">
        <v>3809</v>
      </c>
      <c r="B1090" s="13" t="s">
        <v>277</v>
      </c>
      <c r="C1090" s="14" t="s">
        <v>169</v>
      </c>
      <c r="D1090" s="14" t="s">
        <v>169</v>
      </c>
      <c r="E1090" s="15"/>
      <c r="F1090" s="9" t="s">
        <v>94</v>
      </c>
      <c r="H1090" s="9" t="s">
        <v>172</v>
      </c>
      <c r="I1090" s="9">
        <v>1.0</v>
      </c>
      <c r="J1090" s="9">
        <v>0.0</v>
      </c>
      <c r="K1090" s="9">
        <v>0.0</v>
      </c>
    </row>
    <row r="1091">
      <c r="A1091" s="7" t="s">
        <v>3810</v>
      </c>
      <c r="B1091" s="13" t="s">
        <v>277</v>
      </c>
      <c r="C1091" s="14" t="s">
        <v>169</v>
      </c>
      <c r="D1091" s="14" t="s">
        <v>169</v>
      </c>
      <c r="E1091" s="15"/>
      <c r="F1091" s="9" t="s">
        <v>94</v>
      </c>
      <c r="H1091" s="9" t="s">
        <v>172</v>
      </c>
      <c r="I1091" s="9">
        <v>1.0</v>
      </c>
      <c r="J1091" s="9">
        <v>0.0</v>
      </c>
      <c r="K1091" s="9">
        <v>0.0</v>
      </c>
    </row>
    <row r="1092">
      <c r="A1092" s="7" t="s">
        <v>3811</v>
      </c>
      <c r="B1092" s="13" t="s">
        <v>277</v>
      </c>
      <c r="C1092" s="14" t="s">
        <v>169</v>
      </c>
      <c r="D1092" s="14" t="s">
        <v>169</v>
      </c>
      <c r="E1092" s="15"/>
      <c r="F1092" s="9" t="s">
        <v>94</v>
      </c>
      <c r="H1092" s="9" t="s">
        <v>172</v>
      </c>
      <c r="I1092" s="9">
        <v>1.0</v>
      </c>
      <c r="J1092" s="9">
        <v>0.0</v>
      </c>
      <c r="K1092" s="9">
        <v>1.0</v>
      </c>
    </row>
    <row r="1093">
      <c r="A1093" s="7" t="s">
        <v>3812</v>
      </c>
      <c r="B1093" s="13" t="s">
        <v>1270</v>
      </c>
      <c r="C1093" s="14" t="s">
        <v>34</v>
      </c>
      <c r="D1093" s="14" t="s">
        <v>169</v>
      </c>
      <c r="E1093" s="14" t="s">
        <v>3813</v>
      </c>
      <c r="F1093" s="9" t="s">
        <v>37</v>
      </c>
      <c r="G1093" s="9" t="b">
        <v>0</v>
      </c>
      <c r="H1093" s="9" t="s">
        <v>382</v>
      </c>
      <c r="I1093" s="9">
        <v>1.0</v>
      </c>
      <c r="J1093" s="9">
        <v>0.0</v>
      </c>
      <c r="K1093" s="9">
        <v>1.0</v>
      </c>
    </row>
    <row r="1094">
      <c r="A1094" s="7" t="s">
        <v>3814</v>
      </c>
      <c r="B1094" s="13" t="s">
        <v>1829</v>
      </c>
      <c r="C1094" s="14" t="s">
        <v>144</v>
      </c>
      <c r="D1094" s="14" t="s">
        <v>46</v>
      </c>
      <c r="E1094" s="14" t="s">
        <v>3815</v>
      </c>
      <c r="F1094" s="9" t="s">
        <v>147</v>
      </c>
      <c r="G1094" s="9" t="b">
        <v>0</v>
      </c>
      <c r="H1094" s="9" t="s">
        <v>1571</v>
      </c>
      <c r="I1094" s="9">
        <v>1.0</v>
      </c>
      <c r="J1094" s="9">
        <v>0.0</v>
      </c>
      <c r="K1094" s="9">
        <v>1.0</v>
      </c>
    </row>
    <row r="1095">
      <c r="A1095" s="7" t="s">
        <v>3816</v>
      </c>
      <c r="B1095" s="14" t="s">
        <v>1184</v>
      </c>
      <c r="C1095" s="14" t="s">
        <v>34</v>
      </c>
      <c r="D1095" s="14" t="s">
        <v>46</v>
      </c>
      <c r="E1095" s="14" t="s">
        <v>3817</v>
      </c>
      <c r="F1095" s="9" t="s">
        <v>37</v>
      </c>
      <c r="G1095" s="9" t="b">
        <v>0</v>
      </c>
      <c r="H1095" s="9" t="s">
        <v>188</v>
      </c>
      <c r="I1095" s="9">
        <v>1.0</v>
      </c>
      <c r="J1095" s="9">
        <v>0.0</v>
      </c>
      <c r="K1095" s="9">
        <v>0.0</v>
      </c>
    </row>
    <row r="1096">
      <c r="A1096" s="7" t="s">
        <v>3818</v>
      </c>
      <c r="B1096" s="14" t="s">
        <v>1184</v>
      </c>
      <c r="C1096" s="14" t="s">
        <v>34</v>
      </c>
      <c r="D1096" s="14" t="s">
        <v>46</v>
      </c>
      <c r="E1096" s="14" t="s">
        <v>3819</v>
      </c>
      <c r="F1096" s="9" t="s">
        <v>37</v>
      </c>
      <c r="G1096" s="9" t="b">
        <v>0</v>
      </c>
      <c r="H1096" s="9" t="s">
        <v>188</v>
      </c>
      <c r="I1096" s="9">
        <v>1.0</v>
      </c>
      <c r="J1096" s="9">
        <v>0.0</v>
      </c>
      <c r="K1096" s="9">
        <v>1.0</v>
      </c>
    </row>
    <row r="1097">
      <c r="A1097" s="7" t="s">
        <v>3820</v>
      </c>
      <c r="B1097" s="14" t="s">
        <v>1184</v>
      </c>
      <c r="C1097" s="14" t="s">
        <v>34</v>
      </c>
      <c r="D1097" s="14" t="s">
        <v>46</v>
      </c>
      <c r="E1097" s="14" t="s">
        <v>3821</v>
      </c>
      <c r="F1097" s="9" t="s">
        <v>37</v>
      </c>
      <c r="G1097" s="9" t="b">
        <v>0</v>
      </c>
      <c r="H1097" s="9" t="s">
        <v>1763</v>
      </c>
      <c r="I1097" s="9">
        <v>1.0</v>
      </c>
      <c r="J1097" s="9">
        <v>0.0</v>
      </c>
      <c r="K1097" s="9">
        <v>1.0</v>
      </c>
    </row>
    <row r="1098">
      <c r="A1098" s="7" t="s">
        <v>3822</v>
      </c>
      <c r="B1098" s="13" t="s">
        <v>1833</v>
      </c>
      <c r="C1098" s="14" t="s">
        <v>309</v>
      </c>
      <c r="D1098" s="14" t="s">
        <v>46</v>
      </c>
      <c r="E1098" s="14" t="s">
        <v>3823</v>
      </c>
      <c r="F1098" s="9" t="s">
        <v>311</v>
      </c>
      <c r="G1098" s="9" t="b">
        <v>0</v>
      </c>
      <c r="H1098" s="9" t="s">
        <v>1328</v>
      </c>
      <c r="I1098" s="9">
        <v>1.0</v>
      </c>
      <c r="J1098" s="9">
        <v>0.0</v>
      </c>
      <c r="K1098" s="9">
        <v>1.0</v>
      </c>
    </row>
    <row r="1099">
      <c r="A1099" s="7" t="s">
        <v>3824</v>
      </c>
      <c r="B1099" s="13" t="s">
        <v>1834</v>
      </c>
      <c r="C1099" s="14" t="s">
        <v>144</v>
      </c>
      <c r="D1099" s="14" t="s">
        <v>46</v>
      </c>
      <c r="E1099" s="14" t="s">
        <v>3825</v>
      </c>
      <c r="F1099" s="9" t="s">
        <v>147</v>
      </c>
      <c r="G1099" s="9" t="b">
        <v>0</v>
      </c>
      <c r="I1099" s="9">
        <v>1.0</v>
      </c>
      <c r="J1099" s="9">
        <v>0.0</v>
      </c>
      <c r="K1099" s="9">
        <v>1.0</v>
      </c>
    </row>
    <row r="1100">
      <c r="A1100" s="7" t="s">
        <v>3826</v>
      </c>
      <c r="B1100" s="13" t="s">
        <v>1835</v>
      </c>
      <c r="C1100" s="14" t="s">
        <v>521</v>
      </c>
      <c r="D1100" s="14" t="s">
        <v>46</v>
      </c>
      <c r="E1100" s="14" t="s">
        <v>3827</v>
      </c>
      <c r="F1100" s="9" t="s">
        <v>523</v>
      </c>
      <c r="G1100" s="9" t="b">
        <v>0</v>
      </c>
      <c r="H1100" s="9" t="s">
        <v>188</v>
      </c>
      <c r="I1100" s="9">
        <v>1.0</v>
      </c>
      <c r="J1100" s="9">
        <v>0.0</v>
      </c>
      <c r="K1100" s="9">
        <v>1.0</v>
      </c>
    </row>
    <row r="1101">
      <c r="A1101" s="7" t="s">
        <v>3828</v>
      </c>
      <c r="B1101" s="13" t="s">
        <v>1839</v>
      </c>
      <c r="C1101" s="14" t="s">
        <v>34</v>
      </c>
      <c r="D1101" s="14" t="s">
        <v>46</v>
      </c>
      <c r="E1101" s="14" t="s">
        <v>3829</v>
      </c>
      <c r="F1101" s="9" t="s">
        <v>37</v>
      </c>
      <c r="G1101" s="9" t="b">
        <v>0</v>
      </c>
      <c r="H1101" s="9" t="s">
        <v>3830</v>
      </c>
      <c r="I1101" s="9">
        <v>1.0</v>
      </c>
      <c r="J1101" s="9">
        <v>0.0</v>
      </c>
      <c r="K1101" s="9">
        <v>0.0</v>
      </c>
    </row>
    <row r="1102">
      <c r="A1102" s="7" t="s">
        <v>3831</v>
      </c>
      <c r="B1102" s="13" t="s">
        <v>1841</v>
      </c>
      <c r="C1102" s="14" t="s">
        <v>309</v>
      </c>
      <c r="D1102" s="14" t="s">
        <v>46</v>
      </c>
      <c r="E1102" s="14" t="s">
        <v>3832</v>
      </c>
      <c r="F1102" s="9" t="s">
        <v>311</v>
      </c>
      <c r="G1102" s="9" t="b">
        <v>0</v>
      </c>
      <c r="I1102" s="9">
        <v>1.0</v>
      </c>
      <c r="J1102" s="9">
        <v>0.0</v>
      </c>
      <c r="K1102" s="9">
        <v>0.0</v>
      </c>
    </row>
    <row r="1103">
      <c r="A1103" s="7" t="s">
        <v>3833</v>
      </c>
      <c r="B1103" s="13" t="s">
        <v>1844</v>
      </c>
      <c r="C1103" s="14" t="s">
        <v>34</v>
      </c>
      <c r="D1103" s="14" t="s">
        <v>46</v>
      </c>
      <c r="E1103" s="14" t="s">
        <v>3834</v>
      </c>
      <c r="F1103" s="9" t="s">
        <v>37</v>
      </c>
      <c r="G1103" s="9" t="b">
        <v>0</v>
      </c>
      <c r="H1103" s="9" t="s">
        <v>1845</v>
      </c>
      <c r="I1103" s="9">
        <v>1.0</v>
      </c>
      <c r="J1103" s="9">
        <v>0.0</v>
      </c>
      <c r="K1103" s="9">
        <v>1.0</v>
      </c>
    </row>
    <row r="1104">
      <c r="A1104" s="7" t="s">
        <v>3835</v>
      </c>
      <c r="B1104" s="13" t="s">
        <v>1847</v>
      </c>
      <c r="C1104" s="14" t="s">
        <v>521</v>
      </c>
      <c r="D1104" s="14" t="s">
        <v>46</v>
      </c>
      <c r="E1104" s="14" t="s">
        <v>3836</v>
      </c>
      <c r="F1104" s="9" t="s">
        <v>523</v>
      </c>
      <c r="G1104" s="9" t="b">
        <v>0</v>
      </c>
      <c r="H1104" s="9" t="s">
        <v>1849</v>
      </c>
      <c r="I1104" s="9">
        <v>1.0</v>
      </c>
      <c r="J1104" s="9">
        <v>0.0</v>
      </c>
      <c r="K1104" s="9">
        <v>2.0</v>
      </c>
    </row>
    <row r="1105">
      <c r="A1105" s="7" t="s">
        <v>3837</v>
      </c>
      <c r="B1105" s="13" t="s">
        <v>1850</v>
      </c>
      <c r="C1105" s="14" t="s">
        <v>144</v>
      </c>
      <c r="D1105" s="14" t="s">
        <v>46</v>
      </c>
      <c r="E1105" s="14" t="s">
        <v>3838</v>
      </c>
      <c r="F1105" s="9" t="s">
        <v>147</v>
      </c>
      <c r="G1105" s="9" t="b">
        <v>0</v>
      </c>
      <c r="H1105" s="9" t="s">
        <v>482</v>
      </c>
      <c r="I1105" s="9">
        <v>1.0</v>
      </c>
      <c r="J1105" s="9">
        <v>0.0</v>
      </c>
      <c r="K1105" s="9">
        <v>1.0</v>
      </c>
    </row>
    <row r="1106">
      <c r="A1106" s="7" t="s">
        <v>3839</v>
      </c>
      <c r="B1106" s="13" t="s">
        <v>1851</v>
      </c>
      <c r="C1106" s="14" t="s">
        <v>144</v>
      </c>
      <c r="D1106" s="14" t="s">
        <v>46</v>
      </c>
      <c r="E1106" s="14" t="s">
        <v>3840</v>
      </c>
      <c r="F1106" s="9" t="s">
        <v>147</v>
      </c>
      <c r="G1106" s="9" t="b">
        <v>0</v>
      </c>
      <c r="H1106" s="9" t="s">
        <v>188</v>
      </c>
      <c r="I1106" s="9">
        <v>1.0</v>
      </c>
      <c r="J1106" s="9">
        <v>0.0</v>
      </c>
      <c r="K1106" s="9">
        <v>0.0</v>
      </c>
    </row>
    <row r="1107">
      <c r="A1107" s="7" t="s">
        <v>3841</v>
      </c>
      <c r="B1107" s="13" t="s">
        <v>1854</v>
      </c>
      <c r="C1107" s="14" t="s">
        <v>169</v>
      </c>
      <c r="D1107" s="14" t="s">
        <v>46</v>
      </c>
      <c r="E1107" s="14" t="s">
        <v>3842</v>
      </c>
      <c r="F1107" s="9" t="s">
        <v>94</v>
      </c>
      <c r="G1107" s="9" t="b">
        <v>0</v>
      </c>
      <c r="H1107" s="9" t="s">
        <v>3843</v>
      </c>
      <c r="I1107" s="9">
        <v>1.0</v>
      </c>
      <c r="J1107" s="9">
        <v>0.0</v>
      </c>
      <c r="K1107" s="9">
        <v>3.0</v>
      </c>
    </row>
    <row r="1108">
      <c r="A1108" s="7" t="s">
        <v>3844</v>
      </c>
      <c r="B1108" s="13" t="s">
        <v>1856</v>
      </c>
      <c r="C1108" s="14" t="s">
        <v>521</v>
      </c>
      <c r="D1108" s="14" t="s">
        <v>46</v>
      </c>
      <c r="E1108" s="14" t="s">
        <v>3845</v>
      </c>
      <c r="F1108" s="9" t="s">
        <v>523</v>
      </c>
      <c r="G1108" s="9" t="b">
        <v>0</v>
      </c>
      <c r="H1108" s="9" t="s">
        <v>3846</v>
      </c>
      <c r="I1108" s="9">
        <v>1.0</v>
      </c>
      <c r="J1108" s="9">
        <v>0.0</v>
      </c>
      <c r="K1108" s="9">
        <v>2.0</v>
      </c>
    </row>
    <row r="1109">
      <c r="A1109" s="7" t="s">
        <v>3847</v>
      </c>
      <c r="B1109" s="13" t="s">
        <v>1073</v>
      </c>
      <c r="C1109" s="14" t="s">
        <v>34</v>
      </c>
      <c r="D1109" s="14" t="s">
        <v>46</v>
      </c>
      <c r="E1109" s="14" t="s">
        <v>3848</v>
      </c>
      <c r="F1109" s="9" t="s">
        <v>37</v>
      </c>
      <c r="G1109" s="9" t="b">
        <v>0</v>
      </c>
      <c r="H1109" s="9" t="s">
        <v>3849</v>
      </c>
      <c r="I1109" s="9">
        <v>1.0</v>
      </c>
      <c r="J1109" s="9">
        <v>0.0</v>
      </c>
      <c r="K1109" s="9">
        <v>1.0</v>
      </c>
    </row>
    <row r="1110">
      <c r="A1110" s="7" t="s">
        <v>3850</v>
      </c>
      <c r="B1110" s="13" t="s">
        <v>1861</v>
      </c>
      <c r="C1110" s="14" t="s">
        <v>144</v>
      </c>
      <c r="D1110" s="14" t="s">
        <v>46</v>
      </c>
      <c r="E1110" s="14" t="s">
        <v>3851</v>
      </c>
      <c r="F1110" s="9" t="s">
        <v>147</v>
      </c>
      <c r="G1110" s="9" t="b">
        <v>0</v>
      </c>
      <c r="I1110" s="9">
        <v>1.0</v>
      </c>
      <c r="J1110" s="9">
        <v>0.0</v>
      </c>
      <c r="K1110" s="9">
        <v>2.0</v>
      </c>
    </row>
    <row r="1111">
      <c r="A1111" s="7" t="s">
        <v>3852</v>
      </c>
      <c r="B1111" s="13" t="s">
        <v>1863</v>
      </c>
      <c r="C1111" s="14" t="s">
        <v>144</v>
      </c>
      <c r="D1111" s="14" t="s">
        <v>46</v>
      </c>
      <c r="E1111" s="14" t="s">
        <v>3853</v>
      </c>
      <c r="F1111" s="9" t="s">
        <v>147</v>
      </c>
      <c r="G1111" s="9" t="b">
        <v>0</v>
      </c>
      <c r="H1111" s="9" t="s">
        <v>3854</v>
      </c>
      <c r="I1111" s="9">
        <v>1.0</v>
      </c>
      <c r="J1111" s="9">
        <v>0.0</v>
      </c>
      <c r="K1111" s="9">
        <v>1.0</v>
      </c>
    </row>
    <row r="1112">
      <c r="A1112" s="7" t="s">
        <v>3855</v>
      </c>
      <c r="B1112" s="13" t="s">
        <v>1868</v>
      </c>
      <c r="C1112" s="14" t="s">
        <v>144</v>
      </c>
      <c r="D1112" s="14" t="s">
        <v>169</v>
      </c>
      <c r="E1112" s="14" t="s">
        <v>3856</v>
      </c>
      <c r="F1112" s="9" t="s">
        <v>147</v>
      </c>
      <c r="G1112" s="9" t="b">
        <v>0</v>
      </c>
      <c r="I1112" s="9">
        <v>1.0</v>
      </c>
      <c r="J1112" s="9">
        <v>0.0</v>
      </c>
      <c r="K1112" s="9">
        <v>0.0</v>
      </c>
    </row>
    <row r="1113">
      <c r="A1113" s="7" t="s">
        <v>3857</v>
      </c>
      <c r="B1113" s="13" t="s">
        <v>1448</v>
      </c>
      <c r="C1113" s="14" t="s">
        <v>1203</v>
      </c>
      <c r="D1113" s="14" t="s">
        <v>270</v>
      </c>
      <c r="E1113" s="14" t="s">
        <v>3858</v>
      </c>
      <c r="F1113" s="9" t="s">
        <v>1205</v>
      </c>
      <c r="G1113" s="9" t="b">
        <v>0</v>
      </c>
      <c r="I1113" s="9">
        <v>1.0</v>
      </c>
      <c r="J1113" s="9">
        <v>0.0</v>
      </c>
      <c r="K1113" s="9">
        <v>1.0</v>
      </c>
    </row>
    <row r="1114">
      <c r="A1114" s="7" t="s">
        <v>3859</v>
      </c>
      <c r="B1114" s="13" t="s">
        <v>1448</v>
      </c>
      <c r="C1114" s="14" t="s">
        <v>169</v>
      </c>
      <c r="D1114" s="14" t="s">
        <v>270</v>
      </c>
      <c r="E1114" s="14" t="s">
        <v>3860</v>
      </c>
      <c r="F1114" s="9" t="s">
        <v>94</v>
      </c>
      <c r="G1114" s="9" t="b">
        <v>0</v>
      </c>
      <c r="I1114" s="9">
        <v>1.0</v>
      </c>
      <c r="J1114" s="9">
        <v>0.0</v>
      </c>
      <c r="K1114" s="9">
        <v>1.0</v>
      </c>
    </row>
    <row r="1115">
      <c r="A1115" s="7" t="s">
        <v>3861</v>
      </c>
      <c r="B1115" s="13" t="s">
        <v>1869</v>
      </c>
      <c r="C1115" s="14" t="s">
        <v>169</v>
      </c>
      <c r="D1115" s="14" t="s">
        <v>953</v>
      </c>
      <c r="E1115" s="14" t="s">
        <v>3862</v>
      </c>
      <c r="F1115" s="9" t="s">
        <v>94</v>
      </c>
      <c r="G1115" s="9" t="b">
        <v>0</v>
      </c>
      <c r="I1115" s="9">
        <v>1.0</v>
      </c>
      <c r="J1115" s="9">
        <v>0.0</v>
      </c>
      <c r="K1115" s="9">
        <v>0.0</v>
      </c>
    </row>
    <row r="1116">
      <c r="A1116" s="7" t="s">
        <v>3863</v>
      </c>
      <c r="B1116" s="13" t="s">
        <v>261</v>
      </c>
      <c r="C1116" s="14" t="s">
        <v>169</v>
      </c>
      <c r="D1116" s="14" t="s">
        <v>169</v>
      </c>
      <c r="E1116" s="15"/>
      <c r="F1116" s="9" t="s">
        <v>94</v>
      </c>
      <c r="H1116" s="9" t="s">
        <v>172</v>
      </c>
      <c r="I1116" s="9">
        <v>1.0</v>
      </c>
      <c r="J1116" s="9">
        <v>0.0</v>
      </c>
      <c r="K1116" s="9">
        <v>2.0</v>
      </c>
    </row>
    <row r="1117">
      <c r="A1117" s="7" t="s">
        <v>3864</v>
      </c>
      <c r="B1117" s="13" t="s">
        <v>1276</v>
      </c>
      <c r="C1117" s="14" t="s">
        <v>521</v>
      </c>
      <c r="D1117" s="14" t="s">
        <v>35</v>
      </c>
      <c r="E1117" s="14" t="s">
        <v>3865</v>
      </c>
      <c r="F1117" s="9" t="s">
        <v>523</v>
      </c>
      <c r="G1117" s="9" t="b">
        <v>0</v>
      </c>
      <c r="H1117" s="9" t="s">
        <v>3866</v>
      </c>
      <c r="I1117" s="9">
        <v>1.0</v>
      </c>
      <c r="J1117" s="9">
        <v>0.0</v>
      </c>
      <c r="K1117" s="9">
        <v>3.0</v>
      </c>
    </row>
    <row r="1118">
      <c r="A1118" s="7" t="s">
        <v>3867</v>
      </c>
      <c r="B1118" s="13" t="s">
        <v>1276</v>
      </c>
      <c r="C1118" s="14" t="s">
        <v>1203</v>
      </c>
      <c r="D1118" s="14" t="s">
        <v>35</v>
      </c>
      <c r="E1118" s="14" t="s">
        <v>3868</v>
      </c>
      <c r="F1118" s="9" t="s">
        <v>1205</v>
      </c>
      <c r="G1118" s="9" t="b">
        <v>0</v>
      </c>
      <c r="H1118" s="9" t="s">
        <v>3866</v>
      </c>
      <c r="I1118" s="9">
        <v>1.0</v>
      </c>
      <c r="J1118" s="9">
        <v>0.0</v>
      </c>
      <c r="K1118" s="9">
        <v>1.0</v>
      </c>
    </row>
    <row r="1119">
      <c r="A1119" s="7" t="s">
        <v>3869</v>
      </c>
      <c r="B1119" s="13" t="s">
        <v>1872</v>
      </c>
      <c r="C1119" s="14" t="s">
        <v>34</v>
      </c>
      <c r="D1119" s="14" t="s">
        <v>46</v>
      </c>
      <c r="E1119" s="14" t="s">
        <v>3870</v>
      </c>
      <c r="F1119" s="9" t="s">
        <v>37</v>
      </c>
      <c r="G1119" s="9" t="b">
        <v>0</v>
      </c>
      <c r="H1119" s="9" t="s">
        <v>3871</v>
      </c>
      <c r="I1119" s="9">
        <v>1.0</v>
      </c>
      <c r="J1119" s="9">
        <v>0.0</v>
      </c>
      <c r="K1119" s="9">
        <v>0.0</v>
      </c>
    </row>
    <row r="1120">
      <c r="A1120" s="7" t="s">
        <v>3872</v>
      </c>
      <c r="B1120" s="13" t="s">
        <v>1874</v>
      </c>
      <c r="C1120" s="14" t="s">
        <v>521</v>
      </c>
      <c r="D1120" s="14" t="s">
        <v>46</v>
      </c>
      <c r="E1120" s="14" t="s">
        <v>3873</v>
      </c>
      <c r="F1120" s="9" t="s">
        <v>523</v>
      </c>
      <c r="G1120" s="9" t="b">
        <v>0</v>
      </c>
      <c r="H1120" s="9" t="s">
        <v>188</v>
      </c>
      <c r="I1120" s="9">
        <v>1.0</v>
      </c>
      <c r="J1120" s="9">
        <v>0.0</v>
      </c>
      <c r="K1120" s="9">
        <v>0.0</v>
      </c>
    </row>
    <row r="1121">
      <c r="A1121" s="7" t="s">
        <v>3874</v>
      </c>
      <c r="B1121" s="13" t="s">
        <v>332</v>
      </c>
      <c r="C1121" s="14" t="s">
        <v>144</v>
      </c>
      <c r="D1121" s="14" t="s">
        <v>46</v>
      </c>
      <c r="E1121" s="14" t="s">
        <v>3875</v>
      </c>
      <c r="F1121" s="9" t="s">
        <v>147</v>
      </c>
      <c r="G1121" s="9" t="b">
        <v>0</v>
      </c>
      <c r="H1121" s="9" t="s">
        <v>188</v>
      </c>
      <c r="I1121" s="9">
        <v>1.0</v>
      </c>
      <c r="J1121" s="9">
        <v>0.0</v>
      </c>
      <c r="K1121" s="9">
        <v>1.0</v>
      </c>
    </row>
    <row r="1122">
      <c r="A1122" s="7" t="s">
        <v>3876</v>
      </c>
      <c r="B1122" s="13" t="s">
        <v>1880</v>
      </c>
      <c r="C1122" s="14" t="s">
        <v>34</v>
      </c>
      <c r="D1122" s="14" t="s">
        <v>46</v>
      </c>
      <c r="E1122" s="14" t="s">
        <v>3877</v>
      </c>
      <c r="F1122" s="9" t="s">
        <v>37</v>
      </c>
      <c r="G1122" s="9" t="b">
        <v>0</v>
      </c>
      <c r="H1122" s="9" t="s">
        <v>1883</v>
      </c>
      <c r="I1122" s="9">
        <v>1.0</v>
      </c>
      <c r="J1122" s="9">
        <v>0.0</v>
      </c>
      <c r="K1122" s="9">
        <v>1.0</v>
      </c>
    </row>
    <row r="1123">
      <c r="A1123" s="7" t="s">
        <v>3878</v>
      </c>
      <c r="B1123" s="13" t="s">
        <v>1884</v>
      </c>
      <c r="C1123" s="14" t="s">
        <v>34</v>
      </c>
      <c r="D1123" s="14" t="s">
        <v>46</v>
      </c>
      <c r="E1123" s="14" t="s">
        <v>3879</v>
      </c>
      <c r="F1123" s="9" t="s">
        <v>37</v>
      </c>
      <c r="G1123" s="9" t="b">
        <v>0</v>
      </c>
      <c r="H1123" s="9" t="s">
        <v>3880</v>
      </c>
      <c r="I1123" s="9">
        <v>1.0</v>
      </c>
      <c r="J1123" s="9">
        <v>0.0</v>
      </c>
      <c r="K1123" s="9">
        <v>0.0</v>
      </c>
    </row>
    <row r="1124">
      <c r="A1124" s="7" t="s">
        <v>3881</v>
      </c>
      <c r="B1124" s="13" t="s">
        <v>1889</v>
      </c>
      <c r="C1124" s="14" t="s">
        <v>521</v>
      </c>
      <c r="D1124" s="14" t="s">
        <v>46</v>
      </c>
      <c r="E1124" s="15"/>
      <c r="F1124" s="9" t="s">
        <v>523</v>
      </c>
      <c r="H1124" s="9" t="s">
        <v>172</v>
      </c>
      <c r="I1124" s="9">
        <v>1.0</v>
      </c>
      <c r="J1124" s="9">
        <v>0.0</v>
      </c>
      <c r="K1124" s="9">
        <v>0.0</v>
      </c>
    </row>
    <row r="1125">
      <c r="A1125" s="7" t="s">
        <v>3882</v>
      </c>
      <c r="B1125" s="13" t="s">
        <v>457</v>
      </c>
      <c r="C1125" s="14" t="s">
        <v>169</v>
      </c>
      <c r="D1125" s="14" t="s">
        <v>46</v>
      </c>
      <c r="E1125" s="14" t="s">
        <v>3883</v>
      </c>
      <c r="F1125" s="9" t="s">
        <v>94</v>
      </c>
      <c r="G1125" s="9" t="b">
        <v>0</v>
      </c>
      <c r="H1125" s="9" t="s">
        <v>720</v>
      </c>
      <c r="I1125" s="9">
        <v>1.0</v>
      </c>
      <c r="J1125" s="9">
        <v>0.0</v>
      </c>
      <c r="K1125" s="9">
        <v>0.0</v>
      </c>
    </row>
    <row r="1126">
      <c r="A1126" s="7" t="s">
        <v>3884</v>
      </c>
      <c r="B1126" s="13" t="s">
        <v>1890</v>
      </c>
      <c r="C1126" s="14" t="s">
        <v>144</v>
      </c>
      <c r="D1126" s="14" t="s">
        <v>46</v>
      </c>
      <c r="E1126" s="14" t="s">
        <v>3885</v>
      </c>
      <c r="F1126" s="9" t="s">
        <v>147</v>
      </c>
      <c r="G1126" s="9" t="b">
        <v>0</v>
      </c>
      <c r="I1126" s="9">
        <v>1.0</v>
      </c>
      <c r="J1126" s="9">
        <v>0.0</v>
      </c>
      <c r="K1126" s="9">
        <v>0.0</v>
      </c>
    </row>
    <row r="1127">
      <c r="A1127" s="7" t="s">
        <v>3886</v>
      </c>
      <c r="B1127" s="13" t="s">
        <v>1894</v>
      </c>
      <c r="C1127" s="14" t="s">
        <v>34</v>
      </c>
      <c r="D1127" s="14" t="s">
        <v>46</v>
      </c>
      <c r="E1127" s="14" t="s">
        <v>3887</v>
      </c>
      <c r="F1127" s="9" t="s">
        <v>37</v>
      </c>
      <c r="G1127" s="9" t="b">
        <v>0</v>
      </c>
      <c r="H1127" s="9" t="s">
        <v>415</v>
      </c>
      <c r="I1127" s="9">
        <v>1.0</v>
      </c>
      <c r="J1127" s="9">
        <v>0.0</v>
      </c>
      <c r="K1127" s="9">
        <v>0.0</v>
      </c>
    </row>
    <row r="1128">
      <c r="A1128" s="7" t="s">
        <v>3888</v>
      </c>
      <c r="B1128" s="13" t="s">
        <v>1897</v>
      </c>
      <c r="C1128" s="14" t="s">
        <v>34</v>
      </c>
      <c r="D1128" s="14" t="s">
        <v>46</v>
      </c>
      <c r="E1128" s="14" t="s">
        <v>3889</v>
      </c>
      <c r="F1128" s="9" t="s">
        <v>37</v>
      </c>
      <c r="G1128" s="9" t="b">
        <v>0</v>
      </c>
      <c r="I1128" s="9">
        <v>1.0</v>
      </c>
      <c r="J1128" s="9">
        <v>0.0</v>
      </c>
      <c r="K1128" s="9">
        <v>1.0</v>
      </c>
    </row>
    <row r="1129">
      <c r="A1129" s="7" t="s">
        <v>3890</v>
      </c>
      <c r="B1129" s="13" t="s">
        <v>1899</v>
      </c>
      <c r="C1129" s="14" t="s">
        <v>34</v>
      </c>
      <c r="D1129" s="14" t="s">
        <v>46</v>
      </c>
      <c r="E1129" s="14" t="s">
        <v>3891</v>
      </c>
      <c r="F1129" s="9" t="s">
        <v>37</v>
      </c>
      <c r="G1129" s="9" t="b">
        <v>0</v>
      </c>
      <c r="H1129" s="9" t="s">
        <v>3892</v>
      </c>
      <c r="I1129" s="9">
        <v>1.0</v>
      </c>
      <c r="J1129" s="9">
        <v>0.0</v>
      </c>
      <c r="K1129" s="9">
        <v>0.0</v>
      </c>
    </row>
    <row r="1130">
      <c r="A1130" s="7" t="s">
        <v>3893</v>
      </c>
      <c r="B1130" s="14" t="s">
        <v>218</v>
      </c>
      <c r="C1130" s="14" t="s">
        <v>169</v>
      </c>
      <c r="D1130" s="14" t="s">
        <v>35</v>
      </c>
      <c r="E1130" s="14" t="s">
        <v>3894</v>
      </c>
      <c r="F1130" s="9" t="s">
        <v>94</v>
      </c>
      <c r="G1130" s="9" t="b">
        <v>0</v>
      </c>
      <c r="H1130" s="9" t="s">
        <v>3221</v>
      </c>
      <c r="I1130" s="9">
        <v>1.0</v>
      </c>
      <c r="J1130" s="9">
        <v>0.0</v>
      </c>
      <c r="K1130" s="9">
        <v>1.0</v>
      </c>
    </row>
    <row r="1131">
      <c r="A1131" s="7" t="s">
        <v>3895</v>
      </c>
      <c r="B1131" s="13" t="s">
        <v>550</v>
      </c>
      <c r="C1131" s="14" t="s">
        <v>144</v>
      </c>
      <c r="D1131" s="14" t="s">
        <v>46</v>
      </c>
      <c r="E1131" s="14" t="s">
        <v>3896</v>
      </c>
      <c r="F1131" s="9" t="s">
        <v>147</v>
      </c>
      <c r="G1131" s="9" t="b">
        <v>0</v>
      </c>
      <c r="I1131" s="9">
        <v>1.0</v>
      </c>
      <c r="J1131" s="9">
        <v>0.0</v>
      </c>
      <c r="K1131" s="9">
        <v>0.0</v>
      </c>
    </row>
    <row r="1132">
      <c r="A1132" s="7" t="s">
        <v>3897</v>
      </c>
      <c r="B1132" s="13" t="s">
        <v>42</v>
      </c>
      <c r="C1132" s="14" t="s">
        <v>34</v>
      </c>
      <c r="D1132" s="14" t="s">
        <v>35</v>
      </c>
      <c r="E1132" s="14" t="s">
        <v>3898</v>
      </c>
      <c r="F1132" s="9" t="s">
        <v>37</v>
      </c>
      <c r="G1132" s="9" t="b">
        <v>0</v>
      </c>
      <c r="H1132" s="9" t="s">
        <v>2957</v>
      </c>
      <c r="I1132" s="9">
        <v>1.0</v>
      </c>
      <c r="J1132" s="9">
        <v>0.0</v>
      </c>
      <c r="K1132" s="9">
        <v>0.0</v>
      </c>
    </row>
    <row r="1133">
      <c r="A1133" s="7" t="s">
        <v>3899</v>
      </c>
      <c r="B1133" s="14" t="s">
        <v>1903</v>
      </c>
      <c r="C1133" s="14" t="s">
        <v>34</v>
      </c>
      <c r="D1133" s="14" t="s">
        <v>46</v>
      </c>
      <c r="E1133" s="14" t="s">
        <v>3900</v>
      </c>
      <c r="F1133" s="9" t="s">
        <v>37</v>
      </c>
      <c r="G1133" s="9" t="b">
        <v>0</v>
      </c>
      <c r="H1133" s="9" t="s">
        <v>188</v>
      </c>
      <c r="I1133" s="9">
        <v>1.0</v>
      </c>
      <c r="J1133" s="9">
        <v>0.0</v>
      </c>
      <c r="K1133" s="9">
        <v>0.0</v>
      </c>
    </row>
    <row r="1134">
      <c r="A1134" s="7" t="s">
        <v>3901</v>
      </c>
      <c r="B1134" s="13" t="s">
        <v>1904</v>
      </c>
      <c r="C1134" s="14" t="s">
        <v>1203</v>
      </c>
      <c r="D1134" s="14" t="s">
        <v>46</v>
      </c>
      <c r="E1134" s="14" t="s">
        <v>3902</v>
      </c>
      <c r="F1134" s="9" t="s">
        <v>1205</v>
      </c>
      <c r="G1134" s="9" t="b">
        <v>0</v>
      </c>
      <c r="I1134" s="9">
        <v>1.0</v>
      </c>
      <c r="J1134" s="9">
        <v>0.0</v>
      </c>
      <c r="K1134" s="9">
        <v>1.0</v>
      </c>
    </row>
    <row r="1135">
      <c r="A1135" s="7" t="s">
        <v>3903</v>
      </c>
      <c r="B1135" s="13" t="s">
        <v>103</v>
      </c>
      <c r="C1135" s="14" t="s">
        <v>169</v>
      </c>
      <c r="D1135" s="14" t="s">
        <v>46</v>
      </c>
      <c r="E1135" s="14" t="s">
        <v>3904</v>
      </c>
      <c r="F1135" s="9" t="s">
        <v>94</v>
      </c>
      <c r="G1135" s="9" t="b">
        <v>0</v>
      </c>
      <c r="H1135" s="9" t="s">
        <v>188</v>
      </c>
      <c r="I1135" s="9">
        <v>1.0</v>
      </c>
      <c r="J1135" s="9">
        <v>0.0</v>
      </c>
      <c r="K1135" s="9">
        <v>0.0</v>
      </c>
    </row>
    <row r="1136">
      <c r="A1136" s="7" t="s">
        <v>3905</v>
      </c>
      <c r="B1136" s="13" t="s">
        <v>103</v>
      </c>
      <c r="C1136" s="14" t="s">
        <v>34</v>
      </c>
      <c r="D1136" s="14" t="s">
        <v>46</v>
      </c>
      <c r="E1136" s="14" t="s">
        <v>1366</v>
      </c>
      <c r="F1136" s="9" t="s">
        <v>37</v>
      </c>
      <c r="G1136" s="9" t="b">
        <v>0</v>
      </c>
      <c r="H1136" s="9" t="s">
        <v>488</v>
      </c>
      <c r="I1136" s="9">
        <v>1.0</v>
      </c>
      <c r="J1136" s="9">
        <v>0.0</v>
      </c>
      <c r="K1136" s="9">
        <v>0.0</v>
      </c>
    </row>
    <row r="1137">
      <c r="A1137" s="7" t="s">
        <v>3906</v>
      </c>
      <c r="B1137" s="13" t="s">
        <v>103</v>
      </c>
      <c r="C1137" s="14" t="s">
        <v>169</v>
      </c>
      <c r="D1137" s="14" t="s">
        <v>46</v>
      </c>
      <c r="E1137" s="14" t="s">
        <v>3907</v>
      </c>
      <c r="F1137" s="9" t="s">
        <v>94</v>
      </c>
      <c r="G1137" s="9" t="b">
        <v>0</v>
      </c>
      <c r="H1137" s="9" t="s">
        <v>188</v>
      </c>
      <c r="I1137" s="9">
        <v>1.0</v>
      </c>
      <c r="J1137" s="9">
        <v>0.0</v>
      </c>
      <c r="K1137" s="9">
        <v>0.0</v>
      </c>
    </row>
    <row r="1138">
      <c r="A1138" s="7" t="s">
        <v>3908</v>
      </c>
      <c r="B1138" s="13" t="s">
        <v>1907</v>
      </c>
      <c r="C1138" s="14" t="s">
        <v>1203</v>
      </c>
      <c r="D1138" s="14" t="s">
        <v>62</v>
      </c>
      <c r="E1138" s="14" t="s">
        <v>3909</v>
      </c>
      <c r="F1138" s="9" t="s">
        <v>1205</v>
      </c>
      <c r="G1138" s="9" t="b">
        <v>0</v>
      </c>
      <c r="I1138" s="9">
        <v>1.0</v>
      </c>
      <c r="J1138" s="9">
        <v>0.0</v>
      </c>
      <c r="K1138" s="9">
        <v>0.0</v>
      </c>
    </row>
    <row r="1139">
      <c r="A1139" s="7" t="s">
        <v>3910</v>
      </c>
      <c r="B1139" s="13" t="s">
        <v>730</v>
      </c>
      <c r="C1139" s="14" t="s">
        <v>1203</v>
      </c>
      <c r="D1139" s="14" t="s">
        <v>46</v>
      </c>
      <c r="E1139" s="14" t="s">
        <v>3911</v>
      </c>
      <c r="F1139" s="9" t="s">
        <v>1205</v>
      </c>
      <c r="G1139" s="9" t="b">
        <v>0</v>
      </c>
      <c r="H1139" s="9" t="s">
        <v>188</v>
      </c>
      <c r="I1139" s="9">
        <v>1.0</v>
      </c>
      <c r="J1139" s="9">
        <v>0.0</v>
      </c>
      <c r="K1139" s="9">
        <v>1.0</v>
      </c>
    </row>
    <row r="1140">
      <c r="A1140" s="7" t="s">
        <v>3912</v>
      </c>
      <c r="B1140" s="13" t="s">
        <v>730</v>
      </c>
      <c r="C1140" s="14" t="s">
        <v>34</v>
      </c>
      <c r="D1140" s="14" t="s">
        <v>46</v>
      </c>
      <c r="E1140" s="14" t="s">
        <v>3913</v>
      </c>
      <c r="F1140" s="9" t="s">
        <v>37</v>
      </c>
      <c r="G1140" s="9" t="b">
        <v>0</v>
      </c>
      <c r="H1140" s="9" t="s">
        <v>188</v>
      </c>
      <c r="I1140" s="9">
        <v>1.0</v>
      </c>
      <c r="J1140" s="9">
        <v>0.0</v>
      </c>
      <c r="K1140" s="9">
        <v>1.0</v>
      </c>
    </row>
    <row r="1141">
      <c r="A1141" s="7" t="s">
        <v>3914</v>
      </c>
      <c r="B1141" s="13" t="s">
        <v>1911</v>
      </c>
      <c r="C1141" s="14" t="s">
        <v>34</v>
      </c>
      <c r="D1141" s="14" t="s">
        <v>46</v>
      </c>
      <c r="E1141" s="14" t="s">
        <v>3915</v>
      </c>
      <c r="F1141" s="9" t="s">
        <v>37</v>
      </c>
      <c r="G1141" s="9" t="b">
        <v>0</v>
      </c>
      <c r="H1141" s="9" t="s">
        <v>3916</v>
      </c>
      <c r="I1141" s="9">
        <v>1.0</v>
      </c>
      <c r="J1141" s="9">
        <v>0.0</v>
      </c>
      <c r="K1141" s="9">
        <v>0.0</v>
      </c>
    </row>
    <row r="1142">
      <c r="A1142" s="7" t="s">
        <v>3917</v>
      </c>
      <c r="B1142" s="13" t="s">
        <v>1915</v>
      </c>
      <c r="C1142" s="14" t="s">
        <v>34</v>
      </c>
      <c r="D1142" s="14" t="s">
        <v>953</v>
      </c>
      <c r="E1142" s="14" t="s">
        <v>3918</v>
      </c>
      <c r="F1142" s="9" t="s">
        <v>37</v>
      </c>
      <c r="G1142" s="9" t="b">
        <v>0</v>
      </c>
      <c r="I1142" s="9">
        <v>1.0</v>
      </c>
      <c r="J1142" s="9">
        <v>0.0</v>
      </c>
      <c r="K1142" s="9">
        <v>1.0</v>
      </c>
    </row>
    <row r="1143">
      <c r="A1143" s="7" t="s">
        <v>3919</v>
      </c>
      <c r="B1143" s="13" t="s">
        <v>1917</v>
      </c>
      <c r="C1143" s="14" t="s">
        <v>1203</v>
      </c>
      <c r="D1143" s="14" t="s">
        <v>46</v>
      </c>
      <c r="E1143" s="14" t="s">
        <v>3920</v>
      </c>
      <c r="F1143" s="9" t="s">
        <v>1205</v>
      </c>
      <c r="G1143" s="9" t="b">
        <v>0</v>
      </c>
      <c r="H1143" s="9" t="s">
        <v>3921</v>
      </c>
      <c r="I1143" s="9">
        <v>1.0</v>
      </c>
      <c r="J1143" s="9">
        <v>0.0</v>
      </c>
      <c r="K1143" s="9">
        <v>0.0</v>
      </c>
    </row>
    <row r="1144">
      <c r="A1144" s="7" t="s">
        <v>3922</v>
      </c>
      <c r="B1144" s="13" t="s">
        <v>1919</v>
      </c>
      <c r="C1144" s="14" t="s">
        <v>1203</v>
      </c>
      <c r="D1144" s="14" t="s">
        <v>953</v>
      </c>
      <c r="E1144" s="14" t="s">
        <v>3923</v>
      </c>
      <c r="F1144" s="9" t="s">
        <v>1205</v>
      </c>
      <c r="G1144" s="9" t="b">
        <v>0</v>
      </c>
      <c r="H1144" s="9" t="s">
        <v>3924</v>
      </c>
      <c r="I1144" s="9">
        <v>1.0</v>
      </c>
      <c r="J1144" s="9">
        <v>0.0</v>
      </c>
      <c r="K1144" s="9">
        <v>1.0</v>
      </c>
    </row>
    <row r="1145">
      <c r="A1145" s="7" t="s">
        <v>3925</v>
      </c>
      <c r="B1145" s="13" t="s">
        <v>142</v>
      </c>
      <c r="C1145" s="14" t="s">
        <v>61</v>
      </c>
      <c r="D1145" s="14" t="s">
        <v>25</v>
      </c>
      <c r="E1145" s="14" t="s">
        <v>3926</v>
      </c>
      <c r="F1145" s="9" t="s">
        <v>64</v>
      </c>
      <c r="G1145" s="9" t="b">
        <v>0</v>
      </c>
      <c r="H1145" s="9" t="s">
        <v>3927</v>
      </c>
      <c r="I1145" s="9">
        <v>1.0</v>
      </c>
      <c r="J1145" s="9">
        <v>0.0</v>
      </c>
      <c r="K1145" s="9">
        <v>1.0</v>
      </c>
    </row>
    <row r="1146">
      <c r="A1146" s="7" t="s">
        <v>3928</v>
      </c>
      <c r="B1146" s="13" t="s">
        <v>1922</v>
      </c>
      <c r="C1146" s="14" t="s">
        <v>1203</v>
      </c>
      <c r="D1146" s="14" t="s">
        <v>46</v>
      </c>
      <c r="E1146" s="14" t="s">
        <v>3929</v>
      </c>
      <c r="F1146" s="9" t="s">
        <v>1205</v>
      </c>
      <c r="G1146" s="9" t="b">
        <v>0</v>
      </c>
      <c r="I1146" s="9">
        <v>1.0</v>
      </c>
      <c r="J1146" s="9">
        <v>0.0</v>
      </c>
      <c r="K1146" s="9">
        <v>1.0</v>
      </c>
    </row>
    <row r="1147">
      <c r="A1147" s="7" t="s">
        <v>3930</v>
      </c>
      <c r="B1147" s="13" t="s">
        <v>1923</v>
      </c>
      <c r="C1147" s="14" t="s">
        <v>169</v>
      </c>
      <c r="D1147" s="14" t="s">
        <v>169</v>
      </c>
      <c r="E1147" s="15"/>
      <c r="F1147" s="9" t="s">
        <v>94</v>
      </c>
      <c r="H1147" s="9" t="s">
        <v>172</v>
      </c>
      <c r="I1147" s="9">
        <v>1.0</v>
      </c>
      <c r="J1147" s="9">
        <v>0.0</v>
      </c>
      <c r="K1147" s="9">
        <v>2.0</v>
      </c>
    </row>
    <row r="1148">
      <c r="A1148" s="7" t="s">
        <v>3931</v>
      </c>
      <c r="B1148" s="13" t="s">
        <v>1924</v>
      </c>
      <c r="C1148" s="14" t="s">
        <v>1203</v>
      </c>
      <c r="D1148" s="14" t="s">
        <v>46</v>
      </c>
      <c r="E1148" s="14" t="s">
        <v>3932</v>
      </c>
      <c r="F1148" s="9" t="s">
        <v>1205</v>
      </c>
      <c r="G1148" s="9" t="b">
        <v>0</v>
      </c>
      <c r="H1148" s="9" t="s">
        <v>1928</v>
      </c>
      <c r="I1148" s="9">
        <v>1.0</v>
      </c>
      <c r="J1148" s="9">
        <v>0.0</v>
      </c>
      <c r="K1148" s="9">
        <v>1.0</v>
      </c>
    </row>
    <row r="1149">
      <c r="A1149" s="7" t="s">
        <v>3933</v>
      </c>
      <c r="B1149" s="13" t="s">
        <v>789</v>
      </c>
      <c r="C1149" s="14" t="s">
        <v>144</v>
      </c>
      <c r="D1149" s="14" t="s">
        <v>46</v>
      </c>
      <c r="E1149" s="14" t="s">
        <v>3934</v>
      </c>
      <c r="F1149" s="9" t="s">
        <v>147</v>
      </c>
      <c r="G1149" s="9" t="b">
        <v>0</v>
      </c>
      <c r="H1149" s="9" t="s">
        <v>188</v>
      </c>
      <c r="I1149" s="9">
        <v>1.0</v>
      </c>
      <c r="J1149" s="9">
        <v>0.0</v>
      </c>
      <c r="K1149" s="9">
        <v>1.0</v>
      </c>
    </row>
    <row r="1150">
      <c r="A1150" s="7" t="s">
        <v>3935</v>
      </c>
      <c r="B1150" s="13" t="s">
        <v>1284</v>
      </c>
      <c r="C1150" s="14" t="s">
        <v>309</v>
      </c>
      <c r="D1150" s="14" t="s">
        <v>46</v>
      </c>
      <c r="E1150" s="14" t="s">
        <v>3936</v>
      </c>
      <c r="F1150" s="9" t="s">
        <v>311</v>
      </c>
      <c r="G1150" s="9" t="b">
        <v>0</v>
      </c>
      <c r="H1150" s="9" t="s">
        <v>720</v>
      </c>
      <c r="I1150" s="9">
        <v>1.0</v>
      </c>
      <c r="J1150" s="9">
        <v>0.0</v>
      </c>
      <c r="K1150" s="9">
        <v>1.0</v>
      </c>
    </row>
    <row r="1151">
      <c r="A1151" s="7" t="s">
        <v>3937</v>
      </c>
      <c r="B1151" s="13" t="s">
        <v>1284</v>
      </c>
      <c r="C1151" s="14" t="s">
        <v>1203</v>
      </c>
      <c r="D1151" s="14" t="s">
        <v>46</v>
      </c>
      <c r="E1151" s="14" t="s">
        <v>3938</v>
      </c>
      <c r="F1151" s="9" t="s">
        <v>1205</v>
      </c>
      <c r="G1151" s="9" t="b">
        <v>0</v>
      </c>
      <c r="H1151" s="9" t="s">
        <v>1285</v>
      </c>
      <c r="I1151" s="9">
        <v>1.0</v>
      </c>
      <c r="J1151" s="9">
        <v>0.0</v>
      </c>
      <c r="K1151" s="9">
        <v>0.0</v>
      </c>
    </row>
    <row r="1152">
      <c r="A1152" s="7" t="s">
        <v>3939</v>
      </c>
      <c r="B1152" s="13" t="s">
        <v>142</v>
      </c>
      <c r="C1152" s="14" t="s">
        <v>169</v>
      </c>
      <c r="D1152" s="14" t="s">
        <v>25</v>
      </c>
      <c r="E1152" s="14" t="s">
        <v>3940</v>
      </c>
      <c r="F1152" s="9" t="s">
        <v>94</v>
      </c>
      <c r="G1152" s="9" t="b">
        <v>0</v>
      </c>
      <c r="H1152" s="9" t="s">
        <v>3941</v>
      </c>
      <c r="I1152" s="9">
        <v>1.0</v>
      </c>
      <c r="J1152" s="9">
        <v>0.0</v>
      </c>
      <c r="K1152" s="9">
        <v>1.0</v>
      </c>
    </row>
    <row r="1153">
      <c r="A1153" s="7" t="s">
        <v>3942</v>
      </c>
      <c r="B1153" s="14" t="s">
        <v>86</v>
      </c>
      <c r="C1153" s="14" t="s">
        <v>1203</v>
      </c>
      <c r="D1153" s="14" t="s">
        <v>35</v>
      </c>
      <c r="E1153" s="14" t="s">
        <v>3943</v>
      </c>
      <c r="F1153" s="9" t="s">
        <v>1205</v>
      </c>
      <c r="G1153" s="9" t="b">
        <v>0</v>
      </c>
      <c r="H1153" s="9" t="s">
        <v>3944</v>
      </c>
      <c r="I1153" s="9">
        <v>1.0</v>
      </c>
      <c r="J1153" s="9">
        <v>0.0</v>
      </c>
      <c r="K1153" s="9">
        <v>0.0</v>
      </c>
    </row>
    <row r="1154">
      <c r="A1154" s="7" t="s">
        <v>3945</v>
      </c>
      <c r="B1154" s="14" t="s">
        <v>86</v>
      </c>
      <c r="C1154" s="14" t="s">
        <v>34</v>
      </c>
      <c r="D1154" s="14" t="s">
        <v>35</v>
      </c>
      <c r="E1154" s="14" t="s">
        <v>3946</v>
      </c>
      <c r="F1154" s="9" t="s">
        <v>37</v>
      </c>
      <c r="G1154" s="9" t="b">
        <v>0</v>
      </c>
      <c r="H1154" s="9" t="s">
        <v>3947</v>
      </c>
      <c r="I1154" s="9">
        <v>1.0</v>
      </c>
      <c r="J1154" s="9">
        <v>0.0</v>
      </c>
      <c r="K1154" s="9">
        <v>1.0</v>
      </c>
    </row>
    <row r="1155">
      <c r="A1155" s="7" t="s">
        <v>3948</v>
      </c>
      <c r="B1155" s="14" t="s">
        <v>86</v>
      </c>
      <c r="C1155" s="14" t="s">
        <v>34</v>
      </c>
      <c r="D1155" s="14" t="s">
        <v>35</v>
      </c>
      <c r="E1155" s="14" t="s">
        <v>3949</v>
      </c>
      <c r="F1155" s="9" t="s">
        <v>37</v>
      </c>
      <c r="G1155" s="9" t="b">
        <v>0</v>
      </c>
      <c r="H1155" s="9" t="s">
        <v>3950</v>
      </c>
      <c r="I1155" s="9">
        <v>1.0</v>
      </c>
      <c r="J1155" s="9">
        <v>0.0</v>
      </c>
      <c r="K1155" s="9">
        <v>0.0</v>
      </c>
    </row>
    <row r="1156">
      <c r="A1156" s="7" t="s">
        <v>3951</v>
      </c>
      <c r="B1156" s="14" t="s">
        <v>86</v>
      </c>
      <c r="C1156" s="14" t="s">
        <v>34</v>
      </c>
      <c r="D1156" s="14" t="s">
        <v>35</v>
      </c>
      <c r="E1156" s="14" t="s">
        <v>3952</v>
      </c>
      <c r="F1156" s="9" t="s">
        <v>37</v>
      </c>
      <c r="G1156" s="9" t="b">
        <v>0</v>
      </c>
      <c r="H1156" s="9" t="s">
        <v>3953</v>
      </c>
      <c r="I1156" s="9">
        <v>1.0</v>
      </c>
      <c r="J1156" s="9">
        <v>0.0</v>
      </c>
      <c r="K1156" s="9">
        <v>0.0</v>
      </c>
    </row>
    <row r="1157">
      <c r="A1157" s="7" t="s">
        <v>3954</v>
      </c>
      <c r="B1157" s="14" t="s">
        <v>86</v>
      </c>
      <c r="C1157" s="14" t="s">
        <v>34</v>
      </c>
      <c r="D1157" s="14" t="s">
        <v>35</v>
      </c>
      <c r="E1157" s="14" t="s">
        <v>3955</v>
      </c>
      <c r="F1157" s="9" t="s">
        <v>37</v>
      </c>
      <c r="G1157" s="9" t="b">
        <v>0</v>
      </c>
      <c r="H1157" s="9" t="s">
        <v>3956</v>
      </c>
      <c r="I1157" s="9">
        <v>1.0</v>
      </c>
      <c r="J1157" s="9">
        <v>0.0</v>
      </c>
      <c r="K1157" s="9">
        <v>1.0</v>
      </c>
    </row>
    <row r="1158">
      <c r="A1158" s="7" t="s">
        <v>3957</v>
      </c>
      <c r="B1158" s="13" t="s">
        <v>793</v>
      </c>
      <c r="C1158" s="14" t="s">
        <v>34</v>
      </c>
      <c r="D1158" s="14" t="s">
        <v>46</v>
      </c>
      <c r="E1158" s="14" t="s">
        <v>3958</v>
      </c>
      <c r="F1158" s="9" t="s">
        <v>37</v>
      </c>
      <c r="G1158" s="9" t="b">
        <v>1</v>
      </c>
      <c r="H1158" s="9" t="s">
        <v>3959</v>
      </c>
      <c r="I1158" s="9">
        <v>1.0</v>
      </c>
      <c r="J1158" s="9">
        <v>0.0</v>
      </c>
      <c r="K1158" s="9">
        <v>0.0</v>
      </c>
    </row>
    <row r="1159">
      <c r="A1159" s="7" t="s">
        <v>3960</v>
      </c>
      <c r="B1159" s="13" t="s">
        <v>895</v>
      </c>
      <c r="C1159" s="14" t="s">
        <v>521</v>
      </c>
      <c r="D1159" s="14" t="s">
        <v>46</v>
      </c>
      <c r="E1159" s="14" t="s">
        <v>3961</v>
      </c>
      <c r="F1159" s="9" t="s">
        <v>523</v>
      </c>
      <c r="G1159" s="9" t="b">
        <v>0</v>
      </c>
      <c r="H1159" s="9" t="s">
        <v>666</v>
      </c>
      <c r="I1159" s="9">
        <v>1.0</v>
      </c>
      <c r="J1159" s="9">
        <v>0.0</v>
      </c>
      <c r="K1159" s="9">
        <v>1.0</v>
      </c>
    </row>
    <row r="1160">
      <c r="A1160" s="7" t="s">
        <v>3962</v>
      </c>
      <c r="B1160" s="13" t="s">
        <v>895</v>
      </c>
      <c r="C1160" s="14" t="s">
        <v>1203</v>
      </c>
      <c r="D1160" s="14" t="s">
        <v>46</v>
      </c>
      <c r="E1160" s="14" t="s">
        <v>3963</v>
      </c>
      <c r="F1160" s="9" t="s">
        <v>1205</v>
      </c>
      <c r="G1160" s="9" t="b">
        <v>0</v>
      </c>
      <c r="H1160" s="9" t="s">
        <v>188</v>
      </c>
      <c r="I1160" s="9">
        <v>1.0</v>
      </c>
      <c r="J1160" s="9">
        <v>0.0</v>
      </c>
      <c r="K1160" s="9">
        <v>0.0</v>
      </c>
    </row>
    <row r="1161">
      <c r="A1161" s="7" t="s">
        <v>3964</v>
      </c>
      <c r="B1161" s="13" t="s">
        <v>895</v>
      </c>
      <c r="C1161" s="14" t="s">
        <v>144</v>
      </c>
      <c r="D1161" s="14" t="s">
        <v>46</v>
      </c>
      <c r="E1161" s="14" t="s">
        <v>3965</v>
      </c>
      <c r="F1161" s="9" t="s">
        <v>147</v>
      </c>
      <c r="G1161" s="9" t="b">
        <v>0</v>
      </c>
      <c r="H1161" s="9" t="s">
        <v>188</v>
      </c>
      <c r="I1161" s="9">
        <v>1.0</v>
      </c>
      <c r="J1161" s="9">
        <v>0.0</v>
      </c>
      <c r="K1161" s="9">
        <v>0.0</v>
      </c>
    </row>
    <row r="1162">
      <c r="A1162" s="7" t="s">
        <v>3966</v>
      </c>
      <c r="B1162" s="13" t="s">
        <v>844</v>
      </c>
      <c r="C1162" s="14" t="s">
        <v>144</v>
      </c>
      <c r="D1162" s="14" t="s">
        <v>2964</v>
      </c>
      <c r="E1162" s="14" t="s">
        <v>3967</v>
      </c>
      <c r="F1162" s="9" t="s">
        <v>147</v>
      </c>
      <c r="G1162" s="9" t="b">
        <v>1</v>
      </c>
      <c r="H1162" s="9" t="s">
        <v>2966</v>
      </c>
      <c r="I1162" s="9">
        <v>1.0</v>
      </c>
      <c r="J1162" s="9">
        <v>0.0</v>
      </c>
      <c r="K1162" s="9">
        <v>1.0</v>
      </c>
    </row>
    <row r="1163">
      <c r="A1163" s="7" t="s">
        <v>3968</v>
      </c>
      <c r="B1163" s="13" t="s">
        <v>844</v>
      </c>
      <c r="C1163" s="14" t="s">
        <v>144</v>
      </c>
      <c r="D1163" s="14" t="s">
        <v>2964</v>
      </c>
      <c r="E1163" s="14" t="s">
        <v>3969</v>
      </c>
      <c r="F1163" s="9" t="s">
        <v>147</v>
      </c>
      <c r="G1163" s="9" t="b">
        <v>1</v>
      </c>
      <c r="H1163" s="9" t="s">
        <v>3970</v>
      </c>
      <c r="I1163" s="9">
        <v>1.0</v>
      </c>
      <c r="J1163" s="9">
        <v>0.0</v>
      </c>
      <c r="K1163" s="9">
        <v>1.0</v>
      </c>
    </row>
    <row r="1164">
      <c r="A1164" s="7" t="s">
        <v>3971</v>
      </c>
      <c r="B1164" s="13" t="s">
        <v>1929</v>
      </c>
      <c r="C1164" s="14" t="s">
        <v>34</v>
      </c>
      <c r="D1164" s="14" t="s">
        <v>46</v>
      </c>
      <c r="E1164" s="14" t="s">
        <v>3972</v>
      </c>
      <c r="F1164" s="9" t="s">
        <v>37</v>
      </c>
      <c r="G1164" s="9" t="b">
        <v>0</v>
      </c>
      <c r="H1164" s="9" t="s">
        <v>1424</v>
      </c>
      <c r="I1164" s="9">
        <v>1.0</v>
      </c>
      <c r="J1164" s="9">
        <v>0.0</v>
      </c>
      <c r="K1164" s="9">
        <v>1.0</v>
      </c>
    </row>
    <row r="1165">
      <c r="A1165" s="7" t="s">
        <v>3973</v>
      </c>
      <c r="B1165" s="13" t="s">
        <v>209</v>
      </c>
      <c r="C1165" s="14" t="s">
        <v>34</v>
      </c>
      <c r="D1165" s="14" t="s">
        <v>62</v>
      </c>
      <c r="E1165" s="14" t="s">
        <v>3974</v>
      </c>
      <c r="F1165" s="9" t="s">
        <v>37</v>
      </c>
      <c r="G1165" s="9" t="b">
        <v>0</v>
      </c>
      <c r="H1165" s="9" t="s">
        <v>3975</v>
      </c>
      <c r="I1165" s="9">
        <v>1.0</v>
      </c>
      <c r="J1165" s="9">
        <v>0.0</v>
      </c>
      <c r="K1165" s="9">
        <v>0.0</v>
      </c>
    </row>
    <row r="1166">
      <c r="A1166" s="7" t="s">
        <v>3976</v>
      </c>
      <c r="B1166" s="13" t="s">
        <v>209</v>
      </c>
      <c r="C1166" s="14" t="s">
        <v>34</v>
      </c>
      <c r="D1166" s="14" t="s">
        <v>62</v>
      </c>
      <c r="E1166" s="14" t="s">
        <v>3977</v>
      </c>
      <c r="F1166" s="9" t="s">
        <v>37</v>
      </c>
      <c r="G1166" s="9" t="b">
        <v>0</v>
      </c>
      <c r="H1166" s="9" t="s">
        <v>3978</v>
      </c>
      <c r="I1166" s="9">
        <v>1.0</v>
      </c>
      <c r="J1166" s="9">
        <v>0.0</v>
      </c>
      <c r="K1166" s="9">
        <v>1.0</v>
      </c>
    </row>
    <row r="1167">
      <c r="A1167" s="7" t="s">
        <v>3979</v>
      </c>
      <c r="B1167" s="13" t="s">
        <v>209</v>
      </c>
      <c r="C1167" s="14" t="s">
        <v>34</v>
      </c>
      <c r="D1167" s="14" t="s">
        <v>62</v>
      </c>
      <c r="E1167" s="14" t="s">
        <v>3980</v>
      </c>
      <c r="F1167" s="9" t="s">
        <v>37</v>
      </c>
      <c r="G1167" s="9" t="b">
        <v>1</v>
      </c>
      <c r="H1167" s="9" t="s">
        <v>3981</v>
      </c>
      <c r="I1167" s="9">
        <v>1.0</v>
      </c>
      <c r="J1167" s="9">
        <v>0.0</v>
      </c>
      <c r="K1167" s="9">
        <v>0.0</v>
      </c>
    </row>
    <row r="1168">
      <c r="A1168" s="7" t="s">
        <v>3982</v>
      </c>
      <c r="B1168" s="13" t="s">
        <v>139</v>
      </c>
      <c r="C1168" s="14" t="s">
        <v>144</v>
      </c>
      <c r="D1168" s="14" t="s">
        <v>35</v>
      </c>
      <c r="E1168" s="14" t="s">
        <v>3983</v>
      </c>
      <c r="F1168" s="9" t="s">
        <v>147</v>
      </c>
      <c r="G1168" s="9" t="b">
        <v>0</v>
      </c>
      <c r="H1168" s="9" t="s">
        <v>720</v>
      </c>
      <c r="I1168" s="9">
        <v>1.0</v>
      </c>
      <c r="J1168" s="9">
        <v>0.0</v>
      </c>
      <c r="K1168" s="9">
        <v>0.0</v>
      </c>
    </row>
    <row r="1169">
      <c r="A1169" s="7" t="s">
        <v>3984</v>
      </c>
      <c r="B1169" s="13" t="s">
        <v>1933</v>
      </c>
      <c r="C1169" s="14" t="s">
        <v>1203</v>
      </c>
      <c r="D1169" s="14" t="s">
        <v>46</v>
      </c>
      <c r="E1169" s="14" t="s">
        <v>3985</v>
      </c>
      <c r="F1169" s="9" t="s">
        <v>1205</v>
      </c>
      <c r="G1169" s="9" t="b">
        <v>0</v>
      </c>
      <c r="H1169" s="9" t="s">
        <v>482</v>
      </c>
      <c r="I1169" s="9">
        <v>1.0</v>
      </c>
      <c r="J1169" s="9">
        <v>0.0</v>
      </c>
      <c r="K1169" s="9">
        <v>1.0</v>
      </c>
    </row>
    <row r="1170">
      <c r="A1170" s="7" t="s">
        <v>3986</v>
      </c>
      <c r="B1170" s="13" t="s">
        <v>3987</v>
      </c>
      <c r="C1170" s="14" t="s">
        <v>431</v>
      </c>
      <c r="D1170" s="14" t="s">
        <v>46</v>
      </c>
      <c r="E1170" s="14" t="s">
        <v>3988</v>
      </c>
      <c r="F1170" s="9" t="s">
        <v>433</v>
      </c>
      <c r="G1170" s="9" t="b">
        <v>0</v>
      </c>
      <c r="H1170" s="9" t="s">
        <v>201</v>
      </c>
      <c r="I1170" s="9">
        <v>1.0</v>
      </c>
      <c r="J1170" s="9">
        <v>0.0</v>
      </c>
      <c r="K1170" s="9">
        <v>1.0</v>
      </c>
    </row>
    <row r="1171">
      <c r="A1171" s="7" t="s">
        <v>3989</v>
      </c>
      <c r="B1171" s="13" t="s">
        <v>1087</v>
      </c>
      <c r="C1171" s="14" t="s">
        <v>169</v>
      </c>
      <c r="D1171" s="14" t="s">
        <v>25</v>
      </c>
      <c r="E1171" s="14" t="s">
        <v>3990</v>
      </c>
      <c r="F1171" s="9" t="s">
        <v>94</v>
      </c>
      <c r="G1171" s="9" t="b">
        <v>0</v>
      </c>
      <c r="I1171" s="9">
        <v>1.0</v>
      </c>
      <c r="J1171" s="9">
        <v>0.0</v>
      </c>
      <c r="K1171" s="9">
        <v>0.0</v>
      </c>
    </row>
    <row r="1172">
      <c r="A1172" s="7" t="s">
        <v>3991</v>
      </c>
      <c r="B1172" s="13" t="s">
        <v>1087</v>
      </c>
      <c r="C1172" s="14" t="s">
        <v>169</v>
      </c>
      <c r="D1172" s="14" t="s">
        <v>25</v>
      </c>
      <c r="E1172" s="14" t="s">
        <v>3992</v>
      </c>
      <c r="F1172" s="9" t="s">
        <v>94</v>
      </c>
      <c r="G1172" s="9" t="b">
        <v>0</v>
      </c>
      <c r="I1172" s="9">
        <v>1.0</v>
      </c>
      <c r="J1172" s="9">
        <v>0.0</v>
      </c>
      <c r="K1172" s="9">
        <v>1.0</v>
      </c>
    </row>
    <row r="1173">
      <c r="A1173" s="7" t="s">
        <v>3993</v>
      </c>
      <c r="B1173" s="13" t="s">
        <v>1087</v>
      </c>
      <c r="C1173" s="14" t="s">
        <v>169</v>
      </c>
      <c r="D1173" s="14" t="s">
        <v>169</v>
      </c>
      <c r="E1173" s="15"/>
      <c r="F1173" s="9" t="s">
        <v>94</v>
      </c>
      <c r="H1173" s="9" t="s">
        <v>172</v>
      </c>
      <c r="I1173" s="9">
        <v>1.0</v>
      </c>
      <c r="J1173" s="9">
        <v>0.0</v>
      </c>
      <c r="K1173" s="9">
        <v>1.0</v>
      </c>
    </row>
    <row r="1174">
      <c r="A1174" s="7" t="s">
        <v>3994</v>
      </c>
      <c r="B1174" s="13" t="s">
        <v>1937</v>
      </c>
      <c r="C1174" s="14" t="s">
        <v>34</v>
      </c>
      <c r="D1174" s="14" t="s">
        <v>25</v>
      </c>
      <c r="E1174" s="14" t="s">
        <v>3995</v>
      </c>
      <c r="F1174" s="9" t="s">
        <v>37</v>
      </c>
      <c r="G1174" s="9" t="b">
        <v>0</v>
      </c>
      <c r="H1174" s="9" t="s">
        <v>188</v>
      </c>
      <c r="I1174" s="9">
        <v>1.0</v>
      </c>
      <c r="J1174" s="9">
        <v>0.0</v>
      </c>
      <c r="K1174" s="9">
        <v>2.0</v>
      </c>
    </row>
    <row r="1175">
      <c r="A1175" s="7" t="s">
        <v>3996</v>
      </c>
      <c r="B1175" s="13" t="s">
        <v>1939</v>
      </c>
      <c r="C1175" s="14" t="s">
        <v>521</v>
      </c>
      <c r="D1175" s="14" t="s">
        <v>953</v>
      </c>
      <c r="E1175" s="14" t="s">
        <v>3997</v>
      </c>
      <c r="F1175" s="9" t="s">
        <v>523</v>
      </c>
      <c r="G1175" s="9" t="b">
        <v>0</v>
      </c>
      <c r="H1175" s="9" t="s">
        <v>188</v>
      </c>
      <c r="I1175" s="9">
        <v>1.0</v>
      </c>
      <c r="J1175" s="9">
        <v>0.0</v>
      </c>
      <c r="K1175" s="9">
        <v>1.0</v>
      </c>
    </row>
    <row r="1176">
      <c r="A1176" s="7" t="s">
        <v>3998</v>
      </c>
      <c r="B1176" s="13" t="s">
        <v>1942</v>
      </c>
      <c r="C1176" s="14" t="s">
        <v>521</v>
      </c>
      <c r="D1176" s="14" t="s">
        <v>46</v>
      </c>
      <c r="E1176" s="14" t="s">
        <v>3999</v>
      </c>
      <c r="F1176" s="9" t="s">
        <v>523</v>
      </c>
      <c r="G1176" s="9" t="b">
        <v>0</v>
      </c>
      <c r="H1176" s="9" t="s">
        <v>337</v>
      </c>
      <c r="I1176" s="9">
        <v>1.0</v>
      </c>
      <c r="J1176" s="9">
        <v>0.0</v>
      </c>
      <c r="K1176" s="9">
        <v>2.0</v>
      </c>
    </row>
    <row r="1177">
      <c r="A1177" s="7" t="s">
        <v>4000</v>
      </c>
      <c r="B1177" s="13" t="s">
        <v>1943</v>
      </c>
      <c r="C1177" s="14" t="s">
        <v>521</v>
      </c>
      <c r="D1177" s="14" t="s">
        <v>46</v>
      </c>
      <c r="E1177" s="14" t="s">
        <v>4001</v>
      </c>
      <c r="F1177" s="9" t="s">
        <v>523</v>
      </c>
      <c r="G1177" s="9" t="b">
        <v>0</v>
      </c>
      <c r="I1177" s="9">
        <v>1.0</v>
      </c>
      <c r="J1177" s="9">
        <v>0.0</v>
      </c>
      <c r="K1177" s="9">
        <v>0.0</v>
      </c>
    </row>
    <row r="1178">
      <c r="A1178" s="7" t="s">
        <v>4002</v>
      </c>
      <c r="B1178" s="13" t="s">
        <v>1947</v>
      </c>
      <c r="C1178" s="14" t="s">
        <v>61</v>
      </c>
      <c r="D1178" s="14" t="s">
        <v>35</v>
      </c>
      <c r="E1178" s="14" t="s">
        <v>4003</v>
      </c>
      <c r="F1178" s="9" t="s">
        <v>64</v>
      </c>
      <c r="G1178" s="9" t="b">
        <v>0</v>
      </c>
      <c r="H1178" s="9" t="s">
        <v>4004</v>
      </c>
      <c r="I1178" s="9">
        <v>1.0</v>
      </c>
      <c r="J1178" s="9">
        <v>0.0</v>
      </c>
      <c r="K1178" s="9">
        <v>1.0</v>
      </c>
    </row>
    <row r="1179">
      <c r="A1179" s="7" t="s">
        <v>4005</v>
      </c>
      <c r="B1179" s="13" t="s">
        <v>232</v>
      </c>
      <c r="C1179" s="14" t="s">
        <v>1203</v>
      </c>
      <c r="D1179" s="14" t="s">
        <v>46</v>
      </c>
      <c r="E1179" s="14" t="s">
        <v>4006</v>
      </c>
      <c r="F1179" s="9" t="s">
        <v>1205</v>
      </c>
      <c r="G1179" s="9" t="b">
        <v>0</v>
      </c>
      <c r="I1179" s="9">
        <v>1.0</v>
      </c>
      <c r="J1179" s="9">
        <v>0.0</v>
      </c>
      <c r="K1179" s="9">
        <v>1.0</v>
      </c>
    </row>
    <row r="1180">
      <c r="A1180" s="7" t="s">
        <v>4007</v>
      </c>
      <c r="B1180" s="13" t="s">
        <v>1949</v>
      </c>
      <c r="C1180" s="14" t="s">
        <v>521</v>
      </c>
      <c r="D1180" s="14" t="s">
        <v>46</v>
      </c>
      <c r="E1180" s="15"/>
      <c r="F1180" s="9" t="s">
        <v>523</v>
      </c>
      <c r="H1180" s="9" t="s">
        <v>172</v>
      </c>
      <c r="I1180" s="9">
        <v>1.0</v>
      </c>
      <c r="J1180" s="9">
        <v>0.0</v>
      </c>
      <c r="K1180" s="9">
        <v>2.0</v>
      </c>
    </row>
    <row r="1181">
      <c r="A1181" s="7" t="s">
        <v>4008</v>
      </c>
      <c r="B1181" s="13" t="s">
        <v>1953</v>
      </c>
      <c r="C1181" s="14" t="s">
        <v>1203</v>
      </c>
      <c r="D1181" s="14" t="s">
        <v>46</v>
      </c>
      <c r="E1181" s="14" t="s">
        <v>4009</v>
      </c>
      <c r="F1181" s="9" t="s">
        <v>1205</v>
      </c>
      <c r="G1181" s="9" t="b">
        <v>0</v>
      </c>
      <c r="H1181" s="9" t="s">
        <v>188</v>
      </c>
      <c r="I1181" s="9">
        <v>1.0</v>
      </c>
      <c r="J1181" s="9">
        <v>0.0</v>
      </c>
      <c r="K1181" s="9">
        <v>1.0</v>
      </c>
    </row>
    <row r="1182">
      <c r="A1182" s="7" t="s">
        <v>4010</v>
      </c>
      <c r="B1182" s="13" t="s">
        <v>1956</v>
      </c>
      <c r="C1182" s="14" t="s">
        <v>521</v>
      </c>
      <c r="D1182" s="14" t="s">
        <v>46</v>
      </c>
      <c r="E1182" s="14" t="s">
        <v>4011</v>
      </c>
      <c r="F1182" s="9" t="s">
        <v>523</v>
      </c>
      <c r="G1182" s="9" t="b">
        <v>0</v>
      </c>
      <c r="H1182" s="9" t="s">
        <v>2618</v>
      </c>
      <c r="I1182" s="9">
        <v>1.0</v>
      </c>
      <c r="J1182" s="9">
        <v>0.0</v>
      </c>
      <c r="K1182" s="9">
        <v>1.0</v>
      </c>
    </row>
    <row r="1183">
      <c r="A1183" s="7" t="s">
        <v>4012</v>
      </c>
      <c r="B1183" s="13" t="s">
        <v>796</v>
      </c>
      <c r="C1183" s="14" t="s">
        <v>144</v>
      </c>
      <c r="D1183" s="14" t="s">
        <v>46</v>
      </c>
      <c r="E1183" s="14" t="s">
        <v>4013</v>
      </c>
      <c r="F1183" s="9" t="s">
        <v>147</v>
      </c>
      <c r="G1183" s="9" t="b">
        <v>0</v>
      </c>
      <c r="H1183" s="9" t="s">
        <v>482</v>
      </c>
      <c r="I1183" s="9">
        <v>1.0</v>
      </c>
      <c r="J1183" s="9">
        <v>0.0</v>
      </c>
      <c r="K1183" s="9">
        <v>0.0</v>
      </c>
    </row>
    <row r="1184">
      <c r="A1184" s="7" t="s">
        <v>4014</v>
      </c>
      <c r="B1184" s="13" t="s">
        <v>194</v>
      </c>
      <c r="C1184" s="14" t="s">
        <v>521</v>
      </c>
      <c r="D1184" s="14" t="s">
        <v>46</v>
      </c>
      <c r="E1184" s="14" t="s">
        <v>4015</v>
      </c>
      <c r="F1184" s="9" t="s">
        <v>523</v>
      </c>
      <c r="G1184" s="9" t="b">
        <v>0</v>
      </c>
      <c r="I1184" s="9">
        <v>1.0</v>
      </c>
      <c r="J1184" s="9">
        <v>0.0</v>
      </c>
      <c r="K1184" s="9">
        <v>3.0</v>
      </c>
    </row>
    <row r="1185">
      <c r="A1185" s="7" t="s">
        <v>4016</v>
      </c>
      <c r="B1185" s="13" t="s">
        <v>1301</v>
      </c>
      <c r="C1185" s="14" t="s">
        <v>521</v>
      </c>
      <c r="D1185" s="14" t="s">
        <v>46</v>
      </c>
      <c r="E1185" s="14" t="s">
        <v>4017</v>
      </c>
      <c r="F1185" s="9" t="s">
        <v>523</v>
      </c>
      <c r="G1185" s="9" t="b">
        <v>0</v>
      </c>
      <c r="H1185" s="9" t="s">
        <v>4018</v>
      </c>
      <c r="I1185" s="9">
        <v>1.0</v>
      </c>
      <c r="J1185" s="9">
        <v>0.0</v>
      </c>
      <c r="K1185" s="9">
        <v>0.0</v>
      </c>
    </row>
    <row r="1186">
      <c r="A1186" s="7" t="s">
        <v>4019</v>
      </c>
      <c r="B1186" s="13" t="s">
        <v>1301</v>
      </c>
      <c r="C1186" s="14" t="s">
        <v>144</v>
      </c>
      <c r="D1186" s="14" t="s">
        <v>46</v>
      </c>
      <c r="E1186" s="14" t="s">
        <v>4020</v>
      </c>
      <c r="F1186" s="9" t="s">
        <v>147</v>
      </c>
      <c r="G1186" s="9" t="b">
        <v>0</v>
      </c>
      <c r="I1186" s="9">
        <v>1.0</v>
      </c>
      <c r="J1186" s="9">
        <v>0.0</v>
      </c>
      <c r="K1186" s="9">
        <v>0.0</v>
      </c>
    </row>
    <row r="1187">
      <c r="A1187" s="7" t="s">
        <v>4021</v>
      </c>
      <c r="B1187" s="13" t="s">
        <v>763</v>
      </c>
      <c r="C1187" s="14" t="s">
        <v>144</v>
      </c>
      <c r="D1187" s="14" t="s">
        <v>46</v>
      </c>
      <c r="E1187" s="14" t="s">
        <v>4022</v>
      </c>
      <c r="F1187" s="9" t="s">
        <v>147</v>
      </c>
      <c r="G1187" s="9" t="b">
        <v>0</v>
      </c>
      <c r="I1187" s="9">
        <v>1.0</v>
      </c>
      <c r="J1187" s="9">
        <v>0.0</v>
      </c>
      <c r="K1187" s="9">
        <v>0.0</v>
      </c>
    </row>
    <row r="1188">
      <c r="A1188" s="7" t="s">
        <v>4023</v>
      </c>
      <c r="B1188" s="13" t="s">
        <v>763</v>
      </c>
      <c r="C1188" s="14" t="s">
        <v>144</v>
      </c>
      <c r="D1188" s="14" t="s">
        <v>46</v>
      </c>
      <c r="E1188" s="14" t="s">
        <v>4024</v>
      </c>
      <c r="F1188" s="9" t="s">
        <v>147</v>
      </c>
      <c r="G1188" s="9" t="b">
        <v>0</v>
      </c>
      <c r="H1188" s="9" t="s">
        <v>482</v>
      </c>
      <c r="I1188" s="9">
        <v>1.0</v>
      </c>
      <c r="J1188" s="9">
        <v>0.0</v>
      </c>
      <c r="K1188" s="9">
        <v>0.0</v>
      </c>
    </row>
    <row r="1189">
      <c r="A1189" s="7" t="s">
        <v>4025</v>
      </c>
      <c r="B1189" s="13" t="s">
        <v>763</v>
      </c>
      <c r="C1189" s="14" t="s">
        <v>144</v>
      </c>
      <c r="D1189" s="14" t="s">
        <v>46</v>
      </c>
      <c r="E1189" s="14" t="s">
        <v>4026</v>
      </c>
      <c r="F1189" s="9" t="s">
        <v>147</v>
      </c>
      <c r="G1189" s="9" t="b">
        <v>0</v>
      </c>
      <c r="I1189" s="9">
        <v>1.0</v>
      </c>
      <c r="J1189" s="9">
        <v>0.0</v>
      </c>
      <c r="K1189" s="9">
        <v>2.0</v>
      </c>
    </row>
    <row r="1190">
      <c r="A1190" s="7" t="s">
        <v>4027</v>
      </c>
      <c r="B1190" s="13" t="s">
        <v>1961</v>
      </c>
      <c r="C1190" s="14" t="s">
        <v>144</v>
      </c>
      <c r="D1190" s="14" t="s">
        <v>46</v>
      </c>
      <c r="E1190" s="14" t="s">
        <v>4028</v>
      </c>
      <c r="F1190" s="9" t="s">
        <v>147</v>
      </c>
      <c r="G1190" s="9" t="b">
        <v>0</v>
      </c>
      <c r="I1190" s="9">
        <v>1.0</v>
      </c>
      <c r="J1190" s="9">
        <v>0.0</v>
      </c>
      <c r="K1190" s="9">
        <v>1.0</v>
      </c>
    </row>
    <row r="1191">
      <c r="A1191" s="7" t="s">
        <v>4029</v>
      </c>
      <c r="B1191" s="13" t="s">
        <v>1963</v>
      </c>
      <c r="C1191" s="14" t="s">
        <v>521</v>
      </c>
      <c r="D1191" s="14" t="s">
        <v>46</v>
      </c>
      <c r="E1191" s="15"/>
      <c r="F1191" s="9" t="s">
        <v>523</v>
      </c>
      <c r="H1191" s="9" t="s">
        <v>172</v>
      </c>
      <c r="I1191" s="9">
        <v>1.0</v>
      </c>
      <c r="J1191" s="9">
        <v>0.0</v>
      </c>
      <c r="K1191" s="9">
        <v>2.0</v>
      </c>
    </row>
    <row r="1192">
      <c r="A1192" s="7" t="s">
        <v>4030</v>
      </c>
      <c r="B1192" s="13" t="s">
        <v>1965</v>
      </c>
      <c r="C1192" s="14" t="s">
        <v>309</v>
      </c>
      <c r="D1192" s="14" t="s">
        <v>46</v>
      </c>
      <c r="E1192" s="14" t="s">
        <v>4031</v>
      </c>
      <c r="F1192" s="9" t="s">
        <v>311</v>
      </c>
      <c r="G1192" s="9" t="b">
        <v>0</v>
      </c>
      <c r="H1192" s="9" t="s">
        <v>4032</v>
      </c>
      <c r="I1192" s="9">
        <v>1.0</v>
      </c>
      <c r="J1192" s="9">
        <v>0.0</v>
      </c>
      <c r="K1192" s="9">
        <v>0.0</v>
      </c>
    </row>
    <row r="1193">
      <c r="A1193" s="7" t="s">
        <v>4033</v>
      </c>
      <c r="B1193" s="13" t="s">
        <v>1967</v>
      </c>
      <c r="C1193" s="14" t="s">
        <v>34</v>
      </c>
      <c r="D1193" s="14" t="s">
        <v>46</v>
      </c>
      <c r="E1193" s="14" t="s">
        <v>4034</v>
      </c>
      <c r="F1193" s="9" t="s">
        <v>37</v>
      </c>
      <c r="G1193" s="9" t="b">
        <v>0</v>
      </c>
      <c r="H1193" s="9" t="s">
        <v>4035</v>
      </c>
      <c r="I1193" s="9">
        <v>1.0</v>
      </c>
      <c r="J1193" s="9">
        <v>0.0</v>
      </c>
      <c r="K1193" s="9">
        <v>1.0</v>
      </c>
    </row>
    <row r="1194">
      <c r="A1194" s="7" t="s">
        <v>4036</v>
      </c>
      <c r="B1194" s="13" t="s">
        <v>162</v>
      </c>
      <c r="C1194" s="14" t="s">
        <v>521</v>
      </c>
      <c r="D1194" s="14" t="s">
        <v>35</v>
      </c>
      <c r="E1194" s="14" t="s">
        <v>4037</v>
      </c>
      <c r="F1194" s="9" t="s">
        <v>523</v>
      </c>
      <c r="G1194" s="9" t="b">
        <v>0</v>
      </c>
      <c r="H1194" s="9" t="s">
        <v>398</v>
      </c>
      <c r="I1194" s="9">
        <v>1.0</v>
      </c>
      <c r="J1194" s="9">
        <v>0.0</v>
      </c>
      <c r="K1194" s="9">
        <v>1.0</v>
      </c>
    </row>
    <row r="1195">
      <c r="A1195" s="7" t="s">
        <v>4038</v>
      </c>
      <c r="B1195" s="13" t="s">
        <v>162</v>
      </c>
      <c r="C1195" s="14" t="s">
        <v>169</v>
      </c>
      <c r="D1195" s="14" t="s">
        <v>35</v>
      </c>
      <c r="E1195" s="14" t="s">
        <v>4039</v>
      </c>
      <c r="F1195" s="9" t="s">
        <v>94</v>
      </c>
      <c r="G1195" s="9" t="b">
        <v>0</v>
      </c>
      <c r="H1195" s="9" t="s">
        <v>955</v>
      </c>
      <c r="I1195" s="9">
        <v>1.0</v>
      </c>
      <c r="J1195" s="9">
        <v>0.0</v>
      </c>
      <c r="K1195" s="9">
        <v>0.0</v>
      </c>
    </row>
    <row r="1196">
      <c r="A1196" s="7" t="s">
        <v>4040</v>
      </c>
      <c r="B1196" s="13" t="s">
        <v>1970</v>
      </c>
      <c r="C1196" s="14" t="s">
        <v>34</v>
      </c>
      <c r="D1196" s="14" t="s">
        <v>169</v>
      </c>
      <c r="E1196" s="14" t="s">
        <v>4041</v>
      </c>
      <c r="F1196" s="9" t="s">
        <v>37</v>
      </c>
      <c r="G1196" s="9" t="b">
        <v>0</v>
      </c>
      <c r="I1196" s="9">
        <v>1.0</v>
      </c>
      <c r="J1196" s="9">
        <v>0.0</v>
      </c>
      <c r="K1196" s="9">
        <v>1.0</v>
      </c>
    </row>
    <row r="1197">
      <c r="A1197" s="7" t="s">
        <v>4042</v>
      </c>
      <c r="B1197" s="13" t="s">
        <v>84</v>
      </c>
      <c r="C1197" s="14" t="s">
        <v>34</v>
      </c>
      <c r="D1197" s="14" t="s">
        <v>46</v>
      </c>
      <c r="E1197" s="14" t="s">
        <v>4043</v>
      </c>
      <c r="F1197" s="9" t="s">
        <v>37</v>
      </c>
      <c r="G1197" s="9" t="b">
        <v>0</v>
      </c>
      <c r="H1197" s="9" t="s">
        <v>1139</v>
      </c>
      <c r="I1197" s="9">
        <v>1.0</v>
      </c>
      <c r="J1197" s="9">
        <v>0.0</v>
      </c>
      <c r="K1197" s="9">
        <v>2.0</v>
      </c>
    </row>
    <row r="1198">
      <c r="A1198" s="7" t="s">
        <v>4044</v>
      </c>
      <c r="B1198" s="13" t="s">
        <v>375</v>
      </c>
      <c r="C1198" s="14" t="s">
        <v>1203</v>
      </c>
      <c r="D1198" s="14" t="s">
        <v>46</v>
      </c>
      <c r="E1198" s="14" t="s">
        <v>4045</v>
      </c>
      <c r="F1198" s="9" t="s">
        <v>1205</v>
      </c>
      <c r="G1198" s="9" t="b">
        <v>0</v>
      </c>
      <c r="H1198" s="9" t="s">
        <v>707</v>
      </c>
      <c r="I1198" s="9">
        <v>1.0</v>
      </c>
      <c r="J1198" s="9">
        <v>0.0</v>
      </c>
      <c r="K1198" s="9">
        <v>1.0</v>
      </c>
    </row>
    <row r="1199">
      <c r="A1199" s="7" t="s">
        <v>4046</v>
      </c>
      <c r="B1199" s="13" t="s">
        <v>375</v>
      </c>
      <c r="C1199" s="14" t="s">
        <v>431</v>
      </c>
      <c r="D1199" s="14" t="s">
        <v>46</v>
      </c>
      <c r="E1199" s="14" t="s">
        <v>4047</v>
      </c>
      <c r="F1199" s="9" t="s">
        <v>433</v>
      </c>
      <c r="G1199" s="9" t="b">
        <v>0</v>
      </c>
      <c r="I1199" s="9">
        <v>1.0</v>
      </c>
      <c r="J1199" s="9">
        <v>0.0</v>
      </c>
      <c r="K1199" s="9">
        <v>0.0</v>
      </c>
    </row>
    <row r="1200">
      <c r="A1200" s="7" t="s">
        <v>4048</v>
      </c>
      <c r="B1200" s="13" t="s">
        <v>375</v>
      </c>
      <c r="C1200" s="14" t="s">
        <v>34</v>
      </c>
      <c r="D1200" s="14" t="s">
        <v>46</v>
      </c>
      <c r="E1200" s="14" t="s">
        <v>4049</v>
      </c>
      <c r="F1200" s="9" t="s">
        <v>37</v>
      </c>
      <c r="G1200" s="9" t="b">
        <v>0</v>
      </c>
      <c r="H1200" s="9" t="s">
        <v>4050</v>
      </c>
      <c r="I1200" s="9">
        <v>1.0</v>
      </c>
      <c r="J1200" s="9">
        <v>0.0</v>
      </c>
      <c r="K1200" s="9">
        <v>0.0</v>
      </c>
    </row>
    <row r="1201">
      <c r="A1201" s="7" t="s">
        <v>4051</v>
      </c>
      <c r="B1201" s="13" t="s">
        <v>375</v>
      </c>
      <c r="C1201" s="14" t="s">
        <v>144</v>
      </c>
      <c r="D1201" s="14" t="s">
        <v>46</v>
      </c>
      <c r="E1201" s="14" t="s">
        <v>2501</v>
      </c>
      <c r="F1201" s="9" t="s">
        <v>147</v>
      </c>
      <c r="G1201" s="9" t="b">
        <v>0</v>
      </c>
      <c r="H1201" s="9" t="s">
        <v>2502</v>
      </c>
      <c r="I1201" s="9">
        <v>1.0</v>
      </c>
      <c r="J1201" s="9">
        <v>0.0</v>
      </c>
      <c r="K1201" s="9">
        <v>0.0</v>
      </c>
    </row>
    <row r="1202">
      <c r="A1202" s="7" t="s">
        <v>4052</v>
      </c>
      <c r="B1202" s="13" t="s">
        <v>808</v>
      </c>
      <c r="C1202" s="14" t="s">
        <v>431</v>
      </c>
      <c r="D1202" s="14" t="s">
        <v>46</v>
      </c>
      <c r="E1202" s="14" t="s">
        <v>4053</v>
      </c>
      <c r="F1202" s="9" t="s">
        <v>433</v>
      </c>
      <c r="G1202" s="9" t="b">
        <v>0</v>
      </c>
      <c r="H1202" s="9" t="s">
        <v>812</v>
      </c>
      <c r="I1202" s="9">
        <v>1.0</v>
      </c>
      <c r="J1202" s="9">
        <v>0.0</v>
      </c>
      <c r="K1202" s="9">
        <v>0.0</v>
      </c>
    </row>
    <row r="1203">
      <c r="A1203" s="7" t="s">
        <v>4054</v>
      </c>
      <c r="B1203" s="13" t="s">
        <v>1972</v>
      </c>
      <c r="C1203" s="14" t="s">
        <v>521</v>
      </c>
      <c r="D1203" s="14" t="s">
        <v>46</v>
      </c>
      <c r="E1203" s="14" t="s">
        <v>4055</v>
      </c>
      <c r="F1203" s="9" t="s">
        <v>523</v>
      </c>
      <c r="G1203" s="9" t="b">
        <v>0</v>
      </c>
      <c r="I1203" s="9">
        <v>1.0</v>
      </c>
      <c r="J1203" s="9">
        <v>0.0</v>
      </c>
      <c r="K1203" s="9">
        <v>2.0</v>
      </c>
    </row>
    <row r="1204">
      <c r="A1204" s="7" t="s">
        <v>4056</v>
      </c>
      <c r="B1204" s="13" t="s">
        <v>142</v>
      </c>
      <c r="C1204" s="14" t="s">
        <v>61</v>
      </c>
      <c r="D1204" s="14" t="s">
        <v>25</v>
      </c>
      <c r="E1204" s="14" t="s">
        <v>4057</v>
      </c>
      <c r="F1204" s="9" t="s">
        <v>64</v>
      </c>
      <c r="G1204" s="9" t="b">
        <v>0</v>
      </c>
      <c r="H1204" s="9" t="s">
        <v>4058</v>
      </c>
      <c r="I1204" s="9">
        <v>1.0</v>
      </c>
      <c r="J1204" s="9">
        <v>0.0</v>
      </c>
      <c r="K1204" s="9">
        <v>1.0</v>
      </c>
    </row>
    <row r="1205">
      <c r="A1205" s="7" t="s">
        <v>4059</v>
      </c>
      <c r="B1205" s="13" t="s">
        <v>142</v>
      </c>
      <c r="C1205" s="14" t="s">
        <v>61</v>
      </c>
      <c r="D1205" s="14" t="s">
        <v>25</v>
      </c>
      <c r="E1205" s="14" t="s">
        <v>4060</v>
      </c>
      <c r="F1205" s="9" t="s">
        <v>64</v>
      </c>
      <c r="G1205" s="9" t="b">
        <v>0</v>
      </c>
      <c r="H1205" s="9" t="s">
        <v>4061</v>
      </c>
      <c r="I1205" s="9">
        <v>1.0</v>
      </c>
      <c r="J1205" s="9">
        <v>0.0</v>
      </c>
      <c r="K1205" s="9">
        <v>1.0</v>
      </c>
    </row>
    <row r="1206">
      <c r="A1206" s="7" t="s">
        <v>4062</v>
      </c>
      <c r="B1206" s="13" t="s">
        <v>142</v>
      </c>
      <c r="C1206" s="14" t="s">
        <v>61</v>
      </c>
      <c r="D1206" s="14" t="s">
        <v>25</v>
      </c>
      <c r="E1206" s="14" t="s">
        <v>4063</v>
      </c>
      <c r="F1206" s="9" t="s">
        <v>64</v>
      </c>
      <c r="G1206" s="9" t="b">
        <v>0</v>
      </c>
      <c r="H1206" s="9" t="s">
        <v>4064</v>
      </c>
      <c r="I1206" s="9">
        <v>1.0</v>
      </c>
      <c r="J1206" s="9">
        <v>0.0</v>
      </c>
      <c r="K1206" s="9">
        <v>1.0</v>
      </c>
    </row>
    <row r="1207">
      <c r="A1207" s="7" t="s">
        <v>4065</v>
      </c>
      <c r="B1207" s="13" t="s">
        <v>142</v>
      </c>
      <c r="C1207" s="14" t="s">
        <v>144</v>
      </c>
      <c r="D1207" s="14" t="s">
        <v>25</v>
      </c>
      <c r="E1207" s="14" t="s">
        <v>4066</v>
      </c>
      <c r="F1207" s="9" t="s">
        <v>147</v>
      </c>
      <c r="G1207" s="9" t="b">
        <v>0</v>
      </c>
      <c r="H1207" s="9" t="s">
        <v>4067</v>
      </c>
      <c r="I1207" s="9">
        <v>1.0</v>
      </c>
      <c r="J1207" s="9">
        <v>0.0</v>
      </c>
      <c r="K1207" s="9">
        <v>1.0</v>
      </c>
    </row>
    <row r="1208">
      <c r="A1208" s="7" t="s">
        <v>4068</v>
      </c>
      <c r="B1208" s="13" t="s">
        <v>142</v>
      </c>
      <c r="C1208" s="14" t="s">
        <v>169</v>
      </c>
      <c r="D1208" s="14" t="s">
        <v>25</v>
      </c>
      <c r="E1208" s="14" t="s">
        <v>4069</v>
      </c>
      <c r="F1208" s="9" t="s">
        <v>94</v>
      </c>
      <c r="G1208" s="9" t="b">
        <v>0</v>
      </c>
      <c r="H1208" s="9" t="s">
        <v>4070</v>
      </c>
      <c r="I1208" s="9">
        <v>1.0</v>
      </c>
      <c r="J1208" s="9">
        <v>0.0</v>
      </c>
      <c r="K1208" s="9">
        <v>1.0</v>
      </c>
    </row>
    <row r="1209">
      <c r="A1209" s="7" t="s">
        <v>4071</v>
      </c>
      <c r="B1209" s="13" t="s">
        <v>142</v>
      </c>
      <c r="C1209" s="14" t="s">
        <v>34</v>
      </c>
      <c r="D1209" s="14" t="s">
        <v>25</v>
      </c>
      <c r="E1209" s="14" t="s">
        <v>4072</v>
      </c>
      <c r="F1209" s="9" t="s">
        <v>37</v>
      </c>
      <c r="G1209" s="9" t="b">
        <v>0</v>
      </c>
      <c r="H1209" s="9" t="s">
        <v>4073</v>
      </c>
      <c r="I1209" s="9">
        <v>1.0</v>
      </c>
      <c r="J1209" s="9">
        <v>0.0</v>
      </c>
      <c r="K1209" s="9">
        <v>1.0</v>
      </c>
    </row>
    <row r="1210">
      <c r="A1210" s="7" t="s">
        <v>4074</v>
      </c>
      <c r="B1210" s="13" t="s">
        <v>142</v>
      </c>
      <c r="C1210" s="14" t="s">
        <v>34</v>
      </c>
      <c r="D1210" s="14" t="s">
        <v>25</v>
      </c>
      <c r="E1210" s="14" t="s">
        <v>4075</v>
      </c>
      <c r="F1210" s="9" t="s">
        <v>37</v>
      </c>
      <c r="G1210" s="9" t="b">
        <v>0</v>
      </c>
      <c r="H1210" s="9" t="s">
        <v>4076</v>
      </c>
      <c r="I1210" s="9">
        <v>1.0</v>
      </c>
      <c r="J1210" s="9">
        <v>0.0</v>
      </c>
      <c r="K1210" s="9">
        <v>0.0</v>
      </c>
    </row>
    <row r="1211">
      <c r="A1211" s="7" t="s">
        <v>4077</v>
      </c>
      <c r="B1211" s="13" t="s">
        <v>142</v>
      </c>
      <c r="C1211" s="14" t="s">
        <v>1203</v>
      </c>
      <c r="D1211" s="14" t="s">
        <v>25</v>
      </c>
      <c r="E1211" s="14" t="s">
        <v>4078</v>
      </c>
      <c r="F1211" s="9" t="s">
        <v>1205</v>
      </c>
      <c r="G1211" s="9" t="b">
        <v>0</v>
      </c>
      <c r="H1211" s="9" t="s">
        <v>4079</v>
      </c>
      <c r="I1211" s="9">
        <v>1.0</v>
      </c>
      <c r="J1211" s="9">
        <v>0.0</v>
      </c>
      <c r="K1211" s="9">
        <v>0.0</v>
      </c>
    </row>
    <row r="1212">
      <c r="A1212" s="7" t="s">
        <v>4080</v>
      </c>
      <c r="B1212" s="13" t="s">
        <v>142</v>
      </c>
      <c r="C1212" s="14" t="s">
        <v>34</v>
      </c>
      <c r="D1212" s="14" t="s">
        <v>25</v>
      </c>
      <c r="E1212" s="14" t="s">
        <v>4081</v>
      </c>
      <c r="F1212" s="9" t="s">
        <v>37</v>
      </c>
      <c r="G1212" s="9" t="b">
        <v>0</v>
      </c>
      <c r="H1212" s="9" t="s">
        <v>799</v>
      </c>
      <c r="I1212" s="9">
        <v>1.0</v>
      </c>
      <c r="J1212" s="9">
        <v>0.0</v>
      </c>
      <c r="K1212" s="9">
        <v>0.0</v>
      </c>
    </row>
    <row r="1213">
      <c r="A1213" s="7" t="s">
        <v>4082</v>
      </c>
      <c r="B1213" s="13" t="s">
        <v>142</v>
      </c>
      <c r="C1213" s="14" t="s">
        <v>34</v>
      </c>
      <c r="D1213" s="14" t="s">
        <v>25</v>
      </c>
      <c r="E1213" s="14" t="s">
        <v>4083</v>
      </c>
      <c r="F1213" s="9" t="s">
        <v>37</v>
      </c>
      <c r="G1213" s="9" t="b">
        <v>0</v>
      </c>
      <c r="H1213" s="9" t="s">
        <v>2674</v>
      </c>
      <c r="I1213" s="9">
        <v>1.0</v>
      </c>
      <c r="J1213" s="9">
        <v>0.0</v>
      </c>
      <c r="K1213" s="9">
        <v>0.0</v>
      </c>
    </row>
    <row r="1214">
      <c r="A1214" s="7" t="s">
        <v>4084</v>
      </c>
      <c r="B1214" s="13" t="s">
        <v>142</v>
      </c>
      <c r="C1214" s="14" t="s">
        <v>34</v>
      </c>
      <c r="D1214" s="14" t="s">
        <v>25</v>
      </c>
      <c r="E1214" s="14" t="s">
        <v>4085</v>
      </c>
      <c r="F1214" s="9" t="s">
        <v>37</v>
      </c>
      <c r="G1214" s="9" t="b">
        <v>0</v>
      </c>
      <c r="H1214" s="9" t="s">
        <v>4086</v>
      </c>
      <c r="I1214" s="9">
        <v>1.0</v>
      </c>
      <c r="J1214" s="9">
        <v>0.0</v>
      </c>
      <c r="K1214" s="9">
        <v>0.0</v>
      </c>
    </row>
    <row r="1215">
      <c r="A1215" s="7" t="s">
        <v>4087</v>
      </c>
      <c r="B1215" s="13" t="s">
        <v>142</v>
      </c>
      <c r="C1215" s="14" t="s">
        <v>61</v>
      </c>
      <c r="D1215" s="14" t="s">
        <v>25</v>
      </c>
      <c r="E1215" s="14" t="s">
        <v>4088</v>
      </c>
      <c r="F1215" s="9" t="s">
        <v>64</v>
      </c>
      <c r="G1215" s="9" t="b">
        <v>0</v>
      </c>
      <c r="H1215" s="9" t="s">
        <v>4089</v>
      </c>
      <c r="I1215" s="9">
        <v>1.0</v>
      </c>
      <c r="J1215" s="9">
        <v>0.0</v>
      </c>
      <c r="K1215" s="9">
        <v>0.0</v>
      </c>
    </row>
    <row r="1216">
      <c r="A1216" s="7" t="s">
        <v>4090</v>
      </c>
      <c r="B1216" s="13" t="s">
        <v>1974</v>
      </c>
      <c r="C1216" s="14" t="s">
        <v>34</v>
      </c>
      <c r="D1216" s="14" t="s">
        <v>46</v>
      </c>
      <c r="E1216" s="14" t="s">
        <v>4091</v>
      </c>
      <c r="F1216" s="9" t="s">
        <v>37</v>
      </c>
      <c r="G1216" s="9" t="b">
        <v>0</v>
      </c>
      <c r="H1216" s="9" t="s">
        <v>1975</v>
      </c>
      <c r="I1216" s="9">
        <v>1.0</v>
      </c>
      <c r="J1216" s="9">
        <v>0.0</v>
      </c>
      <c r="K1216" s="9">
        <v>0.0</v>
      </c>
    </row>
    <row r="1217">
      <c r="A1217" s="7" t="s">
        <v>4092</v>
      </c>
      <c r="B1217" s="13" t="s">
        <v>430</v>
      </c>
      <c r="C1217" s="14" t="s">
        <v>169</v>
      </c>
      <c r="D1217" s="14" t="s">
        <v>169</v>
      </c>
      <c r="E1217" s="15"/>
      <c r="F1217" s="9" t="s">
        <v>94</v>
      </c>
      <c r="H1217" s="9" t="s">
        <v>172</v>
      </c>
      <c r="I1217" s="9">
        <v>1.0</v>
      </c>
      <c r="J1217" s="9">
        <v>0.0</v>
      </c>
      <c r="K1217" s="9">
        <v>1.0</v>
      </c>
    </row>
    <row r="1218">
      <c r="A1218" s="7" t="s">
        <v>4093</v>
      </c>
      <c r="B1218" s="13" t="s">
        <v>1976</v>
      </c>
      <c r="C1218" s="14" t="s">
        <v>34</v>
      </c>
      <c r="D1218" s="14" t="s">
        <v>46</v>
      </c>
      <c r="E1218" s="14" t="s">
        <v>4094</v>
      </c>
      <c r="F1218" s="9" t="s">
        <v>37</v>
      </c>
      <c r="G1218" s="9" t="b">
        <v>0</v>
      </c>
      <c r="I1218" s="9">
        <v>1.0</v>
      </c>
      <c r="J1218" s="9">
        <v>0.0</v>
      </c>
      <c r="K1218" s="9">
        <v>0.0</v>
      </c>
    </row>
    <row r="1219">
      <c r="A1219" s="7" t="s">
        <v>4095</v>
      </c>
      <c r="B1219" s="13" t="s">
        <v>1980</v>
      </c>
      <c r="C1219" s="14" t="s">
        <v>521</v>
      </c>
      <c r="D1219" s="14" t="s">
        <v>46</v>
      </c>
      <c r="E1219" s="15"/>
      <c r="F1219" s="9" t="s">
        <v>523</v>
      </c>
      <c r="H1219" s="9" t="s">
        <v>172</v>
      </c>
      <c r="I1219" s="9">
        <v>1.0</v>
      </c>
      <c r="J1219" s="9">
        <v>0.0</v>
      </c>
      <c r="K1219" s="9">
        <v>0.0</v>
      </c>
    </row>
    <row r="1220">
      <c r="A1220" s="7" t="s">
        <v>4096</v>
      </c>
      <c r="B1220" s="13" t="s">
        <v>1982</v>
      </c>
      <c r="C1220" s="14" t="s">
        <v>521</v>
      </c>
      <c r="D1220" s="14" t="s">
        <v>46</v>
      </c>
      <c r="E1220" s="14" t="s">
        <v>4097</v>
      </c>
      <c r="F1220" s="9" t="s">
        <v>523</v>
      </c>
      <c r="G1220" s="9" t="b">
        <v>0</v>
      </c>
      <c r="H1220" s="9" t="s">
        <v>1985</v>
      </c>
      <c r="I1220" s="9">
        <v>1.0</v>
      </c>
      <c r="J1220" s="9">
        <v>0.0</v>
      </c>
      <c r="K1220" s="9">
        <v>0.0</v>
      </c>
    </row>
    <row r="1221">
      <c r="A1221" s="7" t="s">
        <v>4098</v>
      </c>
      <c r="B1221" s="13" t="s">
        <v>854</v>
      </c>
      <c r="C1221" s="14" t="s">
        <v>1203</v>
      </c>
      <c r="D1221" s="14" t="s">
        <v>46</v>
      </c>
      <c r="E1221" s="14" t="s">
        <v>4099</v>
      </c>
      <c r="F1221" s="9" t="s">
        <v>1205</v>
      </c>
      <c r="G1221" s="9" t="b">
        <v>0</v>
      </c>
      <c r="I1221" s="9">
        <v>1.0</v>
      </c>
      <c r="J1221" s="9">
        <v>0.0</v>
      </c>
      <c r="K1221" s="9">
        <v>1.0</v>
      </c>
    </row>
    <row r="1222">
      <c r="A1222" s="7" t="s">
        <v>4100</v>
      </c>
      <c r="B1222" s="13" t="s">
        <v>1986</v>
      </c>
      <c r="C1222" s="14" t="s">
        <v>144</v>
      </c>
      <c r="D1222" s="14" t="s">
        <v>46</v>
      </c>
      <c r="E1222" s="14" t="s">
        <v>4101</v>
      </c>
      <c r="F1222" s="9" t="s">
        <v>147</v>
      </c>
      <c r="G1222" s="9" t="b">
        <v>0</v>
      </c>
      <c r="H1222" s="9" t="s">
        <v>4102</v>
      </c>
      <c r="I1222" s="9">
        <v>1.0</v>
      </c>
      <c r="J1222" s="9">
        <v>0.0</v>
      </c>
      <c r="K1222" s="9">
        <v>2.0</v>
      </c>
    </row>
    <row r="1223">
      <c r="A1223" s="7" t="s">
        <v>4103</v>
      </c>
      <c r="B1223" s="13" t="s">
        <v>1991</v>
      </c>
      <c r="C1223" s="14" t="s">
        <v>34</v>
      </c>
      <c r="D1223" s="14" t="s">
        <v>46</v>
      </c>
      <c r="E1223" s="14" t="s">
        <v>4104</v>
      </c>
      <c r="F1223" s="9" t="s">
        <v>37</v>
      </c>
      <c r="G1223" s="9" t="b">
        <v>0</v>
      </c>
      <c r="H1223" s="9" t="s">
        <v>720</v>
      </c>
      <c r="I1223" s="9">
        <v>1.0</v>
      </c>
      <c r="J1223" s="9">
        <v>0.0</v>
      </c>
      <c r="K1223" s="9">
        <v>4.0</v>
      </c>
    </row>
    <row r="1224">
      <c r="A1224" s="7" t="s">
        <v>4105</v>
      </c>
      <c r="B1224" s="13" t="s">
        <v>1737</v>
      </c>
      <c r="C1224" s="14" t="s">
        <v>1203</v>
      </c>
      <c r="D1224" s="14" t="s">
        <v>270</v>
      </c>
      <c r="E1224" s="14" t="s">
        <v>4106</v>
      </c>
      <c r="F1224" s="9" t="s">
        <v>1205</v>
      </c>
      <c r="G1224" s="9" t="b">
        <v>0</v>
      </c>
      <c r="H1224" s="9" t="s">
        <v>4107</v>
      </c>
      <c r="I1224" s="9">
        <v>1.0</v>
      </c>
      <c r="J1224" s="9">
        <v>0.0</v>
      </c>
      <c r="K1224" s="9">
        <v>1.0</v>
      </c>
    </row>
    <row r="1225">
      <c r="A1225" s="7" t="s">
        <v>4108</v>
      </c>
      <c r="B1225" s="13" t="s">
        <v>1995</v>
      </c>
      <c r="C1225" s="14" t="s">
        <v>34</v>
      </c>
      <c r="D1225" s="14" t="s">
        <v>46</v>
      </c>
      <c r="E1225" s="14" t="s">
        <v>4109</v>
      </c>
      <c r="F1225" s="9" t="s">
        <v>37</v>
      </c>
      <c r="G1225" s="9" t="b">
        <v>0</v>
      </c>
      <c r="H1225" s="9" t="s">
        <v>4110</v>
      </c>
      <c r="I1225" s="9">
        <v>1.0</v>
      </c>
      <c r="J1225" s="9">
        <v>0.0</v>
      </c>
      <c r="K1225" s="9">
        <v>0.0</v>
      </c>
    </row>
    <row r="1226">
      <c r="A1226" s="7" t="s">
        <v>4111</v>
      </c>
      <c r="B1226" s="14" t="s">
        <v>2001</v>
      </c>
      <c r="C1226" s="14" t="s">
        <v>34</v>
      </c>
      <c r="D1226" s="14" t="s">
        <v>169</v>
      </c>
      <c r="E1226" s="14" t="s">
        <v>4112</v>
      </c>
      <c r="F1226" s="9" t="s">
        <v>37</v>
      </c>
      <c r="G1226" s="9" t="b">
        <v>0</v>
      </c>
      <c r="H1226" s="9" t="s">
        <v>2002</v>
      </c>
      <c r="I1226" s="9">
        <v>1.0</v>
      </c>
      <c r="J1226" s="9">
        <v>0.0</v>
      </c>
      <c r="K1226" s="9">
        <v>2.0</v>
      </c>
    </row>
    <row r="1227">
      <c r="A1227" s="7" t="s">
        <v>4113</v>
      </c>
      <c r="B1227" s="13" t="s">
        <v>2003</v>
      </c>
      <c r="C1227" s="14" t="s">
        <v>521</v>
      </c>
      <c r="D1227" s="14" t="s">
        <v>46</v>
      </c>
      <c r="E1227" s="14" t="s">
        <v>4114</v>
      </c>
      <c r="F1227" s="9" t="s">
        <v>523</v>
      </c>
      <c r="G1227" s="9" t="b">
        <v>0</v>
      </c>
      <c r="H1227" s="9" t="s">
        <v>188</v>
      </c>
      <c r="I1227" s="9">
        <v>1.0</v>
      </c>
      <c r="J1227" s="9">
        <v>0.0</v>
      </c>
      <c r="K1227" s="9">
        <v>0.0</v>
      </c>
    </row>
    <row r="1228">
      <c r="A1228" s="7" t="s">
        <v>4115</v>
      </c>
      <c r="B1228" s="13" t="s">
        <v>2004</v>
      </c>
      <c r="C1228" s="14" t="s">
        <v>144</v>
      </c>
      <c r="D1228" s="14" t="s">
        <v>46</v>
      </c>
      <c r="E1228" s="14" t="s">
        <v>4116</v>
      </c>
      <c r="F1228" s="9" t="s">
        <v>147</v>
      </c>
      <c r="G1228" s="9" t="b">
        <v>0</v>
      </c>
      <c r="I1228" s="9">
        <v>1.0</v>
      </c>
      <c r="J1228" s="9">
        <v>0.0</v>
      </c>
      <c r="K1228" s="9">
        <v>1.0</v>
      </c>
    </row>
    <row r="1229">
      <c r="A1229" s="7" t="s">
        <v>4117</v>
      </c>
      <c r="B1229" s="13" t="s">
        <v>2007</v>
      </c>
      <c r="C1229" s="14" t="s">
        <v>521</v>
      </c>
      <c r="D1229" s="14" t="s">
        <v>46</v>
      </c>
      <c r="E1229" s="14" t="s">
        <v>4118</v>
      </c>
      <c r="F1229" s="9" t="s">
        <v>523</v>
      </c>
      <c r="G1229" s="9" t="b">
        <v>0</v>
      </c>
      <c r="H1229" s="9" t="s">
        <v>188</v>
      </c>
      <c r="I1229" s="9">
        <v>1.0</v>
      </c>
      <c r="J1229" s="9">
        <v>0.0</v>
      </c>
      <c r="K1229" s="9">
        <v>3.0</v>
      </c>
    </row>
    <row r="1230">
      <c r="A1230" s="7" t="s">
        <v>4119</v>
      </c>
      <c r="B1230" s="13" t="s">
        <v>1094</v>
      </c>
      <c r="C1230" s="14" t="s">
        <v>169</v>
      </c>
      <c r="D1230" s="14" t="s">
        <v>46</v>
      </c>
      <c r="E1230" s="14" t="s">
        <v>4120</v>
      </c>
      <c r="F1230" s="9" t="s">
        <v>94</v>
      </c>
      <c r="G1230" s="9" t="b">
        <v>0</v>
      </c>
      <c r="H1230" s="9" t="s">
        <v>1098</v>
      </c>
      <c r="I1230" s="9">
        <v>1.0</v>
      </c>
      <c r="J1230" s="9">
        <v>0.0</v>
      </c>
      <c r="K1230" s="9">
        <v>1.0</v>
      </c>
    </row>
    <row r="1231">
      <c r="A1231" s="7" t="s">
        <v>4121</v>
      </c>
      <c r="B1231" s="13" t="s">
        <v>2011</v>
      </c>
      <c r="C1231" s="14" t="s">
        <v>34</v>
      </c>
      <c r="D1231" s="14" t="s">
        <v>46</v>
      </c>
      <c r="E1231" s="14" t="s">
        <v>4122</v>
      </c>
      <c r="F1231" s="9" t="s">
        <v>37</v>
      </c>
      <c r="G1231" s="9" t="b">
        <v>0</v>
      </c>
      <c r="H1231" s="9" t="s">
        <v>4123</v>
      </c>
      <c r="I1231" s="9">
        <v>1.0</v>
      </c>
      <c r="J1231" s="9">
        <v>0.0</v>
      </c>
      <c r="K1231" s="9">
        <v>2.0</v>
      </c>
    </row>
    <row r="1232">
      <c r="A1232" s="7" t="s">
        <v>4124</v>
      </c>
      <c r="B1232" s="13" t="s">
        <v>2016</v>
      </c>
      <c r="C1232" s="14" t="s">
        <v>521</v>
      </c>
      <c r="D1232" s="14" t="s">
        <v>46</v>
      </c>
      <c r="E1232" s="14" t="s">
        <v>4125</v>
      </c>
      <c r="F1232" s="9" t="s">
        <v>523</v>
      </c>
      <c r="G1232" s="9" t="b">
        <v>0</v>
      </c>
      <c r="H1232" s="9" t="s">
        <v>340</v>
      </c>
      <c r="I1232" s="9">
        <v>1.0</v>
      </c>
      <c r="J1232" s="9">
        <v>0.0</v>
      </c>
      <c r="K1232" s="9">
        <v>0.0</v>
      </c>
    </row>
    <row r="1233">
      <c r="A1233" s="7" t="s">
        <v>4126</v>
      </c>
      <c r="B1233" s="13" t="s">
        <v>2020</v>
      </c>
      <c r="C1233" s="14" t="s">
        <v>34</v>
      </c>
      <c r="D1233" s="14" t="s">
        <v>46</v>
      </c>
      <c r="E1233" s="14" t="s">
        <v>4127</v>
      </c>
      <c r="F1233" s="9" t="s">
        <v>37</v>
      </c>
      <c r="G1233" s="9" t="b">
        <v>0</v>
      </c>
      <c r="H1233" s="9" t="s">
        <v>2021</v>
      </c>
      <c r="I1233" s="9">
        <v>1.0</v>
      </c>
      <c r="J1233" s="9">
        <v>0.0</v>
      </c>
      <c r="K1233" s="9">
        <v>1.0</v>
      </c>
    </row>
    <row r="1234">
      <c r="A1234" s="7" t="s">
        <v>4128</v>
      </c>
      <c r="B1234" s="13" t="s">
        <v>306</v>
      </c>
      <c r="C1234" s="14" t="s">
        <v>34</v>
      </c>
      <c r="D1234" s="14" t="s">
        <v>46</v>
      </c>
      <c r="E1234" s="14" t="s">
        <v>4129</v>
      </c>
      <c r="F1234" s="9" t="s">
        <v>37</v>
      </c>
      <c r="G1234" s="9" t="b">
        <v>1</v>
      </c>
      <c r="H1234" s="9" t="s">
        <v>4130</v>
      </c>
      <c r="I1234" s="9">
        <v>1.0</v>
      </c>
      <c r="J1234" s="9">
        <v>0.0</v>
      </c>
      <c r="K1234" s="9">
        <v>0.0</v>
      </c>
    </row>
    <row r="1235">
      <c r="A1235" s="7" t="s">
        <v>4131</v>
      </c>
      <c r="B1235" s="13" t="s">
        <v>2024</v>
      </c>
      <c r="C1235" s="14" t="s">
        <v>34</v>
      </c>
      <c r="D1235" s="14" t="s">
        <v>46</v>
      </c>
      <c r="E1235" s="14" t="s">
        <v>4132</v>
      </c>
      <c r="F1235" s="9" t="s">
        <v>37</v>
      </c>
      <c r="G1235" s="9" t="b">
        <v>0</v>
      </c>
      <c r="H1235" s="9" t="s">
        <v>4133</v>
      </c>
      <c r="I1235" s="9">
        <v>1.0</v>
      </c>
      <c r="J1235" s="9">
        <v>0.0</v>
      </c>
      <c r="K1235" s="9">
        <v>1.0</v>
      </c>
    </row>
    <row r="1236">
      <c r="A1236" s="7" t="s">
        <v>4134</v>
      </c>
      <c r="B1236" s="13" t="s">
        <v>2027</v>
      </c>
      <c r="C1236" s="14" t="s">
        <v>521</v>
      </c>
      <c r="D1236" s="14" t="s">
        <v>46</v>
      </c>
      <c r="E1236" s="14" t="s">
        <v>4135</v>
      </c>
      <c r="F1236" s="9" t="s">
        <v>523</v>
      </c>
      <c r="G1236" s="9" t="b">
        <v>0</v>
      </c>
      <c r="H1236" s="9" t="s">
        <v>1686</v>
      </c>
      <c r="I1236" s="9">
        <v>1.0</v>
      </c>
      <c r="J1236" s="9">
        <v>0.0</v>
      </c>
      <c r="K1236" s="9">
        <v>3.0</v>
      </c>
    </row>
    <row r="1237">
      <c r="A1237" s="7" t="s">
        <v>4136</v>
      </c>
      <c r="B1237" s="13" t="s">
        <v>2029</v>
      </c>
      <c r="C1237" s="14" t="s">
        <v>144</v>
      </c>
      <c r="D1237" s="14" t="s">
        <v>46</v>
      </c>
      <c r="E1237" s="14" t="s">
        <v>4137</v>
      </c>
      <c r="F1237" s="9" t="s">
        <v>147</v>
      </c>
      <c r="G1237" s="9" t="b">
        <v>0</v>
      </c>
      <c r="H1237" s="9" t="s">
        <v>188</v>
      </c>
      <c r="I1237" s="9">
        <v>1.0</v>
      </c>
      <c r="J1237" s="9">
        <v>0.0</v>
      </c>
      <c r="K1237" s="9">
        <v>1.0</v>
      </c>
    </row>
    <row r="1238">
      <c r="A1238" s="7" t="s">
        <v>4138</v>
      </c>
      <c r="B1238" s="13" t="s">
        <v>2032</v>
      </c>
      <c r="C1238" s="14" t="s">
        <v>34</v>
      </c>
      <c r="D1238" s="14" t="s">
        <v>46</v>
      </c>
      <c r="E1238" s="14" t="s">
        <v>4139</v>
      </c>
      <c r="F1238" s="9" t="s">
        <v>37</v>
      </c>
      <c r="G1238" s="9" t="b">
        <v>0</v>
      </c>
      <c r="H1238" s="9" t="s">
        <v>503</v>
      </c>
      <c r="I1238" s="9">
        <v>1.0</v>
      </c>
      <c r="J1238" s="9">
        <v>0.0</v>
      </c>
      <c r="K1238" s="9">
        <v>1.0</v>
      </c>
    </row>
    <row r="1239">
      <c r="A1239" s="7" t="s">
        <v>4140</v>
      </c>
      <c r="B1239" s="13" t="s">
        <v>139</v>
      </c>
      <c r="C1239" s="14" t="s">
        <v>144</v>
      </c>
      <c r="D1239" s="14" t="s">
        <v>35</v>
      </c>
      <c r="E1239" s="14" t="s">
        <v>4141</v>
      </c>
      <c r="F1239" s="9" t="s">
        <v>147</v>
      </c>
      <c r="G1239" s="9" t="b">
        <v>0</v>
      </c>
      <c r="H1239" s="9" t="s">
        <v>720</v>
      </c>
      <c r="I1239" s="9">
        <v>1.0</v>
      </c>
      <c r="J1239" s="9">
        <v>0.0</v>
      </c>
      <c r="K1239" s="9">
        <v>0.0</v>
      </c>
    </row>
    <row r="1240">
      <c r="A1240" s="7" t="s">
        <v>4142</v>
      </c>
      <c r="B1240" s="13" t="s">
        <v>139</v>
      </c>
      <c r="C1240" s="14" t="s">
        <v>144</v>
      </c>
      <c r="D1240" s="14" t="s">
        <v>35</v>
      </c>
      <c r="E1240" s="14" t="s">
        <v>4143</v>
      </c>
      <c r="F1240" s="9" t="s">
        <v>147</v>
      </c>
      <c r="G1240" s="9" t="b">
        <v>0</v>
      </c>
      <c r="H1240" s="9" t="s">
        <v>720</v>
      </c>
      <c r="I1240" s="9">
        <v>1.0</v>
      </c>
      <c r="J1240" s="9">
        <v>0.0</v>
      </c>
      <c r="K1240" s="9">
        <v>0.0</v>
      </c>
    </row>
    <row r="1241">
      <c r="A1241" s="7" t="s">
        <v>4144</v>
      </c>
      <c r="B1241" s="13" t="s">
        <v>139</v>
      </c>
      <c r="C1241" s="14" t="s">
        <v>431</v>
      </c>
      <c r="D1241" s="14" t="s">
        <v>35</v>
      </c>
      <c r="E1241" s="14" t="s">
        <v>4145</v>
      </c>
      <c r="F1241" s="9" t="s">
        <v>433</v>
      </c>
      <c r="G1241" s="9" t="b">
        <v>0</v>
      </c>
      <c r="H1241" s="9" t="s">
        <v>720</v>
      </c>
      <c r="I1241" s="9">
        <v>1.0</v>
      </c>
      <c r="J1241" s="9">
        <v>0.0</v>
      </c>
      <c r="K1241" s="9">
        <v>1.0</v>
      </c>
    </row>
    <row r="1242">
      <c r="A1242" s="7" t="s">
        <v>4146</v>
      </c>
      <c r="B1242" s="13" t="s">
        <v>139</v>
      </c>
      <c r="C1242" s="14" t="s">
        <v>1203</v>
      </c>
      <c r="D1242" s="14" t="s">
        <v>35</v>
      </c>
      <c r="E1242" s="14" t="s">
        <v>4147</v>
      </c>
      <c r="F1242" s="9" t="s">
        <v>1205</v>
      </c>
      <c r="G1242" s="9" t="b">
        <v>0</v>
      </c>
      <c r="H1242" s="9" t="s">
        <v>720</v>
      </c>
      <c r="I1242" s="9">
        <v>1.0</v>
      </c>
      <c r="J1242" s="9">
        <v>0.0</v>
      </c>
      <c r="K1242" s="9">
        <v>1.0</v>
      </c>
    </row>
    <row r="1243">
      <c r="A1243" s="7" t="s">
        <v>4148</v>
      </c>
      <c r="B1243" s="13" t="s">
        <v>139</v>
      </c>
      <c r="C1243" s="14" t="s">
        <v>1203</v>
      </c>
      <c r="D1243" s="14" t="s">
        <v>35</v>
      </c>
      <c r="E1243" s="14" t="s">
        <v>4149</v>
      </c>
      <c r="F1243" s="9" t="s">
        <v>1205</v>
      </c>
      <c r="G1243" s="9" t="b">
        <v>0</v>
      </c>
      <c r="H1243" s="9" t="s">
        <v>4150</v>
      </c>
      <c r="I1243" s="9">
        <v>1.0</v>
      </c>
      <c r="J1243" s="9">
        <v>0.0</v>
      </c>
      <c r="K1243" s="9">
        <v>0.0</v>
      </c>
    </row>
    <row r="1244">
      <c r="A1244" s="7" t="s">
        <v>4151</v>
      </c>
      <c r="B1244" s="13" t="s">
        <v>139</v>
      </c>
      <c r="C1244" s="14" t="s">
        <v>144</v>
      </c>
      <c r="D1244" s="14" t="s">
        <v>35</v>
      </c>
      <c r="E1244" s="14" t="s">
        <v>4152</v>
      </c>
      <c r="F1244" s="9" t="s">
        <v>147</v>
      </c>
      <c r="G1244" s="9" t="b">
        <v>0</v>
      </c>
      <c r="H1244" s="9" t="s">
        <v>720</v>
      </c>
      <c r="I1244" s="9">
        <v>1.0</v>
      </c>
      <c r="J1244" s="9">
        <v>0.0</v>
      </c>
      <c r="K1244" s="9">
        <v>0.0</v>
      </c>
    </row>
    <row r="1245">
      <c r="A1245" s="7" t="s">
        <v>4153</v>
      </c>
      <c r="B1245" s="13" t="s">
        <v>2166</v>
      </c>
      <c r="C1245" s="14" t="s">
        <v>169</v>
      </c>
      <c r="D1245" s="14" t="s">
        <v>46</v>
      </c>
      <c r="E1245" s="14" t="s">
        <v>4154</v>
      </c>
      <c r="F1245" s="9" t="s">
        <v>94</v>
      </c>
      <c r="G1245" s="9" t="b">
        <v>0</v>
      </c>
      <c r="I1245" s="9">
        <v>1.0</v>
      </c>
      <c r="J1245" s="9">
        <v>0.0</v>
      </c>
      <c r="K1245" s="9">
        <v>1.0</v>
      </c>
    </row>
    <row r="1246">
      <c r="A1246" s="7" t="s">
        <v>4155</v>
      </c>
      <c r="B1246" s="13" t="s">
        <v>2035</v>
      </c>
      <c r="C1246" s="14" t="s">
        <v>169</v>
      </c>
      <c r="D1246" s="14" t="s">
        <v>46</v>
      </c>
      <c r="E1246" s="14" t="s">
        <v>4156</v>
      </c>
      <c r="F1246" s="9" t="s">
        <v>94</v>
      </c>
      <c r="G1246" s="9" t="b">
        <v>0</v>
      </c>
      <c r="I1246" s="9">
        <v>1.0</v>
      </c>
      <c r="J1246" s="9">
        <v>0.0</v>
      </c>
      <c r="K1246" s="9">
        <v>1.0</v>
      </c>
    </row>
    <row r="1247">
      <c r="A1247" s="7" t="s">
        <v>4157</v>
      </c>
      <c r="B1247" s="13" t="s">
        <v>616</v>
      </c>
      <c r="C1247" s="14" t="s">
        <v>169</v>
      </c>
      <c r="D1247" s="14" t="s">
        <v>35</v>
      </c>
      <c r="E1247" s="14" t="s">
        <v>4158</v>
      </c>
      <c r="F1247" s="9" t="s">
        <v>94</v>
      </c>
      <c r="G1247" s="9" t="b">
        <v>0</v>
      </c>
      <c r="I1247" s="9">
        <v>1.0</v>
      </c>
      <c r="J1247" s="9">
        <v>0.0</v>
      </c>
      <c r="K1247" s="9">
        <v>1.0</v>
      </c>
    </row>
    <row r="1248">
      <c r="A1248" s="7" t="s">
        <v>4159</v>
      </c>
      <c r="B1248" s="13" t="s">
        <v>2036</v>
      </c>
      <c r="C1248" s="14" t="s">
        <v>521</v>
      </c>
      <c r="D1248" s="14" t="s">
        <v>46</v>
      </c>
      <c r="E1248" s="14" t="s">
        <v>4160</v>
      </c>
      <c r="F1248" s="9" t="s">
        <v>523</v>
      </c>
      <c r="G1248" s="9" t="b">
        <v>0</v>
      </c>
      <c r="H1248" s="9" t="s">
        <v>188</v>
      </c>
      <c r="I1248" s="9">
        <v>1.0</v>
      </c>
      <c r="J1248" s="9">
        <v>0.0</v>
      </c>
      <c r="K1248" s="9">
        <v>0.0</v>
      </c>
    </row>
    <row r="1249">
      <c r="A1249" s="7" t="s">
        <v>4161</v>
      </c>
      <c r="B1249" s="13" t="s">
        <v>2037</v>
      </c>
      <c r="C1249" s="14" t="s">
        <v>144</v>
      </c>
      <c r="D1249" s="14" t="s">
        <v>46</v>
      </c>
      <c r="E1249" s="14" t="s">
        <v>4162</v>
      </c>
      <c r="F1249" s="9" t="s">
        <v>147</v>
      </c>
      <c r="G1249" s="9" t="b">
        <v>0</v>
      </c>
      <c r="I1249" s="9">
        <v>1.0</v>
      </c>
      <c r="J1249" s="9">
        <v>0.0</v>
      </c>
      <c r="K1249" s="9">
        <v>0.0</v>
      </c>
    </row>
    <row r="1250">
      <c r="A1250" s="7" t="s">
        <v>4163</v>
      </c>
      <c r="B1250" s="13" t="s">
        <v>2041</v>
      </c>
      <c r="C1250" s="14" t="s">
        <v>34</v>
      </c>
      <c r="D1250" s="14" t="s">
        <v>46</v>
      </c>
      <c r="E1250" s="14" t="s">
        <v>4164</v>
      </c>
      <c r="F1250" s="9" t="s">
        <v>37</v>
      </c>
      <c r="G1250" s="9" t="b">
        <v>0</v>
      </c>
      <c r="H1250" s="9" t="s">
        <v>201</v>
      </c>
      <c r="I1250" s="9">
        <v>1.0</v>
      </c>
      <c r="J1250" s="9">
        <v>0.0</v>
      </c>
      <c r="K1250" s="9">
        <v>0.0</v>
      </c>
    </row>
    <row r="1251">
      <c r="A1251" s="7" t="s">
        <v>4165</v>
      </c>
      <c r="B1251" s="13" t="s">
        <v>2044</v>
      </c>
      <c r="C1251" s="14" t="s">
        <v>1203</v>
      </c>
      <c r="D1251" s="14" t="s">
        <v>46</v>
      </c>
      <c r="E1251" s="14" t="s">
        <v>4166</v>
      </c>
      <c r="F1251" s="9" t="s">
        <v>1205</v>
      </c>
      <c r="G1251" s="9" t="b">
        <v>0</v>
      </c>
      <c r="H1251" s="9" t="s">
        <v>1285</v>
      </c>
      <c r="I1251" s="9">
        <v>1.0</v>
      </c>
      <c r="J1251" s="9">
        <v>0.0</v>
      </c>
      <c r="K1251" s="9">
        <v>0.0</v>
      </c>
    </row>
    <row r="1252">
      <c r="A1252" s="7" t="s">
        <v>4167</v>
      </c>
      <c r="B1252" s="13" t="s">
        <v>2045</v>
      </c>
      <c r="C1252" s="14" t="s">
        <v>169</v>
      </c>
      <c r="D1252" s="14" t="s">
        <v>46</v>
      </c>
      <c r="E1252" s="14" t="s">
        <v>4168</v>
      </c>
      <c r="F1252" s="9" t="s">
        <v>94</v>
      </c>
      <c r="G1252" s="9" t="b">
        <v>0</v>
      </c>
      <c r="H1252" s="9" t="s">
        <v>188</v>
      </c>
      <c r="I1252" s="9">
        <v>1.0</v>
      </c>
      <c r="J1252" s="9">
        <v>0.0</v>
      </c>
      <c r="K1252" s="9">
        <v>1.0</v>
      </c>
    </row>
    <row r="1253">
      <c r="A1253" s="7" t="s">
        <v>4169</v>
      </c>
      <c r="B1253" s="13" t="s">
        <v>2048</v>
      </c>
      <c r="C1253" s="14" t="s">
        <v>169</v>
      </c>
      <c r="D1253" s="14" t="s">
        <v>46</v>
      </c>
      <c r="E1253" s="14" t="s">
        <v>4170</v>
      </c>
      <c r="F1253" s="9" t="s">
        <v>94</v>
      </c>
      <c r="G1253" s="9" t="b">
        <v>0</v>
      </c>
      <c r="I1253" s="9">
        <v>1.0</v>
      </c>
      <c r="J1253" s="9">
        <v>0.0</v>
      </c>
      <c r="K1253" s="9">
        <v>0.0</v>
      </c>
    </row>
    <row r="1254">
      <c r="A1254" s="7" t="s">
        <v>4171</v>
      </c>
      <c r="B1254" s="13" t="s">
        <v>2049</v>
      </c>
      <c r="C1254" s="14" t="s">
        <v>34</v>
      </c>
      <c r="D1254" s="14" t="s">
        <v>46</v>
      </c>
      <c r="E1254" s="14" t="s">
        <v>4172</v>
      </c>
      <c r="F1254" s="9" t="s">
        <v>37</v>
      </c>
      <c r="G1254" s="9" t="b">
        <v>0</v>
      </c>
      <c r="H1254" s="9" t="s">
        <v>4173</v>
      </c>
      <c r="I1254" s="9">
        <v>1.0</v>
      </c>
      <c r="J1254" s="9">
        <v>0.0</v>
      </c>
      <c r="K1254" s="9">
        <v>2.0</v>
      </c>
    </row>
    <row r="1255">
      <c r="A1255" s="7" t="s">
        <v>4174</v>
      </c>
      <c r="B1255" s="13" t="s">
        <v>2053</v>
      </c>
      <c r="C1255" s="14" t="s">
        <v>1203</v>
      </c>
      <c r="D1255" s="14" t="s">
        <v>270</v>
      </c>
      <c r="E1255" s="14" t="s">
        <v>4175</v>
      </c>
      <c r="F1255" s="9" t="s">
        <v>1205</v>
      </c>
      <c r="G1255" s="9" t="b">
        <v>0</v>
      </c>
      <c r="H1255" s="9" t="s">
        <v>4176</v>
      </c>
      <c r="I1255" s="9">
        <v>1.0</v>
      </c>
      <c r="J1255" s="9">
        <v>0.0</v>
      </c>
      <c r="K1255" s="9">
        <v>0.0</v>
      </c>
    </row>
    <row r="1256">
      <c r="A1256" s="7" t="s">
        <v>4177</v>
      </c>
      <c r="B1256" s="13" t="s">
        <v>2057</v>
      </c>
      <c r="C1256" s="14" t="s">
        <v>144</v>
      </c>
      <c r="D1256" s="14" t="s">
        <v>46</v>
      </c>
      <c r="E1256" s="14" t="s">
        <v>4178</v>
      </c>
      <c r="F1256" s="9" t="s">
        <v>147</v>
      </c>
      <c r="G1256" s="9" t="b">
        <v>0</v>
      </c>
      <c r="H1256" s="9" t="s">
        <v>340</v>
      </c>
      <c r="I1256" s="9">
        <v>1.0</v>
      </c>
      <c r="J1256" s="9">
        <v>0.0</v>
      </c>
      <c r="K1256" s="9">
        <v>4.0</v>
      </c>
    </row>
    <row r="1257">
      <c r="A1257" s="7" t="s">
        <v>4179</v>
      </c>
      <c r="B1257" s="13" t="s">
        <v>2064</v>
      </c>
      <c r="C1257" s="14" t="s">
        <v>144</v>
      </c>
      <c r="D1257" s="14" t="s">
        <v>46</v>
      </c>
      <c r="E1257" s="14" t="s">
        <v>4180</v>
      </c>
      <c r="F1257" s="9" t="s">
        <v>147</v>
      </c>
      <c r="G1257" s="9" t="b">
        <v>0</v>
      </c>
      <c r="I1257" s="9">
        <v>1.0</v>
      </c>
      <c r="J1257" s="9">
        <v>0.0</v>
      </c>
      <c r="K1257" s="9">
        <v>1.0</v>
      </c>
    </row>
    <row r="1258">
      <c r="A1258" s="7" t="s">
        <v>4181</v>
      </c>
      <c r="B1258" s="13" t="s">
        <v>252</v>
      </c>
      <c r="C1258" s="14" t="s">
        <v>34</v>
      </c>
      <c r="D1258" s="14" t="s">
        <v>169</v>
      </c>
      <c r="E1258" s="14" t="s">
        <v>4182</v>
      </c>
      <c r="F1258" s="9" t="s">
        <v>37</v>
      </c>
      <c r="G1258" s="9" t="b">
        <v>0</v>
      </c>
      <c r="I1258" s="9">
        <v>1.0</v>
      </c>
      <c r="J1258" s="9">
        <v>0.0</v>
      </c>
      <c r="K1258" s="9">
        <v>1.0</v>
      </c>
    </row>
    <row r="1259">
      <c r="A1259" s="7" t="s">
        <v>4183</v>
      </c>
      <c r="B1259" s="13" t="s">
        <v>252</v>
      </c>
      <c r="C1259" s="14" t="s">
        <v>169</v>
      </c>
      <c r="D1259" s="14" t="s">
        <v>169</v>
      </c>
      <c r="E1259" s="14" t="s">
        <v>4184</v>
      </c>
      <c r="F1259" s="9" t="s">
        <v>94</v>
      </c>
      <c r="G1259" s="9" t="b">
        <v>0</v>
      </c>
      <c r="H1259" s="9" t="s">
        <v>4185</v>
      </c>
      <c r="I1259" s="9">
        <v>1.0</v>
      </c>
      <c r="J1259" s="9">
        <v>0.0</v>
      </c>
      <c r="K1259" s="9">
        <v>2.0</v>
      </c>
    </row>
    <row r="1260">
      <c r="A1260" s="7" t="s">
        <v>4186</v>
      </c>
      <c r="B1260" s="13" t="s">
        <v>1105</v>
      </c>
      <c r="C1260" s="14" t="s">
        <v>169</v>
      </c>
      <c r="D1260" s="14" t="s">
        <v>46</v>
      </c>
      <c r="E1260" s="14" t="s">
        <v>4187</v>
      </c>
      <c r="F1260" s="9" t="s">
        <v>94</v>
      </c>
      <c r="G1260" s="9" t="b">
        <v>0</v>
      </c>
      <c r="H1260" s="9" t="s">
        <v>4188</v>
      </c>
      <c r="I1260" s="9">
        <v>1.0</v>
      </c>
      <c r="J1260" s="9">
        <v>0.0</v>
      </c>
      <c r="K1260" s="9">
        <v>1.0</v>
      </c>
    </row>
    <row r="1261">
      <c r="A1261" s="7" t="s">
        <v>4189</v>
      </c>
      <c r="B1261" s="13" t="s">
        <v>617</v>
      </c>
      <c r="C1261" s="14" t="s">
        <v>309</v>
      </c>
      <c r="D1261" s="14" t="s">
        <v>46</v>
      </c>
      <c r="E1261" s="14" t="s">
        <v>4190</v>
      </c>
      <c r="F1261" s="9" t="s">
        <v>311</v>
      </c>
      <c r="G1261" s="9" t="b">
        <v>0</v>
      </c>
      <c r="H1261" s="9" t="s">
        <v>188</v>
      </c>
      <c r="I1261" s="9">
        <v>1.0</v>
      </c>
      <c r="J1261" s="9">
        <v>0.0</v>
      </c>
      <c r="K1261" s="9">
        <v>1.0</v>
      </c>
    </row>
    <row r="1262">
      <c r="A1262" s="7" t="s">
        <v>4191</v>
      </c>
      <c r="B1262" s="14" t="s">
        <v>2067</v>
      </c>
      <c r="C1262" s="14" t="s">
        <v>34</v>
      </c>
      <c r="D1262" s="14" t="s">
        <v>46</v>
      </c>
      <c r="E1262" s="14" t="s">
        <v>4192</v>
      </c>
      <c r="F1262" s="9" t="s">
        <v>37</v>
      </c>
      <c r="G1262" s="9" t="b">
        <v>0</v>
      </c>
      <c r="H1262" s="9" t="s">
        <v>4193</v>
      </c>
      <c r="I1262" s="9">
        <v>1.0</v>
      </c>
      <c r="J1262" s="9">
        <v>0.0</v>
      </c>
      <c r="K1262" s="9">
        <v>1.0</v>
      </c>
    </row>
    <row r="1263">
      <c r="A1263" s="7" t="s">
        <v>4194</v>
      </c>
      <c r="B1263" s="13" t="s">
        <v>2069</v>
      </c>
      <c r="C1263" s="14" t="s">
        <v>144</v>
      </c>
      <c r="D1263" s="14" t="s">
        <v>46</v>
      </c>
      <c r="E1263" s="14" t="s">
        <v>4195</v>
      </c>
      <c r="F1263" s="9" t="s">
        <v>147</v>
      </c>
      <c r="G1263" s="9" t="b">
        <v>0</v>
      </c>
      <c r="H1263" s="9" t="s">
        <v>188</v>
      </c>
      <c r="I1263" s="9">
        <v>1.0</v>
      </c>
      <c r="J1263" s="9">
        <v>0.0</v>
      </c>
      <c r="K1263" s="9">
        <v>2.0</v>
      </c>
    </row>
    <row r="1264">
      <c r="A1264" s="7" t="s">
        <v>4196</v>
      </c>
      <c r="B1264" s="13" t="s">
        <v>1810</v>
      </c>
      <c r="C1264" s="14" t="s">
        <v>61</v>
      </c>
      <c r="D1264" s="14" t="s">
        <v>46</v>
      </c>
      <c r="E1264" s="14" t="s">
        <v>4197</v>
      </c>
      <c r="F1264" s="9" t="s">
        <v>64</v>
      </c>
      <c r="G1264" s="9" t="b">
        <v>0</v>
      </c>
      <c r="I1264" s="9">
        <v>1.0</v>
      </c>
      <c r="J1264" s="9">
        <v>0.0</v>
      </c>
      <c r="K1264" s="9">
        <v>1.0</v>
      </c>
    </row>
    <row r="1265">
      <c r="A1265" s="7" t="s">
        <v>4198</v>
      </c>
      <c r="B1265" s="14" t="s">
        <v>2070</v>
      </c>
      <c r="C1265" s="14" t="s">
        <v>34</v>
      </c>
      <c r="D1265" s="14" t="s">
        <v>46</v>
      </c>
      <c r="E1265" s="14" t="s">
        <v>4199</v>
      </c>
      <c r="F1265" s="9" t="s">
        <v>37</v>
      </c>
      <c r="G1265" s="9" t="b">
        <v>0</v>
      </c>
      <c r="H1265" s="9" t="s">
        <v>2072</v>
      </c>
      <c r="I1265" s="9">
        <v>1.0</v>
      </c>
      <c r="J1265" s="9">
        <v>0.0</v>
      </c>
      <c r="K1265" s="9">
        <v>2.0</v>
      </c>
    </row>
    <row r="1266">
      <c r="A1266" s="7" t="s">
        <v>4200</v>
      </c>
      <c r="B1266" s="14" t="s">
        <v>2073</v>
      </c>
      <c r="C1266" s="14" t="s">
        <v>34</v>
      </c>
      <c r="D1266" s="14" t="s">
        <v>46</v>
      </c>
      <c r="E1266" s="14" t="s">
        <v>4201</v>
      </c>
      <c r="F1266" s="9" t="s">
        <v>37</v>
      </c>
      <c r="G1266" s="9" t="b">
        <v>0</v>
      </c>
      <c r="H1266" s="9" t="s">
        <v>1139</v>
      </c>
      <c r="I1266" s="9">
        <v>1.0</v>
      </c>
      <c r="J1266" s="9">
        <v>0.0</v>
      </c>
      <c r="K1266" s="9">
        <v>1.0</v>
      </c>
    </row>
    <row r="1267">
      <c r="A1267" s="7" t="s">
        <v>4202</v>
      </c>
      <c r="B1267" s="13" t="s">
        <v>2075</v>
      </c>
      <c r="C1267" s="14" t="s">
        <v>34</v>
      </c>
      <c r="D1267" s="14" t="s">
        <v>25</v>
      </c>
      <c r="E1267" s="14" t="s">
        <v>4203</v>
      </c>
      <c r="F1267" s="9" t="s">
        <v>37</v>
      </c>
      <c r="G1267" s="9" t="b">
        <v>0</v>
      </c>
      <c r="H1267" s="9" t="s">
        <v>4204</v>
      </c>
      <c r="I1267" s="9">
        <v>1.0</v>
      </c>
      <c r="J1267" s="9">
        <v>0.0</v>
      </c>
      <c r="K1267" s="9">
        <v>1.0</v>
      </c>
    </row>
    <row r="1268">
      <c r="A1268" s="7" t="s">
        <v>4205</v>
      </c>
      <c r="B1268" s="13" t="s">
        <v>2079</v>
      </c>
      <c r="C1268" s="14" t="s">
        <v>169</v>
      </c>
      <c r="D1268" s="14" t="s">
        <v>46</v>
      </c>
      <c r="E1268" s="14" t="s">
        <v>4206</v>
      </c>
      <c r="F1268" s="9" t="s">
        <v>94</v>
      </c>
      <c r="G1268" s="9" t="b">
        <v>0</v>
      </c>
      <c r="I1268" s="9">
        <v>1.0</v>
      </c>
      <c r="J1268" s="9">
        <v>0.0</v>
      </c>
      <c r="K1268" s="9">
        <v>1.0</v>
      </c>
    </row>
    <row r="1269">
      <c r="A1269" s="7" t="s">
        <v>4207</v>
      </c>
      <c r="B1269" s="13" t="s">
        <v>2082</v>
      </c>
      <c r="C1269" s="14" t="s">
        <v>169</v>
      </c>
      <c r="D1269" s="14" t="s">
        <v>46</v>
      </c>
      <c r="E1269" s="14" t="s">
        <v>4208</v>
      </c>
      <c r="F1269" s="9" t="s">
        <v>94</v>
      </c>
      <c r="G1269" s="9" t="b">
        <v>0</v>
      </c>
      <c r="I1269" s="9">
        <v>1.0</v>
      </c>
      <c r="J1269" s="9">
        <v>0.0</v>
      </c>
      <c r="K1269" s="9">
        <v>1.0</v>
      </c>
    </row>
    <row r="1270">
      <c r="A1270" s="7" t="s">
        <v>4209</v>
      </c>
      <c r="B1270" s="13" t="s">
        <v>2084</v>
      </c>
      <c r="C1270" s="14" t="s">
        <v>521</v>
      </c>
      <c r="D1270" s="14" t="s">
        <v>46</v>
      </c>
      <c r="E1270" s="14" t="s">
        <v>4210</v>
      </c>
      <c r="F1270" s="9" t="s">
        <v>523</v>
      </c>
      <c r="G1270" s="9" t="b">
        <v>0</v>
      </c>
      <c r="H1270" s="9" t="s">
        <v>188</v>
      </c>
      <c r="I1270" s="9">
        <v>1.0</v>
      </c>
      <c r="J1270" s="9">
        <v>0.0</v>
      </c>
      <c r="K1270" s="9">
        <v>0.0</v>
      </c>
    </row>
    <row r="1271">
      <c r="A1271" s="7" t="s">
        <v>4211</v>
      </c>
      <c r="B1271" s="13" t="s">
        <v>2085</v>
      </c>
      <c r="C1271" s="14" t="s">
        <v>34</v>
      </c>
      <c r="D1271" s="14" t="s">
        <v>46</v>
      </c>
      <c r="E1271" s="14" t="s">
        <v>4212</v>
      </c>
      <c r="F1271" s="9" t="s">
        <v>37</v>
      </c>
      <c r="G1271" s="9" t="b">
        <v>0</v>
      </c>
      <c r="H1271" s="9" t="s">
        <v>4213</v>
      </c>
      <c r="I1271" s="9">
        <v>1.0</v>
      </c>
      <c r="J1271" s="9">
        <v>0.0</v>
      </c>
      <c r="K1271" s="9">
        <v>1.0</v>
      </c>
    </row>
    <row r="1272">
      <c r="A1272" s="7" t="s">
        <v>4214</v>
      </c>
      <c r="B1272" s="13" t="s">
        <v>965</v>
      </c>
      <c r="C1272" s="14" t="s">
        <v>34</v>
      </c>
      <c r="D1272" s="14" t="s">
        <v>46</v>
      </c>
      <c r="E1272" s="14" t="s">
        <v>4215</v>
      </c>
      <c r="F1272" s="9" t="s">
        <v>37</v>
      </c>
      <c r="G1272" s="9" t="b">
        <v>0</v>
      </c>
      <c r="H1272" s="9" t="s">
        <v>4216</v>
      </c>
      <c r="I1272" s="9">
        <v>1.0</v>
      </c>
      <c r="J1272" s="9">
        <v>0.0</v>
      </c>
      <c r="K1272" s="9">
        <v>2.0</v>
      </c>
    </row>
    <row r="1273">
      <c r="A1273" s="7" t="s">
        <v>4217</v>
      </c>
      <c r="B1273" s="13" t="s">
        <v>4218</v>
      </c>
      <c r="C1273" s="14" t="s">
        <v>144</v>
      </c>
      <c r="D1273" s="14" t="s">
        <v>46</v>
      </c>
      <c r="E1273" s="14" t="s">
        <v>4219</v>
      </c>
      <c r="F1273" s="9" t="s">
        <v>147</v>
      </c>
      <c r="G1273" s="9" t="b">
        <v>0</v>
      </c>
      <c r="H1273" s="9" t="s">
        <v>3941</v>
      </c>
      <c r="I1273" s="9">
        <v>1.0</v>
      </c>
      <c r="J1273" s="9">
        <v>0.0</v>
      </c>
      <c r="K1273" s="9">
        <v>1.0</v>
      </c>
    </row>
    <row r="1274">
      <c r="A1274" s="7" t="s">
        <v>4220</v>
      </c>
      <c r="B1274" s="13" t="s">
        <v>2089</v>
      </c>
      <c r="C1274" s="14" t="s">
        <v>521</v>
      </c>
      <c r="D1274" s="14" t="s">
        <v>46</v>
      </c>
      <c r="E1274" s="14" t="s">
        <v>4221</v>
      </c>
      <c r="F1274" s="9" t="s">
        <v>523</v>
      </c>
      <c r="G1274" s="9" t="b">
        <v>0</v>
      </c>
      <c r="H1274" s="9" t="s">
        <v>188</v>
      </c>
      <c r="I1274" s="9">
        <v>1.0</v>
      </c>
      <c r="J1274" s="9">
        <v>0.0</v>
      </c>
      <c r="K1274" s="9">
        <v>0.0</v>
      </c>
    </row>
    <row r="1275">
      <c r="A1275" s="7" t="s">
        <v>4222</v>
      </c>
      <c r="B1275" s="13" t="s">
        <v>4223</v>
      </c>
      <c r="C1275" s="14" t="s">
        <v>61</v>
      </c>
      <c r="D1275" s="14" t="s">
        <v>46</v>
      </c>
      <c r="E1275" s="14" t="s">
        <v>4224</v>
      </c>
      <c r="F1275" s="9" t="s">
        <v>64</v>
      </c>
      <c r="G1275" s="9" t="b">
        <v>0</v>
      </c>
      <c r="H1275" s="9" t="s">
        <v>720</v>
      </c>
      <c r="I1275" s="9">
        <v>1.0</v>
      </c>
      <c r="J1275" s="9">
        <v>0.0</v>
      </c>
      <c r="K1275" s="9">
        <v>1.0</v>
      </c>
    </row>
    <row r="1276">
      <c r="A1276" s="7" t="s">
        <v>4225</v>
      </c>
      <c r="B1276" s="13" t="s">
        <v>860</v>
      </c>
      <c r="C1276" s="14" t="s">
        <v>34</v>
      </c>
      <c r="D1276" s="14" t="s">
        <v>35</v>
      </c>
      <c r="E1276" s="14" t="s">
        <v>4226</v>
      </c>
      <c r="F1276" s="9" t="s">
        <v>37</v>
      </c>
      <c r="G1276" s="9" t="b">
        <v>0</v>
      </c>
      <c r="H1276" s="9" t="s">
        <v>4227</v>
      </c>
      <c r="I1276" s="9">
        <v>1.0</v>
      </c>
      <c r="J1276" s="9">
        <v>0.0</v>
      </c>
      <c r="K1276" s="9">
        <v>0.0</v>
      </c>
    </row>
    <row r="1277">
      <c r="A1277" s="7" t="s">
        <v>4228</v>
      </c>
      <c r="B1277" s="13" t="s">
        <v>860</v>
      </c>
      <c r="C1277" s="14" t="s">
        <v>34</v>
      </c>
      <c r="D1277" s="14" t="s">
        <v>35</v>
      </c>
      <c r="E1277" s="14" t="s">
        <v>4229</v>
      </c>
      <c r="F1277" s="9" t="s">
        <v>37</v>
      </c>
      <c r="G1277" s="9" t="b">
        <v>0</v>
      </c>
      <c r="H1277" s="9" t="s">
        <v>4230</v>
      </c>
      <c r="I1277" s="9">
        <v>1.0</v>
      </c>
      <c r="J1277" s="9">
        <v>0.0</v>
      </c>
      <c r="K1277" s="9">
        <v>2.0</v>
      </c>
    </row>
    <row r="1278">
      <c r="A1278" s="7" t="s">
        <v>4231</v>
      </c>
      <c r="B1278" s="13" t="s">
        <v>698</v>
      </c>
      <c r="C1278" s="14" t="s">
        <v>34</v>
      </c>
      <c r="D1278" s="14" t="s">
        <v>35</v>
      </c>
      <c r="E1278" s="14" t="s">
        <v>4232</v>
      </c>
      <c r="F1278" s="9" t="s">
        <v>37</v>
      </c>
      <c r="G1278" s="9" t="b">
        <v>0</v>
      </c>
      <c r="H1278" s="9" t="s">
        <v>4233</v>
      </c>
      <c r="I1278" s="9">
        <v>1.0</v>
      </c>
      <c r="J1278" s="9">
        <v>0.0</v>
      </c>
      <c r="K1278" s="9">
        <v>2.0</v>
      </c>
    </row>
    <row r="1279">
      <c r="A1279" s="7" t="s">
        <v>4234</v>
      </c>
      <c r="B1279" s="13" t="s">
        <v>698</v>
      </c>
      <c r="C1279" s="14" t="s">
        <v>34</v>
      </c>
      <c r="D1279" s="14" t="s">
        <v>35</v>
      </c>
      <c r="E1279" s="14" t="s">
        <v>4235</v>
      </c>
      <c r="F1279" s="9" t="s">
        <v>37</v>
      </c>
      <c r="G1279" s="9" t="b">
        <v>0</v>
      </c>
      <c r="H1279" s="9" t="s">
        <v>4236</v>
      </c>
      <c r="I1279" s="9">
        <v>1.0</v>
      </c>
      <c r="J1279" s="9">
        <v>0.0</v>
      </c>
      <c r="K1279" s="9">
        <v>0.0</v>
      </c>
    </row>
    <row r="1280">
      <c r="A1280" s="7" t="s">
        <v>4237</v>
      </c>
      <c r="B1280" s="13" t="s">
        <v>698</v>
      </c>
      <c r="C1280" s="14" t="s">
        <v>34</v>
      </c>
      <c r="D1280" s="14" t="s">
        <v>35</v>
      </c>
      <c r="E1280" s="14" t="s">
        <v>4238</v>
      </c>
      <c r="F1280" s="9" t="s">
        <v>37</v>
      </c>
      <c r="G1280" s="9" t="b">
        <v>0</v>
      </c>
      <c r="H1280" s="9" t="s">
        <v>4239</v>
      </c>
      <c r="I1280" s="9">
        <v>1.0</v>
      </c>
      <c r="J1280" s="9">
        <v>0.0</v>
      </c>
      <c r="K1280" s="9">
        <v>1.0</v>
      </c>
    </row>
    <row r="1281">
      <c r="A1281" s="7" t="s">
        <v>4240</v>
      </c>
      <c r="B1281" s="13" t="s">
        <v>698</v>
      </c>
      <c r="C1281" s="14" t="s">
        <v>34</v>
      </c>
      <c r="D1281" s="14" t="s">
        <v>35</v>
      </c>
      <c r="E1281" s="14" t="s">
        <v>4241</v>
      </c>
      <c r="F1281" s="9" t="s">
        <v>37</v>
      </c>
      <c r="G1281" s="9" t="b">
        <v>0</v>
      </c>
      <c r="H1281" s="9" t="s">
        <v>4242</v>
      </c>
      <c r="I1281" s="9">
        <v>1.0</v>
      </c>
      <c r="J1281" s="9">
        <v>0.0</v>
      </c>
      <c r="K1281" s="9">
        <v>1.0</v>
      </c>
    </row>
    <row r="1282">
      <c r="A1282" s="7" t="s">
        <v>4243</v>
      </c>
      <c r="B1282" s="13" t="s">
        <v>564</v>
      </c>
      <c r="C1282" s="14" t="s">
        <v>144</v>
      </c>
      <c r="D1282" s="14" t="s">
        <v>46</v>
      </c>
      <c r="E1282" s="14" t="s">
        <v>4244</v>
      </c>
      <c r="F1282" s="9" t="s">
        <v>147</v>
      </c>
      <c r="G1282" s="9" t="b">
        <v>0</v>
      </c>
      <c r="H1282" s="9" t="s">
        <v>340</v>
      </c>
      <c r="I1282" s="9">
        <v>1.0</v>
      </c>
      <c r="J1282" s="9">
        <v>0.0</v>
      </c>
      <c r="K1282" s="9">
        <v>1.0</v>
      </c>
    </row>
    <row r="1283">
      <c r="A1283" s="7" t="s">
        <v>4245</v>
      </c>
      <c r="B1283" s="13" t="s">
        <v>289</v>
      </c>
      <c r="C1283" s="14" t="s">
        <v>34</v>
      </c>
      <c r="D1283" s="14" t="s">
        <v>46</v>
      </c>
      <c r="E1283" s="14" t="s">
        <v>4246</v>
      </c>
      <c r="F1283" s="9" t="s">
        <v>37</v>
      </c>
      <c r="G1283" s="9" t="b">
        <v>0</v>
      </c>
      <c r="H1283" s="9" t="s">
        <v>4247</v>
      </c>
      <c r="I1283" s="9">
        <v>1.0</v>
      </c>
      <c r="J1283" s="9">
        <v>0.0</v>
      </c>
      <c r="K1283" s="9">
        <v>3.0</v>
      </c>
    </row>
    <row r="1284">
      <c r="A1284" s="7" t="s">
        <v>4248</v>
      </c>
      <c r="B1284" s="13" t="s">
        <v>1113</v>
      </c>
      <c r="C1284" s="14" t="s">
        <v>521</v>
      </c>
      <c r="D1284" s="14" t="s">
        <v>35</v>
      </c>
      <c r="E1284" s="14" t="s">
        <v>4249</v>
      </c>
      <c r="F1284" s="9" t="s">
        <v>523</v>
      </c>
      <c r="G1284" s="9" t="b">
        <v>0</v>
      </c>
      <c r="H1284" s="9" t="s">
        <v>1114</v>
      </c>
      <c r="I1284" s="9">
        <v>1.0</v>
      </c>
      <c r="J1284" s="9">
        <v>0.0</v>
      </c>
      <c r="K1284" s="9">
        <v>2.0</v>
      </c>
    </row>
    <row r="1285">
      <c r="A1285" s="7" t="s">
        <v>4250</v>
      </c>
      <c r="B1285" s="13" t="s">
        <v>705</v>
      </c>
      <c r="C1285" s="14" t="s">
        <v>34</v>
      </c>
      <c r="D1285" s="14" t="s">
        <v>46</v>
      </c>
      <c r="E1285" s="14" t="s">
        <v>4251</v>
      </c>
      <c r="F1285" s="9" t="s">
        <v>37</v>
      </c>
      <c r="G1285" s="9" t="b">
        <v>0</v>
      </c>
      <c r="H1285" s="9" t="s">
        <v>4252</v>
      </c>
      <c r="I1285" s="9">
        <v>1.0</v>
      </c>
      <c r="J1285" s="9">
        <v>0.0</v>
      </c>
      <c r="K1285" s="9">
        <v>3.0</v>
      </c>
    </row>
    <row r="1286">
      <c r="A1286" s="7" t="s">
        <v>4253</v>
      </c>
      <c r="B1286" s="13" t="s">
        <v>2092</v>
      </c>
      <c r="C1286" s="14" t="s">
        <v>34</v>
      </c>
      <c r="D1286" s="14" t="s">
        <v>46</v>
      </c>
      <c r="E1286" s="14" t="s">
        <v>4254</v>
      </c>
      <c r="F1286" s="9" t="s">
        <v>37</v>
      </c>
      <c r="G1286" s="9" t="b">
        <v>0</v>
      </c>
      <c r="H1286" s="9" t="s">
        <v>1797</v>
      </c>
      <c r="I1286" s="9">
        <v>1.0</v>
      </c>
      <c r="J1286" s="9">
        <v>0.0</v>
      </c>
      <c r="K1286" s="9">
        <v>1.0</v>
      </c>
    </row>
    <row r="1287">
      <c r="A1287" s="7" t="s">
        <v>4255</v>
      </c>
      <c r="B1287" s="13" t="s">
        <v>247</v>
      </c>
      <c r="C1287" s="14" t="s">
        <v>1203</v>
      </c>
      <c r="D1287" s="14" t="s">
        <v>46</v>
      </c>
      <c r="E1287" s="14" t="s">
        <v>4256</v>
      </c>
      <c r="F1287" s="9" t="s">
        <v>1205</v>
      </c>
      <c r="G1287" s="9" t="b">
        <v>0</v>
      </c>
      <c r="I1287" s="9">
        <v>1.0</v>
      </c>
      <c r="J1287" s="9">
        <v>0.0</v>
      </c>
      <c r="K1287" s="9">
        <v>0.0</v>
      </c>
    </row>
    <row r="1288">
      <c r="A1288" s="7" t="s">
        <v>4257</v>
      </c>
      <c r="B1288" s="13" t="s">
        <v>2094</v>
      </c>
      <c r="C1288" s="14" t="s">
        <v>34</v>
      </c>
      <c r="D1288" s="14" t="s">
        <v>46</v>
      </c>
      <c r="E1288" s="14" t="s">
        <v>4258</v>
      </c>
      <c r="F1288" s="9" t="s">
        <v>37</v>
      </c>
      <c r="G1288" s="9" t="b">
        <v>0</v>
      </c>
      <c r="H1288" s="9" t="s">
        <v>4259</v>
      </c>
      <c r="I1288" s="9">
        <v>1.0</v>
      </c>
      <c r="J1288" s="9">
        <v>0.0</v>
      </c>
      <c r="K1288" s="9">
        <v>0.0</v>
      </c>
    </row>
    <row r="1289">
      <c r="A1289" s="7" t="s">
        <v>4260</v>
      </c>
      <c r="B1289" s="13" t="s">
        <v>2099</v>
      </c>
      <c r="C1289" s="14" t="s">
        <v>144</v>
      </c>
      <c r="D1289" s="14" t="s">
        <v>46</v>
      </c>
      <c r="E1289" s="14" t="s">
        <v>4261</v>
      </c>
      <c r="F1289" s="9" t="s">
        <v>147</v>
      </c>
      <c r="G1289" s="9" t="b">
        <v>0</v>
      </c>
      <c r="I1289" s="9">
        <v>1.0</v>
      </c>
      <c r="J1289" s="9">
        <v>0.0</v>
      </c>
      <c r="K1289" s="9">
        <v>0.0</v>
      </c>
    </row>
    <row r="1290">
      <c r="A1290" s="7" t="s">
        <v>4262</v>
      </c>
      <c r="B1290" s="14" t="s">
        <v>200</v>
      </c>
      <c r="C1290" s="14" t="s">
        <v>169</v>
      </c>
      <c r="D1290" s="14" t="s">
        <v>46</v>
      </c>
      <c r="E1290" s="14" t="s">
        <v>4263</v>
      </c>
      <c r="F1290" s="9" t="s">
        <v>94</v>
      </c>
      <c r="G1290" s="9" t="b">
        <v>0</v>
      </c>
      <c r="I1290" s="9">
        <v>1.0</v>
      </c>
      <c r="J1290" s="9">
        <v>0.0</v>
      </c>
      <c r="K1290" s="9">
        <v>1.0</v>
      </c>
    </row>
    <row r="1291">
      <c r="A1291" s="7" t="s">
        <v>4264</v>
      </c>
      <c r="B1291" s="13" t="s">
        <v>2103</v>
      </c>
      <c r="C1291" s="14" t="s">
        <v>521</v>
      </c>
      <c r="D1291" s="14" t="s">
        <v>46</v>
      </c>
      <c r="E1291" s="14" t="s">
        <v>4265</v>
      </c>
      <c r="F1291" s="9" t="s">
        <v>523</v>
      </c>
      <c r="G1291" s="9" t="b">
        <v>0</v>
      </c>
      <c r="I1291" s="9">
        <v>1.0</v>
      </c>
      <c r="J1291" s="9">
        <v>0.0</v>
      </c>
      <c r="K1291" s="9">
        <v>0.0</v>
      </c>
    </row>
    <row r="1292">
      <c r="A1292" s="7" t="s">
        <v>4266</v>
      </c>
      <c r="B1292" s="14" t="s">
        <v>1324</v>
      </c>
      <c r="C1292" s="14" t="s">
        <v>144</v>
      </c>
      <c r="D1292" s="14" t="s">
        <v>46</v>
      </c>
      <c r="E1292" s="14" t="s">
        <v>4267</v>
      </c>
      <c r="F1292" s="9" t="s">
        <v>147</v>
      </c>
      <c r="G1292" s="9" t="b">
        <v>0</v>
      </c>
      <c r="H1292" s="9" t="s">
        <v>4268</v>
      </c>
      <c r="I1292" s="9">
        <v>1.0</v>
      </c>
      <c r="J1292" s="9">
        <v>0.0</v>
      </c>
      <c r="K1292" s="9">
        <v>1.0</v>
      </c>
    </row>
    <row r="1293">
      <c r="A1293" s="7" t="s">
        <v>4269</v>
      </c>
      <c r="B1293" s="14" t="s">
        <v>1324</v>
      </c>
      <c r="C1293" s="14" t="s">
        <v>144</v>
      </c>
      <c r="D1293" s="14" t="s">
        <v>46</v>
      </c>
      <c r="E1293" s="14" t="s">
        <v>4270</v>
      </c>
      <c r="F1293" s="9" t="s">
        <v>147</v>
      </c>
      <c r="G1293" s="9" t="b">
        <v>0</v>
      </c>
      <c r="H1293" s="9" t="s">
        <v>2197</v>
      </c>
      <c r="I1293" s="9">
        <v>1.0</v>
      </c>
      <c r="J1293" s="9">
        <v>0.0</v>
      </c>
      <c r="K1293" s="9">
        <v>1.0</v>
      </c>
    </row>
    <row r="1294">
      <c r="A1294" s="7" t="s">
        <v>4271</v>
      </c>
      <c r="B1294" s="13" t="s">
        <v>2104</v>
      </c>
      <c r="C1294" s="14" t="s">
        <v>34</v>
      </c>
      <c r="D1294" s="14" t="s">
        <v>46</v>
      </c>
      <c r="E1294" s="14" t="s">
        <v>4272</v>
      </c>
      <c r="F1294" s="9" t="s">
        <v>37</v>
      </c>
      <c r="G1294" s="9" t="b">
        <v>0</v>
      </c>
      <c r="H1294" s="9" t="s">
        <v>4273</v>
      </c>
      <c r="I1294" s="9">
        <v>1.0</v>
      </c>
      <c r="J1294" s="9">
        <v>0.0</v>
      </c>
      <c r="K1294" s="9">
        <v>0.0</v>
      </c>
    </row>
    <row r="1295">
      <c r="A1295" s="7" t="s">
        <v>4274</v>
      </c>
      <c r="B1295" s="13" t="s">
        <v>2108</v>
      </c>
      <c r="C1295" s="14" t="s">
        <v>309</v>
      </c>
      <c r="D1295" s="14" t="s">
        <v>46</v>
      </c>
      <c r="E1295" s="14" t="s">
        <v>4275</v>
      </c>
      <c r="F1295" s="9" t="s">
        <v>311</v>
      </c>
      <c r="G1295" s="9" t="b">
        <v>0</v>
      </c>
      <c r="H1295" s="9" t="s">
        <v>4276</v>
      </c>
      <c r="I1295" s="9">
        <v>1.0</v>
      </c>
      <c r="J1295" s="9">
        <v>0.0</v>
      </c>
      <c r="K1295" s="9">
        <v>0.0</v>
      </c>
    </row>
    <row r="1296">
      <c r="A1296" s="7" t="s">
        <v>4277</v>
      </c>
      <c r="B1296" s="13" t="s">
        <v>2110</v>
      </c>
      <c r="C1296" s="14" t="s">
        <v>521</v>
      </c>
      <c r="D1296" s="14" t="s">
        <v>46</v>
      </c>
      <c r="E1296" s="14" t="s">
        <v>4278</v>
      </c>
      <c r="F1296" s="9" t="s">
        <v>523</v>
      </c>
      <c r="G1296" s="9" t="b">
        <v>0</v>
      </c>
      <c r="H1296" s="9" t="s">
        <v>720</v>
      </c>
      <c r="I1296" s="9">
        <v>1.0</v>
      </c>
      <c r="J1296" s="9">
        <v>0.0</v>
      </c>
      <c r="K1296" s="9">
        <v>2.0</v>
      </c>
    </row>
    <row r="1297">
      <c r="A1297" s="7" t="s">
        <v>4279</v>
      </c>
      <c r="B1297" s="13" t="s">
        <v>2113</v>
      </c>
      <c r="C1297" s="14" t="s">
        <v>34</v>
      </c>
      <c r="D1297" s="14" t="s">
        <v>46</v>
      </c>
      <c r="E1297" s="14" t="s">
        <v>4280</v>
      </c>
      <c r="F1297" s="9" t="s">
        <v>37</v>
      </c>
      <c r="G1297" s="9" t="b">
        <v>0</v>
      </c>
      <c r="H1297" s="9" t="s">
        <v>1328</v>
      </c>
      <c r="I1297" s="9">
        <v>1.0</v>
      </c>
      <c r="J1297" s="9">
        <v>0.0</v>
      </c>
      <c r="K1297" s="9">
        <v>1.0</v>
      </c>
    </row>
    <row r="1298">
      <c r="A1298" s="7" t="s">
        <v>4281</v>
      </c>
      <c r="B1298" s="13" t="s">
        <v>2116</v>
      </c>
      <c r="C1298" s="14" t="s">
        <v>34</v>
      </c>
      <c r="D1298" s="14" t="s">
        <v>46</v>
      </c>
      <c r="E1298" s="14" t="s">
        <v>4282</v>
      </c>
      <c r="F1298" s="9" t="s">
        <v>37</v>
      </c>
      <c r="G1298" s="9" t="b">
        <v>0</v>
      </c>
      <c r="I1298" s="9">
        <v>1.0</v>
      </c>
      <c r="J1298" s="9">
        <v>0.0</v>
      </c>
      <c r="K1298" s="9">
        <v>1.0</v>
      </c>
    </row>
    <row r="1299">
      <c r="A1299" s="7" t="s">
        <v>4283</v>
      </c>
      <c r="B1299" s="13" t="s">
        <v>2120</v>
      </c>
      <c r="C1299" s="14" t="s">
        <v>144</v>
      </c>
      <c r="D1299" s="14" t="s">
        <v>46</v>
      </c>
      <c r="E1299" s="14" t="s">
        <v>4284</v>
      </c>
      <c r="F1299" s="9" t="s">
        <v>147</v>
      </c>
      <c r="G1299" s="9" t="b">
        <v>0</v>
      </c>
      <c r="H1299" s="9" t="s">
        <v>188</v>
      </c>
      <c r="I1299" s="9">
        <v>1.0</v>
      </c>
      <c r="J1299" s="9">
        <v>0.0</v>
      </c>
      <c r="K1299" s="9">
        <v>1.0</v>
      </c>
    </row>
    <row r="1300">
      <c r="A1300" s="7" t="s">
        <v>4285</v>
      </c>
      <c r="B1300" s="13" t="s">
        <v>2121</v>
      </c>
      <c r="C1300" s="14" t="s">
        <v>34</v>
      </c>
      <c r="D1300" s="14" t="s">
        <v>46</v>
      </c>
      <c r="E1300" s="14" t="s">
        <v>4286</v>
      </c>
      <c r="F1300" s="9" t="s">
        <v>37</v>
      </c>
      <c r="G1300" s="9" t="b">
        <v>0</v>
      </c>
      <c r="H1300" s="9" t="s">
        <v>4287</v>
      </c>
      <c r="I1300" s="9">
        <v>1.0</v>
      </c>
      <c r="J1300" s="9">
        <v>0.0</v>
      </c>
      <c r="K1300" s="9">
        <v>0.0</v>
      </c>
    </row>
    <row r="1301">
      <c r="A1301" s="7" t="s">
        <v>4288</v>
      </c>
      <c r="B1301" s="13" t="s">
        <v>2125</v>
      </c>
      <c r="C1301" s="14" t="s">
        <v>144</v>
      </c>
      <c r="D1301" s="14" t="s">
        <v>46</v>
      </c>
      <c r="E1301" s="14" t="s">
        <v>4289</v>
      </c>
      <c r="F1301" s="9" t="s">
        <v>147</v>
      </c>
      <c r="G1301" s="9" t="b">
        <v>0</v>
      </c>
      <c r="I1301" s="9">
        <v>1.0</v>
      </c>
      <c r="J1301" s="9">
        <v>0.0</v>
      </c>
      <c r="K1301" s="9">
        <v>1.0</v>
      </c>
    </row>
    <row r="1302">
      <c r="A1302" s="7" t="s">
        <v>4290</v>
      </c>
      <c r="B1302" s="13" t="s">
        <v>2129</v>
      </c>
      <c r="C1302" s="14" t="s">
        <v>144</v>
      </c>
      <c r="D1302" s="14" t="s">
        <v>46</v>
      </c>
      <c r="E1302" s="14" t="s">
        <v>4291</v>
      </c>
      <c r="F1302" s="9" t="s">
        <v>147</v>
      </c>
      <c r="G1302" s="9" t="b">
        <v>0</v>
      </c>
      <c r="I1302" s="9">
        <v>1.0</v>
      </c>
      <c r="J1302" s="9">
        <v>0.0</v>
      </c>
      <c r="K1302" s="9">
        <v>2.0</v>
      </c>
    </row>
    <row r="1303">
      <c r="A1303" s="7" t="s">
        <v>4292</v>
      </c>
      <c r="B1303" s="13" t="s">
        <v>2130</v>
      </c>
      <c r="C1303" s="14" t="s">
        <v>144</v>
      </c>
      <c r="D1303" s="14" t="s">
        <v>46</v>
      </c>
      <c r="E1303" s="14" t="s">
        <v>4293</v>
      </c>
      <c r="F1303" s="9" t="s">
        <v>147</v>
      </c>
      <c r="G1303" s="9" t="b">
        <v>0</v>
      </c>
      <c r="H1303" s="9" t="s">
        <v>2131</v>
      </c>
      <c r="I1303" s="9">
        <v>1.0</v>
      </c>
      <c r="J1303" s="9">
        <v>0.0</v>
      </c>
      <c r="K1303" s="9">
        <v>2.0</v>
      </c>
    </row>
    <row r="1304">
      <c r="A1304" s="7" t="s">
        <v>4294</v>
      </c>
      <c r="B1304" s="13" t="s">
        <v>1435</v>
      </c>
      <c r="C1304" s="14" t="s">
        <v>169</v>
      </c>
      <c r="D1304" s="14" t="s">
        <v>169</v>
      </c>
      <c r="E1304" s="15"/>
      <c r="F1304" s="9" t="s">
        <v>94</v>
      </c>
      <c r="H1304" s="9" t="s">
        <v>172</v>
      </c>
      <c r="I1304" s="9">
        <v>1.0</v>
      </c>
      <c r="J1304" s="9">
        <v>0.0</v>
      </c>
      <c r="K1304" s="9">
        <v>2.0</v>
      </c>
    </row>
    <row r="1305">
      <c r="A1305" s="7" t="s">
        <v>4295</v>
      </c>
      <c r="B1305" s="13" t="s">
        <v>2134</v>
      </c>
      <c r="C1305" s="14" t="s">
        <v>521</v>
      </c>
      <c r="D1305" s="14" t="s">
        <v>46</v>
      </c>
      <c r="E1305" s="14" t="s">
        <v>4296</v>
      </c>
      <c r="F1305" s="9" t="s">
        <v>523</v>
      </c>
      <c r="G1305" s="9" t="b">
        <v>0</v>
      </c>
      <c r="H1305" s="9" t="s">
        <v>720</v>
      </c>
      <c r="I1305" s="9">
        <v>1.0</v>
      </c>
      <c r="J1305" s="9">
        <v>0.0</v>
      </c>
      <c r="K1305" s="9">
        <v>0.0</v>
      </c>
    </row>
    <row r="1306">
      <c r="A1306" s="7" t="s">
        <v>4297</v>
      </c>
      <c r="B1306" s="13" t="s">
        <v>2139</v>
      </c>
      <c r="C1306" s="14" t="s">
        <v>169</v>
      </c>
      <c r="D1306" s="14" t="s">
        <v>35</v>
      </c>
      <c r="E1306" s="14" t="s">
        <v>4298</v>
      </c>
      <c r="F1306" s="9" t="s">
        <v>94</v>
      </c>
      <c r="G1306" s="9" t="b">
        <v>0</v>
      </c>
      <c r="H1306" s="9" t="s">
        <v>1248</v>
      </c>
      <c r="I1306" s="9">
        <v>1.0</v>
      </c>
      <c r="J1306" s="9">
        <v>0.0</v>
      </c>
      <c r="K1306" s="9">
        <v>0.0</v>
      </c>
    </row>
    <row r="1307">
      <c r="A1307" s="7" t="s">
        <v>4299</v>
      </c>
      <c r="B1307" s="13" t="s">
        <v>2140</v>
      </c>
      <c r="C1307" s="14" t="s">
        <v>169</v>
      </c>
      <c r="D1307" s="14" t="s">
        <v>46</v>
      </c>
      <c r="E1307" s="14" t="s">
        <v>4300</v>
      </c>
      <c r="F1307" s="9" t="s">
        <v>94</v>
      </c>
      <c r="G1307" s="9" t="b">
        <v>0</v>
      </c>
      <c r="I1307" s="9">
        <v>1.0</v>
      </c>
      <c r="J1307" s="9">
        <v>0.0</v>
      </c>
      <c r="K1307" s="9">
        <v>1.0</v>
      </c>
    </row>
    <row r="1308">
      <c r="A1308" s="7" t="s">
        <v>4301</v>
      </c>
      <c r="B1308" s="13" t="s">
        <v>2144</v>
      </c>
      <c r="C1308" s="14" t="s">
        <v>521</v>
      </c>
      <c r="D1308" s="14" t="s">
        <v>46</v>
      </c>
      <c r="E1308" s="14" t="s">
        <v>4302</v>
      </c>
      <c r="F1308" s="9" t="s">
        <v>523</v>
      </c>
      <c r="G1308" s="9" t="b">
        <v>0</v>
      </c>
      <c r="H1308" s="9" t="s">
        <v>1328</v>
      </c>
      <c r="I1308" s="9">
        <v>1.0</v>
      </c>
      <c r="J1308" s="9">
        <v>0.0</v>
      </c>
      <c r="K1308" s="9">
        <v>0.0</v>
      </c>
    </row>
    <row r="1309">
      <c r="A1309" s="7" t="s">
        <v>4303</v>
      </c>
      <c r="B1309" s="13" t="s">
        <v>2145</v>
      </c>
      <c r="C1309" s="14" t="s">
        <v>34</v>
      </c>
      <c r="D1309" s="14" t="s">
        <v>46</v>
      </c>
      <c r="E1309" s="14" t="s">
        <v>4304</v>
      </c>
      <c r="F1309" s="9" t="s">
        <v>37</v>
      </c>
      <c r="G1309" s="9" t="b">
        <v>0</v>
      </c>
      <c r="H1309" s="9" t="s">
        <v>188</v>
      </c>
      <c r="I1309" s="9">
        <v>1.0</v>
      </c>
      <c r="J1309" s="9">
        <v>0.0</v>
      </c>
      <c r="K1309" s="9">
        <v>0.0</v>
      </c>
    </row>
    <row r="1310">
      <c r="A1310" s="7" t="s">
        <v>4305</v>
      </c>
      <c r="B1310" s="13" t="s">
        <v>2148</v>
      </c>
      <c r="C1310" s="14" t="s">
        <v>521</v>
      </c>
      <c r="D1310" s="14" t="s">
        <v>46</v>
      </c>
      <c r="E1310" s="14" t="s">
        <v>4306</v>
      </c>
      <c r="F1310" s="9" t="s">
        <v>523</v>
      </c>
      <c r="G1310" s="9" t="b">
        <v>0</v>
      </c>
      <c r="H1310" s="9" t="s">
        <v>3502</v>
      </c>
      <c r="I1310" s="9">
        <v>1.0</v>
      </c>
      <c r="J1310" s="9">
        <v>0.0</v>
      </c>
      <c r="K1310" s="9">
        <v>0.0</v>
      </c>
    </row>
    <row r="1311">
      <c r="A1311" s="7" t="s">
        <v>4307</v>
      </c>
      <c r="B1311" s="14" t="s">
        <v>2149</v>
      </c>
      <c r="C1311" s="14" t="s">
        <v>34</v>
      </c>
      <c r="D1311" s="14" t="s">
        <v>46</v>
      </c>
      <c r="E1311" s="14" t="s">
        <v>4308</v>
      </c>
      <c r="F1311" s="9" t="s">
        <v>37</v>
      </c>
      <c r="G1311" s="9" t="b">
        <v>0</v>
      </c>
      <c r="H1311" s="9" t="s">
        <v>2151</v>
      </c>
      <c r="I1311" s="9">
        <v>1.0</v>
      </c>
      <c r="J1311" s="9">
        <v>0.0</v>
      </c>
      <c r="K1311" s="9">
        <v>0.0</v>
      </c>
    </row>
    <row r="1312">
      <c r="A1312" s="7" t="s">
        <v>4309</v>
      </c>
      <c r="B1312" s="13" t="s">
        <v>145</v>
      </c>
      <c r="C1312" s="14" t="s">
        <v>1203</v>
      </c>
      <c r="D1312" s="14" t="s">
        <v>169</v>
      </c>
      <c r="E1312" s="14" t="s">
        <v>4310</v>
      </c>
      <c r="F1312" s="9" t="s">
        <v>1205</v>
      </c>
      <c r="G1312" s="9" t="b">
        <v>0</v>
      </c>
      <c r="H1312" s="9" t="s">
        <v>1396</v>
      </c>
      <c r="I1312" s="9">
        <v>1.0</v>
      </c>
      <c r="J1312" s="9">
        <v>0.0</v>
      </c>
      <c r="K1312" s="9">
        <v>1.0</v>
      </c>
    </row>
    <row r="1313">
      <c r="A1313" s="7" t="s">
        <v>4311</v>
      </c>
      <c r="B1313" s="13" t="s">
        <v>145</v>
      </c>
      <c r="C1313" s="14" t="s">
        <v>144</v>
      </c>
      <c r="D1313" s="14" t="s">
        <v>169</v>
      </c>
      <c r="E1313" s="14" t="s">
        <v>4312</v>
      </c>
      <c r="F1313" s="9" t="s">
        <v>147</v>
      </c>
      <c r="G1313" s="9" t="b">
        <v>0</v>
      </c>
      <c r="H1313" s="9" t="s">
        <v>529</v>
      </c>
      <c r="I1313" s="9">
        <v>1.0</v>
      </c>
      <c r="J1313" s="9">
        <v>0.0</v>
      </c>
      <c r="K1313" s="9">
        <v>1.0</v>
      </c>
    </row>
    <row r="1314">
      <c r="A1314" s="7" t="s">
        <v>4313</v>
      </c>
      <c r="B1314" s="13" t="s">
        <v>4314</v>
      </c>
      <c r="C1314" s="14" t="s">
        <v>34</v>
      </c>
      <c r="D1314" s="14" t="s">
        <v>46</v>
      </c>
      <c r="E1314" s="14" t="s">
        <v>4315</v>
      </c>
      <c r="F1314" s="9" t="s">
        <v>37</v>
      </c>
      <c r="G1314" s="9" t="b">
        <v>0</v>
      </c>
      <c r="H1314" s="9" t="s">
        <v>1248</v>
      </c>
      <c r="I1314" s="9">
        <v>1.0</v>
      </c>
      <c r="J1314" s="9">
        <v>0.0</v>
      </c>
      <c r="K1314" s="9">
        <v>1.0</v>
      </c>
    </row>
    <row r="1315">
      <c r="A1315" s="7" t="s">
        <v>4316</v>
      </c>
      <c r="B1315" s="13" t="s">
        <v>2157</v>
      </c>
      <c r="C1315" s="14" t="s">
        <v>34</v>
      </c>
      <c r="D1315" s="14" t="s">
        <v>46</v>
      </c>
      <c r="E1315" s="14" t="s">
        <v>4317</v>
      </c>
      <c r="F1315" s="9" t="s">
        <v>37</v>
      </c>
      <c r="G1315" s="9" t="b">
        <v>0</v>
      </c>
      <c r="H1315" s="9" t="s">
        <v>4318</v>
      </c>
      <c r="I1315" s="9">
        <v>1.0</v>
      </c>
      <c r="J1315" s="9">
        <v>0.0</v>
      </c>
      <c r="K1315" s="9">
        <v>0.0</v>
      </c>
    </row>
    <row r="1316">
      <c r="A1316" s="7" t="s">
        <v>4319</v>
      </c>
      <c r="B1316" s="13" t="s">
        <v>436</v>
      </c>
      <c r="C1316" s="14" t="s">
        <v>34</v>
      </c>
      <c r="D1316" s="14" t="s">
        <v>46</v>
      </c>
      <c r="E1316" s="14" t="s">
        <v>4320</v>
      </c>
      <c r="F1316" s="9" t="s">
        <v>37</v>
      </c>
      <c r="G1316" s="9" t="b">
        <v>0</v>
      </c>
      <c r="H1316" s="9" t="s">
        <v>4321</v>
      </c>
      <c r="I1316" s="9">
        <v>1.0</v>
      </c>
      <c r="J1316" s="9">
        <v>0.0</v>
      </c>
      <c r="K1316" s="9">
        <v>1.0</v>
      </c>
    </row>
    <row r="1317">
      <c r="A1317" s="7" t="s">
        <v>4322</v>
      </c>
      <c r="B1317" s="13" t="s">
        <v>1681</v>
      </c>
      <c r="C1317" s="14" t="s">
        <v>144</v>
      </c>
      <c r="D1317" s="14" t="s">
        <v>46</v>
      </c>
      <c r="E1317" s="14" t="s">
        <v>4323</v>
      </c>
      <c r="F1317" s="9" t="s">
        <v>147</v>
      </c>
      <c r="G1317" s="9" t="b">
        <v>0</v>
      </c>
      <c r="I1317" s="9">
        <v>1.0</v>
      </c>
      <c r="J1317" s="9">
        <v>0.0</v>
      </c>
      <c r="K1317" s="9">
        <v>0.0</v>
      </c>
    </row>
    <row r="1318">
      <c r="A1318" s="7" t="s">
        <v>4324</v>
      </c>
      <c r="B1318" s="13" t="s">
        <v>2159</v>
      </c>
      <c r="C1318" s="14" t="s">
        <v>61</v>
      </c>
      <c r="D1318" s="14" t="s">
        <v>46</v>
      </c>
      <c r="E1318" s="14" t="s">
        <v>4325</v>
      </c>
      <c r="F1318" s="9" t="s">
        <v>64</v>
      </c>
      <c r="G1318" s="9" t="b">
        <v>0</v>
      </c>
      <c r="I1318" s="9">
        <v>1.0</v>
      </c>
      <c r="J1318" s="9">
        <v>0.0</v>
      </c>
      <c r="K1318" s="9">
        <v>2.0</v>
      </c>
    </row>
    <row r="1319">
      <c r="A1319" s="7" t="s">
        <v>4326</v>
      </c>
      <c r="B1319" s="13" t="s">
        <v>993</v>
      </c>
      <c r="C1319" s="14" t="s">
        <v>169</v>
      </c>
      <c r="D1319" s="14" t="s">
        <v>46</v>
      </c>
      <c r="E1319" s="14" t="s">
        <v>4327</v>
      </c>
      <c r="F1319" s="9" t="s">
        <v>94</v>
      </c>
      <c r="G1319" s="9" t="b">
        <v>0</v>
      </c>
      <c r="I1319" s="9">
        <v>1.0</v>
      </c>
      <c r="J1319" s="9">
        <v>0.0</v>
      </c>
      <c r="K1319" s="9">
        <v>1.0</v>
      </c>
    </row>
    <row r="1320">
      <c r="A1320" s="7" t="s">
        <v>4328</v>
      </c>
      <c r="B1320" s="13" t="s">
        <v>993</v>
      </c>
      <c r="C1320" s="14" t="s">
        <v>169</v>
      </c>
      <c r="D1320" s="14" t="s">
        <v>46</v>
      </c>
      <c r="E1320" s="14" t="s">
        <v>4329</v>
      </c>
      <c r="F1320" s="9" t="s">
        <v>94</v>
      </c>
      <c r="G1320" s="9" t="b">
        <v>0</v>
      </c>
      <c r="I1320" s="9">
        <v>1.0</v>
      </c>
      <c r="J1320" s="9">
        <v>0.0</v>
      </c>
      <c r="K1320" s="9">
        <v>2.0</v>
      </c>
    </row>
    <row r="1321">
      <c r="A1321" s="7" t="s">
        <v>4330</v>
      </c>
      <c r="B1321" s="13" t="s">
        <v>993</v>
      </c>
      <c r="C1321" s="14" t="s">
        <v>169</v>
      </c>
      <c r="D1321" s="14" t="s">
        <v>46</v>
      </c>
      <c r="E1321" s="14" t="s">
        <v>4331</v>
      </c>
      <c r="F1321" s="9" t="s">
        <v>94</v>
      </c>
      <c r="G1321" s="9" t="b">
        <v>0</v>
      </c>
      <c r="I1321" s="9">
        <v>1.0</v>
      </c>
      <c r="J1321" s="9">
        <v>0.0</v>
      </c>
      <c r="K1321" s="9">
        <v>1.0</v>
      </c>
    </row>
    <row r="1322">
      <c r="A1322" s="7" t="s">
        <v>4332</v>
      </c>
      <c r="B1322" s="13" t="s">
        <v>993</v>
      </c>
      <c r="C1322" s="14" t="s">
        <v>169</v>
      </c>
      <c r="D1322" s="14" t="s">
        <v>46</v>
      </c>
      <c r="E1322" s="14" t="s">
        <v>4333</v>
      </c>
      <c r="F1322" s="9" t="s">
        <v>94</v>
      </c>
      <c r="G1322" s="9" t="b">
        <v>0</v>
      </c>
      <c r="I1322" s="9">
        <v>1.0</v>
      </c>
      <c r="J1322" s="9">
        <v>0.0</v>
      </c>
      <c r="K1322" s="9">
        <v>1.0</v>
      </c>
    </row>
    <row r="1323">
      <c r="A1323" s="7" t="s">
        <v>4334</v>
      </c>
      <c r="B1323" s="13" t="s">
        <v>32</v>
      </c>
      <c r="C1323" s="14" t="s">
        <v>34</v>
      </c>
      <c r="D1323" s="14" t="s">
        <v>35</v>
      </c>
      <c r="E1323" s="14" t="s">
        <v>4335</v>
      </c>
      <c r="F1323" s="9" t="s">
        <v>37</v>
      </c>
      <c r="G1323" s="9" t="b">
        <v>0</v>
      </c>
      <c r="H1323" s="9" t="s">
        <v>4336</v>
      </c>
      <c r="I1323" s="9">
        <v>1.0</v>
      </c>
      <c r="J1323" s="9">
        <v>0.0</v>
      </c>
      <c r="K1323" s="9">
        <v>1.0</v>
      </c>
    </row>
    <row r="1324">
      <c r="A1324" s="7" t="s">
        <v>4337</v>
      </c>
      <c r="B1324" s="13" t="s">
        <v>32</v>
      </c>
      <c r="C1324" s="14" t="s">
        <v>34</v>
      </c>
      <c r="D1324" s="14" t="s">
        <v>35</v>
      </c>
      <c r="E1324" s="14" t="s">
        <v>4338</v>
      </c>
      <c r="F1324" s="9" t="s">
        <v>37</v>
      </c>
      <c r="G1324" s="9" t="b">
        <v>0</v>
      </c>
      <c r="H1324" s="9" t="s">
        <v>4339</v>
      </c>
      <c r="I1324" s="9">
        <v>1.0</v>
      </c>
      <c r="J1324" s="9">
        <v>0.0</v>
      </c>
      <c r="K1324" s="9">
        <v>3.0</v>
      </c>
    </row>
    <row r="1325">
      <c r="A1325" s="7" t="s">
        <v>4340</v>
      </c>
      <c r="B1325" s="13" t="s">
        <v>817</v>
      </c>
      <c r="C1325" s="14" t="s">
        <v>169</v>
      </c>
      <c r="D1325" s="14" t="s">
        <v>35</v>
      </c>
      <c r="E1325" s="15"/>
      <c r="F1325" s="9" t="s">
        <v>94</v>
      </c>
      <c r="G1325" s="9" t="b">
        <v>0</v>
      </c>
      <c r="H1325" s="9" t="s">
        <v>1409</v>
      </c>
      <c r="I1325" s="9">
        <v>1.0</v>
      </c>
      <c r="J1325" s="9">
        <v>0.0</v>
      </c>
      <c r="K1325" s="9">
        <v>2.0</v>
      </c>
    </row>
    <row r="1326">
      <c r="A1326" s="7" t="s">
        <v>4341</v>
      </c>
      <c r="B1326" s="13" t="s">
        <v>817</v>
      </c>
      <c r="C1326" s="14" t="s">
        <v>169</v>
      </c>
      <c r="D1326" s="14" t="s">
        <v>35</v>
      </c>
      <c r="E1326" s="14" t="s">
        <v>4342</v>
      </c>
      <c r="F1326" s="9" t="s">
        <v>94</v>
      </c>
      <c r="G1326" s="9" t="b">
        <v>0</v>
      </c>
      <c r="H1326" s="9" t="s">
        <v>799</v>
      </c>
      <c r="I1326" s="9">
        <v>1.0</v>
      </c>
      <c r="J1326" s="9">
        <v>0.0</v>
      </c>
      <c r="K1326" s="9">
        <v>1.0</v>
      </c>
    </row>
    <row r="1327">
      <c r="A1327" s="7" t="s">
        <v>4343</v>
      </c>
      <c r="B1327" s="13" t="s">
        <v>2162</v>
      </c>
      <c r="C1327" s="14" t="s">
        <v>521</v>
      </c>
      <c r="D1327" s="14" t="s">
        <v>46</v>
      </c>
      <c r="E1327" s="14" t="s">
        <v>4344</v>
      </c>
      <c r="F1327" s="9" t="s">
        <v>523</v>
      </c>
      <c r="G1327" s="9" t="b">
        <v>0</v>
      </c>
      <c r="I1327" s="9">
        <v>1.0</v>
      </c>
      <c r="J1327" s="9">
        <v>0.0</v>
      </c>
      <c r="K1327" s="9">
        <v>0.0</v>
      </c>
    </row>
    <row r="1328">
      <c r="A1328" s="7" t="s">
        <v>4345</v>
      </c>
      <c r="B1328" s="13" t="s">
        <v>2163</v>
      </c>
      <c r="C1328" s="14" t="s">
        <v>521</v>
      </c>
      <c r="D1328" s="14" t="s">
        <v>46</v>
      </c>
      <c r="E1328" s="14" t="s">
        <v>4346</v>
      </c>
      <c r="F1328" s="9" t="s">
        <v>523</v>
      </c>
      <c r="G1328" s="9" t="b">
        <v>0</v>
      </c>
      <c r="I1328" s="9">
        <v>1.0</v>
      </c>
      <c r="J1328" s="9">
        <v>0.0</v>
      </c>
      <c r="K1328" s="9">
        <v>0.0</v>
      </c>
    </row>
    <row r="1329">
      <c r="A1329" s="7" t="s">
        <v>4347</v>
      </c>
      <c r="B1329" s="13" t="s">
        <v>2167</v>
      </c>
      <c r="C1329" s="14" t="s">
        <v>34</v>
      </c>
      <c r="D1329" s="14" t="s">
        <v>169</v>
      </c>
      <c r="E1329" s="14" t="s">
        <v>4348</v>
      </c>
      <c r="F1329" s="9" t="s">
        <v>37</v>
      </c>
      <c r="G1329" s="9" t="b">
        <v>0</v>
      </c>
      <c r="H1329" s="9" t="s">
        <v>4349</v>
      </c>
      <c r="I1329" s="9">
        <v>1.0</v>
      </c>
      <c r="J1329" s="9">
        <v>0.0</v>
      </c>
      <c r="K1329" s="9">
        <v>2.0</v>
      </c>
    </row>
    <row r="1330">
      <c r="A1330" s="7" t="s">
        <v>4350</v>
      </c>
      <c r="B1330" s="13" t="s">
        <v>2171</v>
      </c>
      <c r="C1330" s="14" t="s">
        <v>431</v>
      </c>
      <c r="D1330" s="14" t="s">
        <v>46</v>
      </c>
      <c r="E1330" s="14" t="s">
        <v>4351</v>
      </c>
      <c r="F1330" s="9" t="s">
        <v>433</v>
      </c>
      <c r="G1330" s="9" t="b">
        <v>0</v>
      </c>
      <c r="H1330" s="9" t="s">
        <v>4352</v>
      </c>
      <c r="I1330" s="9">
        <v>1.0</v>
      </c>
      <c r="J1330" s="9">
        <v>0.0</v>
      </c>
      <c r="K1330" s="9">
        <v>1.0</v>
      </c>
    </row>
    <row r="1331">
      <c r="A1331" s="7" t="s">
        <v>4353</v>
      </c>
      <c r="B1331" s="13" t="s">
        <v>671</v>
      </c>
      <c r="C1331" s="14" t="s">
        <v>144</v>
      </c>
      <c r="D1331" s="14" t="s">
        <v>35</v>
      </c>
      <c r="E1331" s="14" t="s">
        <v>4354</v>
      </c>
      <c r="F1331" s="9" t="s">
        <v>147</v>
      </c>
      <c r="G1331" s="9" t="b">
        <v>0</v>
      </c>
      <c r="H1331" s="9" t="s">
        <v>4355</v>
      </c>
      <c r="I1331" s="9">
        <v>1.0</v>
      </c>
      <c r="J1331" s="9">
        <v>0.0</v>
      </c>
      <c r="K1331" s="9">
        <v>1.0</v>
      </c>
    </row>
    <row r="1332">
      <c r="A1332" s="7" t="s">
        <v>4356</v>
      </c>
      <c r="B1332" s="13" t="s">
        <v>88</v>
      </c>
      <c r="C1332" s="14" t="s">
        <v>235</v>
      </c>
      <c r="D1332" s="14" t="s">
        <v>25</v>
      </c>
      <c r="E1332" s="14" t="s">
        <v>4357</v>
      </c>
      <c r="F1332" s="9" t="s">
        <v>237</v>
      </c>
      <c r="G1332" s="9" t="b">
        <v>0</v>
      </c>
      <c r="H1332" s="9" t="s">
        <v>720</v>
      </c>
      <c r="I1332" s="9">
        <v>1.0</v>
      </c>
      <c r="J1332" s="9">
        <v>0.0</v>
      </c>
      <c r="K1332" s="9">
        <v>1.0</v>
      </c>
    </row>
    <row r="1333">
      <c r="A1333" s="7" t="s">
        <v>4358</v>
      </c>
      <c r="B1333" s="13" t="s">
        <v>88</v>
      </c>
      <c r="C1333" s="14" t="s">
        <v>235</v>
      </c>
      <c r="D1333" s="14" t="s">
        <v>25</v>
      </c>
      <c r="E1333" s="14" t="s">
        <v>4359</v>
      </c>
      <c r="F1333" s="9" t="s">
        <v>237</v>
      </c>
      <c r="G1333" s="9" t="b">
        <v>0</v>
      </c>
      <c r="H1333" s="9" t="s">
        <v>4360</v>
      </c>
      <c r="I1333" s="9">
        <v>1.0</v>
      </c>
      <c r="J1333" s="9">
        <v>0.0</v>
      </c>
      <c r="K1333" s="9">
        <v>0.0</v>
      </c>
    </row>
    <row r="1334">
      <c r="A1334" s="7" t="s">
        <v>4361</v>
      </c>
      <c r="B1334" s="13" t="s">
        <v>88</v>
      </c>
      <c r="C1334" s="14" t="s">
        <v>235</v>
      </c>
      <c r="D1334" s="14" t="s">
        <v>25</v>
      </c>
      <c r="E1334" s="14" t="s">
        <v>4362</v>
      </c>
      <c r="F1334" s="9" t="s">
        <v>237</v>
      </c>
      <c r="G1334" s="9" t="b">
        <v>1</v>
      </c>
      <c r="H1334" s="9" t="s">
        <v>4363</v>
      </c>
      <c r="I1334" s="9">
        <v>1.0</v>
      </c>
      <c r="J1334" s="9">
        <v>0.0</v>
      </c>
      <c r="K1334" s="9">
        <v>0.0</v>
      </c>
    </row>
    <row r="1335">
      <c r="A1335" s="7" t="s">
        <v>4364</v>
      </c>
      <c r="B1335" s="13" t="s">
        <v>88</v>
      </c>
      <c r="C1335" s="14" t="s">
        <v>235</v>
      </c>
      <c r="D1335" s="14" t="s">
        <v>25</v>
      </c>
      <c r="E1335" s="14" t="s">
        <v>4365</v>
      </c>
      <c r="F1335" s="9" t="s">
        <v>237</v>
      </c>
      <c r="G1335" s="9" t="b">
        <v>0</v>
      </c>
      <c r="H1335" s="9" t="s">
        <v>4366</v>
      </c>
      <c r="I1335" s="9">
        <v>1.0</v>
      </c>
      <c r="J1335" s="9">
        <v>0.0</v>
      </c>
      <c r="K1335" s="9">
        <v>3.0</v>
      </c>
    </row>
    <row r="1336">
      <c r="A1336" s="7" t="s">
        <v>4367</v>
      </c>
      <c r="B1336" s="13" t="s">
        <v>4368</v>
      </c>
      <c r="C1336" s="14" t="s">
        <v>521</v>
      </c>
      <c r="D1336" s="14" t="s">
        <v>46</v>
      </c>
      <c r="E1336" s="14" t="s">
        <v>4369</v>
      </c>
      <c r="F1336" s="9" t="s">
        <v>523</v>
      </c>
      <c r="G1336" s="9" t="b">
        <v>0</v>
      </c>
      <c r="I1336" s="9">
        <v>1.0</v>
      </c>
      <c r="J1336" s="9">
        <v>0.0</v>
      </c>
      <c r="K1336" s="9">
        <v>0.0</v>
      </c>
    </row>
    <row r="1337">
      <c r="A1337" s="7" t="s">
        <v>4370</v>
      </c>
      <c r="B1337" s="13" t="s">
        <v>1634</v>
      </c>
      <c r="C1337" s="14" t="s">
        <v>169</v>
      </c>
      <c r="D1337" s="14" t="s">
        <v>169</v>
      </c>
      <c r="E1337" s="15"/>
      <c r="F1337" s="9" t="s">
        <v>94</v>
      </c>
      <c r="H1337" s="9" t="s">
        <v>172</v>
      </c>
      <c r="I1337" s="9">
        <v>1.0</v>
      </c>
      <c r="J1337" s="9">
        <v>0.0</v>
      </c>
      <c r="K1337" s="9">
        <v>1.0</v>
      </c>
    </row>
    <row r="1338">
      <c r="A1338" s="7" t="s">
        <v>4371</v>
      </c>
      <c r="B1338" s="13" t="s">
        <v>2175</v>
      </c>
      <c r="C1338" s="14" t="s">
        <v>521</v>
      </c>
      <c r="D1338" s="14" t="s">
        <v>46</v>
      </c>
      <c r="E1338" s="15"/>
      <c r="F1338" s="9" t="s">
        <v>523</v>
      </c>
      <c r="H1338" s="9" t="s">
        <v>172</v>
      </c>
      <c r="I1338" s="9">
        <v>1.0</v>
      </c>
      <c r="J1338" s="9">
        <v>0.0</v>
      </c>
      <c r="K1338" s="9">
        <v>0.0</v>
      </c>
    </row>
    <row r="1339">
      <c r="A1339" s="7" t="s">
        <v>4372</v>
      </c>
      <c r="B1339" s="13" t="s">
        <v>2177</v>
      </c>
      <c r="C1339" s="14" t="s">
        <v>34</v>
      </c>
      <c r="D1339" s="14" t="s">
        <v>46</v>
      </c>
      <c r="E1339" s="14" t="s">
        <v>4373</v>
      </c>
      <c r="F1339" s="9" t="s">
        <v>37</v>
      </c>
      <c r="G1339" s="9" t="b">
        <v>0</v>
      </c>
      <c r="H1339" s="9" t="s">
        <v>4374</v>
      </c>
      <c r="I1339" s="9">
        <v>1.0</v>
      </c>
      <c r="J1339" s="9">
        <v>0.0</v>
      </c>
      <c r="K1339" s="9">
        <v>0.0</v>
      </c>
    </row>
    <row r="1340">
      <c r="A1340" s="7" t="s">
        <v>4375</v>
      </c>
      <c r="B1340" s="13" t="s">
        <v>2179</v>
      </c>
      <c r="C1340" s="14" t="s">
        <v>144</v>
      </c>
      <c r="D1340" s="14" t="s">
        <v>169</v>
      </c>
      <c r="E1340" s="14" t="s">
        <v>4376</v>
      </c>
      <c r="F1340" s="9" t="s">
        <v>147</v>
      </c>
      <c r="G1340" s="9" t="b">
        <v>0</v>
      </c>
      <c r="I1340" s="9">
        <v>1.0</v>
      </c>
      <c r="J1340" s="9">
        <v>0.0</v>
      </c>
      <c r="K1340" s="9">
        <v>1.0</v>
      </c>
    </row>
    <row r="1341">
      <c r="A1341" s="7" t="s">
        <v>4377</v>
      </c>
      <c r="B1341" s="13" t="s">
        <v>2183</v>
      </c>
      <c r="C1341" s="14" t="s">
        <v>521</v>
      </c>
      <c r="D1341" s="14" t="s">
        <v>46</v>
      </c>
      <c r="E1341" s="14" t="s">
        <v>4378</v>
      </c>
      <c r="F1341" s="9" t="s">
        <v>523</v>
      </c>
      <c r="G1341" s="9" t="b">
        <v>0</v>
      </c>
      <c r="H1341" s="9" t="s">
        <v>2187</v>
      </c>
      <c r="I1341" s="9">
        <v>1.0</v>
      </c>
      <c r="J1341" s="9">
        <v>0.0</v>
      </c>
      <c r="K1341" s="9">
        <v>0.0</v>
      </c>
    </row>
    <row r="1342">
      <c r="A1342" s="7" t="s">
        <v>4379</v>
      </c>
      <c r="B1342" s="13" t="s">
        <v>2189</v>
      </c>
      <c r="C1342" s="14" t="s">
        <v>309</v>
      </c>
      <c r="D1342" s="14" t="s">
        <v>46</v>
      </c>
      <c r="E1342" s="14" t="s">
        <v>4380</v>
      </c>
      <c r="F1342" s="9" t="s">
        <v>311</v>
      </c>
      <c r="G1342" s="9" t="b">
        <v>0</v>
      </c>
      <c r="H1342" s="9" t="s">
        <v>2190</v>
      </c>
      <c r="I1342" s="9">
        <v>1.0</v>
      </c>
      <c r="J1342" s="9">
        <v>0.0</v>
      </c>
      <c r="K1342" s="9">
        <v>1.0</v>
      </c>
    </row>
    <row r="1343">
      <c r="A1343" s="7" t="s">
        <v>4381</v>
      </c>
      <c r="B1343" s="13" t="s">
        <v>2191</v>
      </c>
      <c r="C1343" s="14" t="s">
        <v>521</v>
      </c>
      <c r="D1343" s="14" t="s">
        <v>46</v>
      </c>
      <c r="E1343" s="14" t="s">
        <v>4382</v>
      </c>
      <c r="F1343" s="9" t="s">
        <v>523</v>
      </c>
      <c r="G1343" s="9" t="b">
        <v>0</v>
      </c>
      <c r="H1343" s="9" t="s">
        <v>1328</v>
      </c>
      <c r="I1343" s="9">
        <v>1.0</v>
      </c>
      <c r="J1343" s="9">
        <v>0.0</v>
      </c>
      <c r="K1343" s="9">
        <v>0.0</v>
      </c>
    </row>
    <row r="1344">
      <c r="A1344" s="7" t="s">
        <v>4383</v>
      </c>
      <c r="B1344" s="13" t="s">
        <v>1346</v>
      </c>
      <c r="C1344" s="14" t="s">
        <v>1203</v>
      </c>
      <c r="D1344" s="14" t="s">
        <v>35</v>
      </c>
      <c r="E1344" s="14" t="s">
        <v>4384</v>
      </c>
      <c r="F1344" s="9" t="s">
        <v>1205</v>
      </c>
      <c r="G1344" s="9" t="b">
        <v>0</v>
      </c>
      <c r="H1344" s="9" t="s">
        <v>1348</v>
      </c>
      <c r="I1344" s="9">
        <v>1.0</v>
      </c>
      <c r="J1344" s="9">
        <v>0.0</v>
      </c>
      <c r="K1344" s="9">
        <v>0.0</v>
      </c>
    </row>
    <row r="1345">
      <c r="A1345" s="7" t="s">
        <v>4385</v>
      </c>
      <c r="B1345" s="13" t="s">
        <v>1346</v>
      </c>
      <c r="C1345" s="14" t="s">
        <v>144</v>
      </c>
      <c r="D1345" s="14" t="s">
        <v>35</v>
      </c>
      <c r="E1345" s="14" t="s">
        <v>4386</v>
      </c>
      <c r="F1345" s="9" t="s">
        <v>147</v>
      </c>
      <c r="G1345" s="9" t="b">
        <v>0</v>
      </c>
      <c r="H1345" s="9" t="s">
        <v>1348</v>
      </c>
      <c r="I1345" s="9">
        <v>1.0</v>
      </c>
      <c r="J1345" s="9">
        <v>0.0</v>
      </c>
      <c r="K1345" s="9">
        <v>1.0</v>
      </c>
    </row>
    <row r="1346">
      <c r="A1346" s="7" t="s">
        <v>4387</v>
      </c>
      <c r="B1346" s="13" t="s">
        <v>2194</v>
      </c>
      <c r="C1346" s="14" t="s">
        <v>309</v>
      </c>
      <c r="D1346" s="14" t="s">
        <v>46</v>
      </c>
      <c r="E1346" s="14" t="s">
        <v>4388</v>
      </c>
      <c r="F1346" s="9" t="s">
        <v>311</v>
      </c>
      <c r="G1346" s="9" t="b">
        <v>0</v>
      </c>
      <c r="H1346" s="9" t="s">
        <v>1328</v>
      </c>
      <c r="I1346" s="9">
        <v>1.0</v>
      </c>
      <c r="J1346" s="9">
        <v>0.0</v>
      </c>
      <c r="K1346" s="9">
        <v>1.0</v>
      </c>
    </row>
    <row r="1347">
      <c r="A1347" s="7" t="s">
        <v>4389</v>
      </c>
      <c r="B1347" s="13" t="s">
        <v>1425</v>
      </c>
      <c r="C1347" s="14" t="s">
        <v>144</v>
      </c>
      <c r="D1347" s="14" t="s">
        <v>46</v>
      </c>
      <c r="E1347" s="14" t="s">
        <v>4390</v>
      </c>
      <c r="F1347" s="9" t="s">
        <v>147</v>
      </c>
      <c r="G1347" s="9" t="b">
        <v>0</v>
      </c>
      <c r="H1347" s="9" t="s">
        <v>188</v>
      </c>
      <c r="I1347" s="9">
        <v>1.0</v>
      </c>
      <c r="J1347" s="9">
        <v>0.0</v>
      </c>
      <c r="K1347" s="9">
        <v>3.0</v>
      </c>
    </row>
    <row r="1348">
      <c r="A1348" s="7" t="s">
        <v>4391</v>
      </c>
      <c r="B1348" s="13" t="s">
        <v>2195</v>
      </c>
      <c r="C1348" s="14" t="s">
        <v>521</v>
      </c>
      <c r="D1348" s="14" t="s">
        <v>46</v>
      </c>
      <c r="E1348" s="14" t="s">
        <v>4392</v>
      </c>
      <c r="F1348" s="9" t="s">
        <v>523</v>
      </c>
      <c r="G1348" s="9" t="b">
        <v>0</v>
      </c>
      <c r="H1348" s="9" t="s">
        <v>4393</v>
      </c>
      <c r="I1348" s="9">
        <v>1.0</v>
      </c>
      <c r="J1348" s="9">
        <v>0.0</v>
      </c>
      <c r="K1348" s="9">
        <v>2.0</v>
      </c>
    </row>
    <row r="1349">
      <c r="A1349" s="7" t="s">
        <v>4394</v>
      </c>
      <c r="B1349" s="13" t="s">
        <v>1452</v>
      </c>
      <c r="C1349" s="14" t="s">
        <v>169</v>
      </c>
      <c r="D1349" s="14" t="s">
        <v>35</v>
      </c>
      <c r="E1349" s="14" t="s">
        <v>4395</v>
      </c>
      <c r="F1349" s="9" t="s">
        <v>94</v>
      </c>
      <c r="G1349" s="9" t="b">
        <v>0</v>
      </c>
      <c r="H1349" s="9" t="s">
        <v>4396</v>
      </c>
      <c r="I1349" s="9">
        <v>1.0</v>
      </c>
      <c r="J1349" s="9">
        <v>0.0</v>
      </c>
      <c r="K1349" s="9">
        <v>2.0</v>
      </c>
    </row>
    <row r="1350">
      <c r="A1350" s="7" t="s">
        <v>4397</v>
      </c>
      <c r="B1350" s="13" t="s">
        <v>2198</v>
      </c>
      <c r="C1350" s="14" t="s">
        <v>521</v>
      </c>
      <c r="D1350" s="14" t="s">
        <v>46</v>
      </c>
      <c r="E1350" s="14" t="s">
        <v>4398</v>
      </c>
      <c r="F1350" s="9" t="s">
        <v>523</v>
      </c>
      <c r="G1350" s="9" t="b">
        <v>0</v>
      </c>
      <c r="H1350" s="9" t="s">
        <v>340</v>
      </c>
      <c r="I1350" s="9">
        <v>1.0</v>
      </c>
      <c r="J1350" s="9">
        <v>0.0</v>
      </c>
      <c r="K1350" s="9">
        <v>0.0</v>
      </c>
    </row>
    <row r="1351">
      <c r="A1351" s="7" t="s">
        <v>4399</v>
      </c>
      <c r="B1351" s="13" t="s">
        <v>624</v>
      </c>
      <c r="C1351" s="14" t="s">
        <v>169</v>
      </c>
      <c r="D1351" s="14" t="s">
        <v>46</v>
      </c>
      <c r="E1351" s="14" t="s">
        <v>4400</v>
      </c>
      <c r="F1351" s="9" t="s">
        <v>94</v>
      </c>
      <c r="G1351" s="9" t="b">
        <v>0</v>
      </c>
      <c r="I1351" s="9">
        <v>1.0</v>
      </c>
      <c r="J1351" s="9">
        <v>0.0</v>
      </c>
      <c r="K1351" s="9">
        <v>1.0</v>
      </c>
    </row>
    <row r="1352">
      <c r="A1352" s="7" t="s">
        <v>4401</v>
      </c>
      <c r="B1352" s="13" t="s">
        <v>142</v>
      </c>
      <c r="C1352" s="14" t="s">
        <v>61</v>
      </c>
      <c r="D1352" s="14" t="s">
        <v>25</v>
      </c>
      <c r="E1352" s="14" t="s">
        <v>4402</v>
      </c>
      <c r="F1352" s="9" t="s">
        <v>64</v>
      </c>
      <c r="G1352" s="9" t="b">
        <v>0</v>
      </c>
      <c r="H1352" s="9" t="s">
        <v>4403</v>
      </c>
      <c r="I1352" s="9">
        <v>1.0</v>
      </c>
      <c r="J1352" s="9">
        <v>0.0</v>
      </c>
      <c r="K1352" s="9">
        <v>1.0</v>
      </c>
    </row>
    <row r="1353">
      <c r="A1353" s="7" t="s">
        <v>4404</v>
      </c>
      <c r="B1353" s="13" t="s">
        <v>4405</v>
      </c>
      <c r="C1353" s="14" t="s">
        <v>169</v>
      </c>
      <c r="D1353" s="14" t="s">
        <v>46</v>
      </c>
      <c r="E1353" s="14" t="s">
        <v>4406</v>
      </c>
      <c r="F1353" s="9" t="s">
        <v>94</v>
      </c>
      <c r="G1353" s="9" t="b">
        <v>0</v>
      </c>
      <c r="H1353" s="9" t="s">
        <v>188</v>
      </c>
      <c r="I1353" s="9">
        <v>1.0</v>
      </c>
      <c r="J1353" s="9">
        <v>0.0</v>
      </c>
      <c r="K1353" s="9">
        <v>0.0</v>
      </c>
    </row>
    <row r="1354">
      <c r="A1354" s="7" t="s">
        <v>4407</v>
      </c>
      <c r="B1354" s="13" t="s">
        <v>502</v>
      </c>
      <c r="C1354" s="14" t="s">
        <v>144</v>
      </c>
      <c r="D1354" s="14" t="s">
        <v>46</v>
      </c>
      <c r="E1354" s="14" t="s">
        <v>4408</v>
      </c>
      <c r="F1354" s="9" t="s">
        <v>147</v>
      </c>
      <c r="G1354" s="9" t="b">
        <v>0</v>
      </c>
      <c r="H1354" s="9" t="s">
        <v>503</v>
      </c>
      <c r="I1354" s="9">
        <v>1.0</v>
      </c>
      <c r="J1354" s="9">
        <v>0.0</v>
      </c>
      <c r="K1354" s="9">
        <v>1.0</v>
      </c>
    </row>
    <row r="1355">
      <c r="A1355" s="7" t="s">
        <v>4409</v>
      </c>
      <c r="B1355" s="13" t="s">
        <v>502</v>
      </c>
      <c r="C1355" s="14" t="s">
        <v>144</v>
      </c>
      <c r="D1355" s="14" t="s">
        <v>46</v>
      </c>
      <c r="E1355" s="14" t="s">
        <v>4410</v>
      </c>
      <c r="F1355" s="9" t="s">
        <v>147</v>
      </c>
      <c r="G1355" s="9" t="b">
        <v>0</v>
      </c>
      <c r="H1355" s="9" t="s">
        <v>503</v>
      </c>
      <c r="I1355" s="9">
        <v>1.0</v>
      </c>
      <c r="J1355" s="9">
        <v>0.0</v>
      </c>
      <c r="K1355" s="9">
        <v>1.0</v>
      </c>
    </row>
    <row r="1356">
      <c r="A1356" s="7" t="s">
        <v>4411</v>
      </c>
      <c r="B1356" s="13" t="s">
        <v>2202</v>
      </c>
      <c r="C1356" s="14" t="s">
        <v>34</v>
      </c>
      <c r="D1356" s="14" t="s">
        <v>46</v>
      </c>
      <c r="E1356" s="14" t="s">
        <v>4412</v>
      </c>
      <c r="F1356" s="9" t="s">
        <v>37</v>
      </c>
      <c r="G1356" s="9" t="b">
        <v>0</v>
      </c>
      <c r="H1356" s="9" t="s">
        <v>4413</v>
      </c>
      <c r="I1356" s="9">
        <v>1.0</v>
      </c>
      <c r="J1356" s="9">
        <v>0.0</v>
      </c>
      <c r="K1356" s="9">
        <v>1.0</v>
      </c>
    </row>
    <row r="1357">
      <c r="A1357" s="7" t="s">
        <v>4414</v>
      </c>
      <c r="B1357" s="13" t="s">
        <v>364</v>
      </c>
      <c r="C1357" s="14" t="s">
        <v>3391</v>
      </c>
      <c r="D1357" s="14" t="s">
        <v>35</v>
      </c>
      <c r="E1357" s="14" t="s">
        <v>4415</v>
      </c>
      <c r="F1357" s="9" t="s">
        <v>3393</v>
      </c>
      <c r="G1357" s="9" t="b">
        <v>0</v>
      </c>
      <c r="H1357" s="9" t="s">
        <v>4416</v>
      </c>
      <c r="I1357" s="9">
        <v>1.0</v>
      </c>
      <c r="J1357" s="9">
        <v>0.0</v>
      </c>
      <c r="K1357" s="9">
        <v>0.0</v>
      </c>
    </row>
    <row r="1358">
      <c r="A1358" s="7" t="s">
        <v>4417</v>
      </c>
      <c r="B1358" s="13" t="s">
        <v>364</v>
      </c>
      <c r="C1358" s="14" t="s">
        <v>61</v>
      </c>
      <c r="D1358" s="14" t="s">
        <v>35</v>
      </c>
      <c r="E1358" s="14" t="s">
        <v>4418</v>
      </c>
      <c r="F1358" s="9" t="s">
        <v>64</v>
      </c>
      <c r="G1358" s="9" t="b">
        <v>0</v>
      </c>
      <c r="H1358" s="9" t="s">
        <v>4419</v>
      </c>
      <c r="I1358" s="9">
        <v>1.0</v>
      </c>
      <c r="J1358" s="9">
        <v>0.0</v>
      </c>
      <c r="K1358" s="9">
        <v>1.0</v>
      </c>
    </row>
    <row r="1359">
      <c r="A1359" s="7" t="s">
        <v>4420</v>
      </c>
      <c r="B1359" s="13" t="s">
        <v>364</v>
      </c>
      <c r="C1359" s="14" t="s">
        <v>431</v>
      </c>
      <c r="D1359" s="14" t="s">
        <v>35</v>
      </c>
      <c r="E1359" s="14" t="s">
        <v>4421</v>
      </c>
      <c r="F1359" s="9" t="s">
        <v>433</v>
      </c>
      <c r="G1359" s="9" t="b">
        <v>0</v>
      </c>
      <c r="H1359" s="9" t="s">
        <v>4419</v>
      </c>
      <c r="I1359" s="9">
        <v>1.0</v>
      </c>
      <c r="J1359" s="9">
        <v>0.0</v>
      </c>
      <c r="K1359" s="9">
        <v>1.0</v>
      </c>
    </row>
    <row r="1360">
      <c r="A1360" s="7" t="s">
        <v>4422</v>
      </c>
      <c r="B1360" s="13" t="s">
        <v>364</v>
      </c>
      <c r="C1360" s="14" t="s">
        <v>309</v>
      </c>
      <c r="D1360" s="14" t="s">
        <v>35</v>
      </c>
      <c r="E1360" s="14" t="s">
        <v>4423</v>
      </c>
      <c r="F1360" s="9" t="s">
        <v>311</v>
      </c>
      <c r="G1360" s="9" t="b">
        <v>0</v>
      </c>
      <c r="H1360" s="9" t="s">
        <v>4424</v>
      </c>
      <c r="I1360" s="9">
        <v>1.0</v>
      </c>
      <c r="J1360" s="9">
        <v>0.0</v>
      </c>
      <c r="K1360" s="9">
        <v>2.0</v>
      </c>
    </row>
    <row r="1361">
      <c r="A1361" s="7" t="s">
        <v>4425</v>
      </c>
      <c r="B1361" s="13" t="s">
        <v>364</v>
      </c>
      <c r="C1361" s="14" t="s">
        <v>309</v>
      </c>
      <c r="D1361" s="14" t="s">
        <v>35</v>
      </c>
      <c r="E1361" s="14" t="s">
        <v>4423</v>
      </c>
      <c r="F1361" s="9" t="s">
        <v>311</v>
      </c>
      <c r="G1361" s="9" t="b">
        <v>0</v>
      </c>
      <c r="H1361" s="9" t="s">
        <v>4424</v>
      </c>
      <c r="I1361" s="9">
        <v>1.0</v>
      </c>
      <c r="J1361" s="9">
        <v>0.0</v>
      </c>
      <c r="K1361" s="9">
        <v>2.0</v>
      </c>
    </row>
    <row r="1362">
      <c r="A1362" s="7" t="s">
        <v>4426</v>
      </c>
      <c r="B1362" s="13" t="s">
        <v>2204</v>
      </c>
      <c r="C1362" s="14" t="s">
        <v>309</v>
      </c>
      <c r="D1362" s="14" t="s">
        <v>46</v>
      </c>
      <c r="E1362" s="14" t="s">
        <v>4427</v>
      </c>
      <c r="F1362" s="9" t="s">
        <v>311</v>
      </c>
      <c r="G1362" s="9" t="b">
        <v>0</v>
      </c>
      <c r="H1362" s="9" t="s">
        <v>1328</v>
      </c>
      <c r="I1362" s="9">
        <v>1.0</v>
      </c>
      <c r="J1362" s="9">
        <v>0.0</v>
      </c>
      <c r="K1362" s="9">
        <v>1.0</v>
      </c>
    </row>
    <row r="1363">
      <c r="A1363" s="7" t="s">
        <v>4428</v>
      </c>
      <c r="B1363" s="13" t="s">
        <v>2207</v>
      </c>
      <c r="C1363" s="14" t="s">
        <v>169</v>
      </c>
      <c r="D1363" s="14" t="s">
        <v>62</v>
      </c>
      <c r="E1363" s="14" t="s">
        <v>4429</v>
      </c>
      <c r="F1363" s="9" t="s">
        <v>94</v>
      </c>
      <c r="G1363" s="9" t="b">
        <v>0</v>
      </c>
      <c r="I1363" s="9">
        <v>1.0</v>
      </c>
      <c r="J1363" s="9">
        <v>0.0</v>
      </c>
      <c r="K1363" s="9">
        <v>0.0</v>
      </c>
    </row>
    <row r="1364">
      <c r="A1364" s="7" t="s">
        <v>4430</v>
      </c>
      <c r="B1364" s="13" t="s">
        <v>2209</v>
      </c>
      <c r="C1364" s="14" t="s">
        <v>34</v>
      </c>
      <c r="D1364" s="14" t="s">
        <v>46</v>
      </c>
      <c r="E1364" s="14" t="s">
        <v>4431</v>
      </c>
      <c r="F1364" s="9" t="s">
        <v>37</v>
      </c>
      <c r="G1364" s="9" t="b">
        <v>0</v>
      </c>
      <c r="H1364" s="9" t="s">
        <v>4432</v>
      </c>
      <c r="I1364" s="9">
        <v>1.0</v>
      </c>
      <c r="J1364" s="9">
        <v>0.0</v>
      </c>
      <c r="K1364" s="9">
        <v>1.0</v>
      </c>
    </row>
    <row r="1365">
      <c r="A1365" s="7" t="s">
        <v>4433</v>
      </c>
      <c r="B1365" s="13" t="s">
        <v>2215</v>
      </c>
      <c r="C1365" s="14" t="s">
        <v>521</v>
      </c>
      <c r="D1365" s="14" t="s">
        <v>46</v>
      </c>
      <c r="E1365" s="15"/>
      <c r="F1365" s="9" t="s">
        <v>523</v>
      </c>
      <c r="H1365" s="9" t="s">
        <v>172</v>
      </c>
      <c r="I1365" s="9">
        <v>1.0</v>
      </c>
      <c r="J1365" s="9">
        <v>0.0</v>
      </c>
      <c r="K1365" s="9">
        <v>0.0</v>
      </c>
    </row>
    <row r="1366">
      <c r="A1366" s="7" t="s">
        <v>4434</v>
      </c>
      <c r="B1366" s="13" t="s">
        <v>2219</v>
      </c>
      <c r="C1366" s="14" t="s">
        <v>34</v>
      </c>
      <c r="D1366" s="14" t="s">
        <v>46</v>
      </c>
      <c r="E1366" s="14" t="s">
        <v>4435</v>
      </c>
      <c r="F1366" s="9" t="s">
        <v>37</v>
      </c>
      <c r="G1366" s="9" t="b">
        <v>0</v>
      </c>
      <c r="H1366" s="9" t="s">
        <v>4436</v>
      </c>
      <c r="I1366" s="9">
        <v>1.0</v>
      </c>
      <c r="J1366" s="9">
        <v>0.0</v>
      </c>
      <c r="K1366" s="9">
        <v>0.0</v>
      </c>
    </row>
    <row r="1367">
      <c r="A1367" s="7" t="s">
        <v>4437</v>
      </c>
      <c r="B1367" s="13" t="s">
        <v>2222</v>
      </c>
      <c r="C1367" s="14" t="s">
        <v>34</v>
      </c>
      <c r="D1367" s="14" t="s">
        <v>169</v>
      </c>
      <c r="E1367" s="14" t="s">
        <v>4438</v>
      </c>
      <c r="F1367" s="9" t="s">
        <v>37</v>
      </c>
      <c r="G1367" s="9" t="b">
        <v>0</v>
      </c>
      <c r="H1367" s="9" t="s">
        <v>4439</v>
      </c>
      <c r="I1367" s="9">
        <v>1.0</v>
      </c>
      <c r="J1367" s="9">
        <v>0.0</v>
      </c>
      <c r="K1367" s="9">
        <v>0.0</v>
      </c>
    </row>
    <row r="1368">
      <c r="A1368" s="7" t="s">
        <v>4440</v>
      </c>
      <c r="B1368" s="13" t="s">
        <v>1362</v>
      </c>
      <c r="C1368" s="14" t="s">
        <v>144</v>
      </c>
      <c r="D1368" s="14" t="s">
        <v>35</v>
      </c>
      <c r="E1368" s="14" t="s">
        <v>4441</v>
      </c>
      <c r="F1368" s="9" t="s">
        <v>147</v>
      </c>
      <c r="G1368" s="9" t="b">
        <v>0</v>
      </c>
      <c r="H1368" s="9" t="s">
        <v>4442</v>
      </c>
      <c r="I1368" s="9">
        <v>1.0</v>
      </c>
      <c r="J1368" s="9">
        <v>0.0</v>
      </c>
      <c r="K1368" s="9">
        <v>0.0</v>
      </c>
    </row>
    <row r="1369">
      <c r="A1369" s="7" t="s">
        <v>4443</v>
      </c>
      <c r="B1369" s="13" t="s">
        <v>1362</v>
      </c>
      <c r="C1369" s="14" t="s">
        <v>144</v>
      </c>
      <c r="D1369" s="14" t="s">
        <v>35</v>
      </c>
      <c r="E1369" s="14" t="s">
        <v>4444</v>
      </c>
      <c r="F1369" s="9" t="s">
        <v>147</v>
      </c>
      <c r="G1369" s="9" t="b">
        <v>0</v>
      </c>
      <c r="H1369" s="9" t="s">
        <v>4445</v>
      </c>
      <c r="I1369" s="9">
        <v>1.0</v>
      </c>
      <c r="J1369" s="9">
        <v>0.0</v>
      </c>
      <c r="K1369" s="9">
        <v>1.0</v>
      </c>
    </row>
    <row r="1370">
      <c r="A1370" s="7" t="s">
        <v>4446</v>
      </c>
      <c r="B1370" s="13" t="s">
        <v>1362</v>
      </c>
      <c r="C1370" s="14" t="s">
        <v>34</v>
      </c>
      <c r="D1370" s="14" t="s">
        <v>35</v>
      </c>
      <c r="E1370" s="14" t="s">
        <v>4447</v>
      </c>
      <c r="F1370" s="9" t="s">
        <v>37</v>
      </c>
      <c r="G1370" s="9" t="b">
        <v>0</v>
      </c>
      <c r="H1370" s="9" t="s">
        <v>4448</v>
      </c>
      <c r="I1370" s="9">
        <v>1.0</v>
      </c>
      <c r="J1370" s="9">
        <v>0.0</v>
      </c>
      <c r="K1370" s="9">
        <v>1.0</v>
      </c>
    </row>
    <row r="1371">
      <c r="A1371" s="7" t="s">
        <v>4449</v>
      </c>
      <c r="B1371" s="13" t="s">
        <v>1805</v>
      </c>
      <c r="C1371" s="14" t="s">
        <v>34</v>
      </c>
      <c r="D1371" s="14" t="s">
        <v>46</v>
      </c>
      <c r="E1371" s="14" t="s">
        <v>4450</v>
      </c>
      <c r="F1371" s="9" t="s">
        <v>37</v>
      </c>
      <c r="G1371" s="9" t="b">
        <v>0</v>
      </c>
      <c r="H1371" s="9" t="s">
        <v>188</v>
      </c>
      <c r="I1371" s="9">
        <v>1.0</v>
      </c>
      <c r="J1371" s="9">
        <v>0.0</v>
      </c>
      <c r="K1371" s="9">
        <v>1.0</v>
      </c>
    </row>
    <row r="1372">
      <c r="A1372" s="7" t="s">
        <v>4451</v>
      </c>
      <c r="B1372" s="13" t="s">
        <v>2225</v>
      </c>
      <c r="C1372" s="14" t="s">
        <v>34</v>
      </c>
      <c r="D1372" s="14" t="s">
        <v>46</v>
      </c>
      <c r="E1372" s="14" t="s">
        <v>4452</v>
      </c>
      <c r="F1372" s="9" t="s">
        <v>37</v>
      </c>
      <c r="G1372" s="9" t="b">
        <v>0</v>
      </c>
      <c r="H1372" s="9" t="s">
        <v>2229</v>
      </c>
      <c r="I1372" s="9">
        <v>1.0</v>
      </c>
      <c r="J1372" s="9">
        <v>0.0</v>
      </c>
      <c r="K1372" s="9">
        <v>0.0</v>
      </c>
    </row>
    <row r="1373">
      <c r="A1373" s="7" t="s">
        <v>4453</v>
      </c>
      <c r="B1373" s="13" t="s">
        <v>2230</v>
      </c>
      <c r="C1373" s="14" t="s">
        <v>521</v>
      </c>
      <c r="D1373" s="14" t="s">
        <v>46</v>
      </c>
      <c r="E1373" s="14" t="s">
        <v>4454</v>
      </c>
      <c r="F1373" s="9" t="s">
        <v>523</v>
      </c>
      <c r="G1373" s="9" t="b">
        <v>0</v>
      </c>
      <c r="H1373" s="9" t="s">
        <v>1018</v>
      </c>
      <c r="I1373" s="9">
        <v>1.0</v>
      </c>
      <c r="J1373" s="9">
        <v>0.0</v>
      </c>
      <c r="K1373" s="9">
        <v>1.0</v>
      </c>
    </row>
    <row r="1374">
      <c r="A1374" s="7" t="s">
        <v>4455</v>
      </c>
      <c r="B1374" s="13" t="s">
        <v>2232</v>
      </c>
      <c r="C1374" s="14" t="s">
        <v>521</v>
      </c>
      <c r="D1374" s="14" t="s">
        <v>953</v>
      </c>
      <c r="E1374" s="14" t="s">
        <v>4456</v>
      </c>
      <c r="F1374" s="9" t="s">
        <v>523</v>
      </c>
      <c r="G1374" s="9" t="b">
        <v>0</v>
      </c>
      <c r="I1374" s="9">
        <v>1.0</v>
      </c>
      <c r="J1374" s="9">
        <v>0.0</v>
      </c>
      <c r="K1374" s="9">
        <v>1.0</v>
      </c>
    </row>
    <row r="1375">
      <c r="A1375" s="7" t="s">
        <v>4457</v>
      </c>
      <c r="B1375" s="13" t="s">
        <v>2237</v>
      </c>
      <c r="C1375" s="14" t="s">
        <v>144</v>
      </c>
      <c r="D1375" s="14" t="s">
        <v>46</v>
      </c>
      <c r="E1375" s="14" t="s">
        <v>4458</v>
      </c>
      <c r="F1375" s="9" t="s">
        <v>147</v>
      </c>
      <c r="G1375" s="9" t="b">
        <v>0</v>
      </c>
      <c r="I1375" s="9">
        <v>1.0</v>
      </c>
      <c r="J1375" s="9">
        <v>0.0</v>
      </c>
      <c r="K1375" s="9">
        <v>0.0</v>
      </c>
    </row>
    <row r="1376">
      <c r="A1376" s="7" t="s">
        <v>4459</v>
      </c>
      <c r="B1376" s="13" t="s">
        <v>2240</v>
      </c>
      <c r="C1376" s="14" t="s">
        <v>144</v>
      </c>
      <c r="D1376" s="14" t="s">
        <v>46</v>
      </c>
      <c r="E1376" s="14" t="s">
        <v>4460</v>
      </c>
      <c r="F1376" s="9" t="s">
        <v>147</v>
      </c>
      <c r="G1376" s="9" t="b">
        <v>0</v>
      </c>
      <c r="H1376" s="9" t="s">
        <v>720</v>
      </c>
      <c r="I1376" s="9">
        <v>1.0</v>
      </c>
      <c r="J1376" s="9">
        <v>0.0</v>
      </c>
      <c r="K1376" s="9">
        <v>0.0</v>
      </c>
    </row>
    <row r="1377">
      <c r="A1377" s="7" t="s">
        <v>4461</v>
      </c>
      <c r="B1377" s="13" t="s">
        <v>2240</v>
      </c>
      <c r="C1377" s="14" t="s">
        <v>169</v>
      </c>
      <c r="D1377" s="14" t="s">
        <v>46</v>
      </c>
      <c r="E1377" s="14" t="s">
        <v>4462</v>
      </c>
      <c r="F1377" s="9" t="s">
        <v>94</v>
      </c>
      <c r="G1377" s="9" t="b">
        <v>0</v>
      </c>
      <c r="I1377" s="9">
        <v>1.0</v>
      </c>
      <c r="J1377" s="9">
        <v>0.0</v>
      </c>
      <c r="K1377" s="9">
        <v>2.0</v>
      </c>
    </row>
    <row r="1378">
      <c r="A1378" s="7" t="s">
        <v>4463</v>
      </c>
      <c r="B1378" s="13" t="s">
        <v>570</v>
      </c>
      <c r="C1378" s="14" t="s">
        <v>144</v>
      </c>
      <c r="D1378" s="14" t="s">
        <v>46</v>
      </c>
      <c r="E1378" s="14" t="s">
        <v>4464</v>
      </c>
      <c r="F1378" s="9" t="s">
        <v>147</v>
      </c>
      <c r="G1378" s="9" t="b">
        <v>0</v>
      </c>
      <c r="I1378" s="9">
        <v>1.0</v>
      </c>
      <c r="J1378" s="9">
        <v>0.0</v>
      </c>
      <c r="K1378" s="9">
        <v>1.0</v>
      </c>
    </row>
    <row r="1379">
      <c r="A1379" s="7" t="s">
        <v>4465</v>
      </c>
      <c r="B1379" s="13" t="s">
        <v>2245</v>
      </c>
      <c r="C1379" s="14" t="s">
        <v>144</v>
      </c>
      <c r="D1379" s="14" t="s">
        <v>46</v>
      </c>
      <c r="E1379" s="14" t="s">
        <v>4466</v>
      </c>
      <c r="F1379" s="9" t="s">
        <v>147</v>
      </c>
      <c r="G1379" s="9" t="b">
        <v>0</v>
      </c>
      <c r="I1379" s="9">
        <v>1.0</v>
      </c>
      <c r="J1379" s="9">
        <v>0.0</v>
      </c>
      <c r="K1379" s="9">
        <v>2.0</v>
      </c>
    </row>
    <row r="1380">
      <c r="A1380" s="7" t="s">
        <v>4467</v>
      </c>
      <c r="B1380" s="13" t="s">
        <v>2248</v>
      </c>
      <c r="C1380" s="14" t="s">
        <v>144</v>
      </c>
      <c r="D1380" s="14" t="s">
        <v>46</v>
      </c>
      <c r="E1380" s="14" t="s">
        <v>4468</v>
      </c>
      <c r="F1380" s="9" t="s">
        <v>147</v>
      </c>
      <c r="G1380" s="9" t="b">
        <v>0</v>
      </c>
      <c r="H1380" s="9" t="s">
        <v>720</v>
      </c>
      <c r="I1380" s="9">
        <v>1.0</v>
      </c>
      <c r="J1380" s="9">
        <v>0.0</v>
      </c>
      <c r="K1380" s="9">
        <v>0.0</v>
      </c>
    </row>
    <row r="1381">
      <c r="A1381" s="7" t="s">
        <v>4469</v>
      </c>
      <c r="B1381" s="13" t="s">
        <v>1454</v>
      </c>
      <c r="C1381" s="14" t="s">
        <v>431</v>
      </c>
      <c r="D1381" s="14" t="s">
        <v>46</v>
      </c>
      <c r="E1381" s="14" t="s">
        <v>4470</v>
      </c>
      <c r="F1381" s="9" t="s">
        <v>433</v>
      </c>
      <c r="G1381" s="9" t="b">
        <v>0</v>
      </c>
      <c r="I1381" s="9">
        <v>1.0</v>
      </c>
      <c r="J1381" s="9">
        <v>0.0</v>
      </c>
      <c r="K1381" s="9">
        <v>1.0</v>
      </c>
    </row>
    <row r="1382">
      <c r="A1382" s="7" t="s">
        <v>4471</v>
      </c>
      <c r="B1382" s="13" t="s">
        <v>1454</v>
      </c>
      <c r="C1382" s="14" t="s">
        <v>1203</v>
      </c>
      <c r="D1382" s="14" t="s">
        <v>46</v>
      </c>
      <c r="E1382" s="14" t="s">
        <v>4472</v>
      </c>
      <c r="F1382" s="9" t="s">
        <v>1205</v>
      </c>
      <c r="G1382" s="9" t="b">
        <v>0</v>
      </c>
      <c r="I1382" s="9">
        <v>1.0</v>
      </c>
      <c r="J1382" s="9">
        <v>0.0</v>
      </c>
      <c r="K1382" s="9">
        <v>0.0</v>
      </c>
    </row>
    <row r="1383">
      <c r="A1383" s="7" t="s">
        <v>4473</v>
      </c>
      <c r="B1383" s="13" t="s">
        <v>2251</v>
      </c>
      <c r="C1383" s="14" t="s">
        <v>309</v>
      </c>
      <c r="D1383" s="14" t="s">
        <v>46</v>
      </c>
      <c r="E1383" s="14" t="s">
        <v>4474</v>
      </c>
      <c r="F1383" s="9" t="s">
        <v>311</v>
      </c>
      <c r="G1383" s="9" t="b">
        <v>0</v>
      </c>
      <c r="H1383" s="9" t="s">
        <v>720</v>
      </c>
      <c r="I1383" s="9">
        <v>1.0</v>
      </c>
      <c r="J1383" s="9">
        <v>0.0</v>
      </c>
      <c r="K1383" s="9">
        <v>0.0</v>
      </c>
    </row>
    <row r="1384">
      <c r="A1384" s="7" t="s">
        <v>4475</v>
      </c>
      <c r="B1384" s="13" t="s">
        <v>2254</v>
      </c>
      <c r="C1384" s="14" t="s">
        <v>34</v>
      </c>
      <c r="D1384" s="14" t="s">
        <v>46</v>
      </c>
      <c r="E1384" s="14" t="s">
        <v>4476</v>
      </c>
      <c r="F1384" s="9" t="s">
        <v>37</v>
      </c>
      <c r="G1384" s="9" t="b">
        <v>0</v>
      </c>
      <c r="H1384" s="9" t="s">
        <v>2255</v>
      </c>
      <c r="I1384" s="9">
        <v>1.0</v>
      </c>
      <c r="J1384" s="9">
        <v>0.0</v>
      </c>
      <c r="K1384" s="9">
        <v>1.0</v>
      </c>
    </row>
    <row r="1385">
      <c r="A1385" s="7" t="s">
        <v>4477</v>
      </c>
      <c r="B1385" s="14" t="s">
        <v>2256</v>
      </c>
      <c r="C1385" s="14" t="s">
        <v>521</v>
      </c>
      <c r="D1385" s="14" t="s">
        <v>46</v>
      </c>
      <c r="E1385" s="14" t="s">
        <v>4478</v>
      </c>
      <c r="F1385" s="9" t="s">
        <v>523</v>
      </c>
      <c r="G1385" s="9" t="b">
        <v>0</v>
      </c>
      <c r="H1385" s="9" t="s">
        <v>188</v>
      </c>
      <c r="I1385" s="9">
        <v>1.0</v>
      </c>
      <c r="J1385" s="9">
        <v>0.0</v>
      </c>
      <c r="K1385" s="9">
        <v>2.0</v>
      </c>
    </row>
    <row r="1386">
      <c r="A1386" s="7" t="s">
        <v>4479</v>
      </c>
      <c r="B1386" s="13" t="s">
        <v>2258</v>
      </c>
      <c r="C1386" s="14" t="s">
        <v>521</v>
      </c>
      <c r="D1386" s="14" t="s">
        <v>46</v>
      </c>
      <c r="E1386" s="14" t="s">
        <v>4480</v>
      </c>
      <c r="F1386" s="9" t="s">
        <v>523</v>
      </c>
      <c r="G1386" s="9" t="b">
        <v>0</v>
      </c>
      <c r="I1386" s="9">
        <v>1.0</v>
      </c>
      <c r="J1386" s="9">
        <v>0.0</v>
      </c>
      <c r="K1386" s="9">
        <v>0.0</v>
      </c>
    </row>
    <row r="1387">
      <c r="A1387" s="7" t="s">
        <v>4481</v>
      </c>
      <c r="B1387" s="13" t="s">
        <v>2261</v>
      </c>
      <c r="C1387" s="14" t="s">
        <v>144</v>
      </c>
      <c r="D1387" s="14" t="s">
        <v>46</v>
      </c>
      <c r="E1387" s="14" t="s">
        <v>4482</v>
      </c>
      <c r="F1387" s="9" t="s">
        <v>147</v>
      </c>
      <c r="G1387" s="9" t="b">
        <v>0</v>
      </c>
      <c r="H1387" s="9" t="s">
        <v>188</v>
      </c>
      <c r="I1387" s="9">
        <v>1.0</v>
      </c>
      <c r="J1387" s="9">
        <v>0.0</v>
      </c>
      <c r="K1387" s="9">
        <v>1.0</v>
      </c>
    </row>
    <row r="1388">
      <c r="A1388" s="7" t="s">
        <v>4483</v>
      </c>
      <c r="B1388" s="13" t="s">
        <v>2263</v>
      </c>
      <c r="C1388" s="14" t="s">
        <v>169</v>
      </c>
      <c r="D1388" s="14" t="s">
        <v>46</v>
      </c>
      <c r="E1388" s="14" t="s">
        <v>4484</v>
      </c>
      <c r="F1388" s="9" t="s">
        <v>94</v>
      </c>
      <c r="G1388" s="9" t="b">
        <v>0</v>
      </c>
      <c r="I1388" s="9">
        <v>1.0</v>
      </c>
      <c r="J1388" s="9">
        <v>0.0</v>
      </c>
      <c r="K1388" s="9">
        <v>1.0</v>
      </c>
    </row>
    <row r="1389">
      <c r="A1389" s="7" t="s">
        <v>4485</v>
      </c>
      <c r="B1389" s="13" t="s">
        <v>2267</v>
      </c>
      <c r="C1389" s="14" t="s">
        <v>521</v>
      </c>
      <c r="D1389" s="14" t="s">
        <v>46</v>
      </c>
      <c r="E1389" s="14" t="s">
        <v>4486</v>
      </c>
      <c r="F1389" s="9" t="s">
        <v>523</v>
      </c>
      <c r="G1389" s="9" t="b">
        <v>0</v>
      </c>
      <c r="H1389" s="9" t="s">
        <v>188</v>
      </c>
      <c r="I1389" s="9">
        <v>1.0</v>
      </c>
      <c r="J1389" s="9">
        <v>0.0</v>
      </c>
      <c r="K1389" s="9">
        <v>0.0</v>
      </c>
    </row>
    <row r="1390">
      <c r="A1390" s="7" t="s">
        <v>4487</v>
      </c>
      <c r="B1390" s="13" t="s">
        <v>2269</v>
      </c>
      <c r="C1390" s="14" t="s">
        <v>144</v>
      </c>
      <c r="D1390" s="14" t="s">
        <v>35</v>
      </c>
      <c r="E1390" s="14" t="s">
        <v>4488</v>
      </c>
      <c r="F1390" s="9" t="s">
        <v>147</v>
      </c>
      <c r="G1390" s="9" t="b">
        <v>0</v>
      </c>
      <c r="H1390" s="9" t="s">
        <v>2271</v>
      </c>
      <c r="I1390" s="9">
        <v>1.0</v>
      </c>
      <c r="J1390" s="9">
        <v>0.0</v>
      </c>
      <c r="K1390" s="9">
        <v>1.0</v>
      </c>
    </row>
    <row r="1391">
      <c r="A1391" s="7" t="s">
        <v>4489</v>
      </c>
      <c r="B1391" s="13" t="s">
        <v>2273</v>
      </c>
      <c r="C1391" s="14" t="s">
        <v>1203</v>
      </c>
      <c r="D1391" s="14" t="s">
        <v>46</v>
      </c>
      <c r="E1391" s="14" t="s">
        <v>4490</v>
      </c>
      <c r="F1391" s="9" t="s">
        <v>1205</v>
      </c>
      <c r="G1391" s="9" t="b">
        <v>0</v>
      </c>
      <c r="H1391" s="9" t="s">
        <v>382</v>
      </c>
      <c r="I1391" s="9">
        <v>1.0</v>
      </c>
      <c r="J1391" s="9">
        <v>0.0</v>
      </c>
      <c r="K1391" s="9">
        <v>0.0</v>
      </c>
    </row>
    <row r="1392">
      <c r="A1392" s="7" t="s">
        <v>4491</v>
      </c>
      <c r="B1392" s="13" t="s">
        <v>15</v>
      </c>
      <c r="C1392" s="14" t="s">
        <v>34</v>
      </c>
      <c r="D1392" s="14" t="s">
        <v>46</v>
      </c>
      <c r="E1392" s="14" t="s">
        <v>4492</v>
      </c>
      <c r="F1392" s="9" t="s">
        <v>37</v>
      </c>
      <c r="G1392" s="9" t="b">
        <v>0</v>
      </c>
      <c r="H1392" s="9" t="s">
        <v>4493</v>
      </c>
      <c r="I1392" s="9">
        <v>1.0</v>
      </c>
      <c r="J1392" s="9">
        <v>0.0</v>
      </c>
      <c r="K1392" s="9">
        <v>0.0</v>
      </c>
    </row>
    <row r="1393">
      <c r="A1393" s="7" t="s">
        <v>4494</v>
      </c>
      <c r="B1393" s="13" t="s">
        <v>15</v>
      </c>
      <c r="C1393" s="14" t="s">
        <v>23</v>
      </c>
      <c r="D1393" s="14" t="s">
        <v>46</v>
      </c>
      <c r="E1393" s="14" t="s">
        <v>4495</v>
      </c>
      <c r="F1393" s="9" t="s">
        <v>27</v>
      </c>
      <c r="G1393" s="9" t="b">
        <v>0</v>
      </c>
      <c r="I1393" s="9">
        <v>1.0</v>
      </c>
      <c r="J1393" s="9">
        <v>0.0</v>
      </c>
      <c r="K1393" s="9">
        <v>0.0</v>
      </c>
    </row>
    <row r="1394">
      <c r="A1394" s="7" t="s">
        <v>4496</v>
      </c>
      <c r="B1394" s="13" t="s">
        <v>15</v>
      </c>
      <c r="C1394" s="14" t="s">
        <v>1203</v>
      </c>
      <c r="D1394" s="14" t="s">
        <v>46</v>
      </c>
      <c r="E1394" s="14" t="s">
        <v>4497</v>
      </c>
      <c r="F1394" s="9" t="s">
        <v>1205</v>
      </c>
      <c r="G1394" s="9" t="b">
        <v>0</v>
      </c>
      <c r="H1394" s="9" t="s">
        <v>4498</v>
      </c>
      <c r="I1394" s="9">
        <v>1.0</v>
      </c>
      <c r="J1394" s="9">
        <v>0.0</v>
      </c>
      <c r="K1394" s="9">
        <v>1.0</v>
      </c>
    </row>
    <row r="1395">
      <c r="A1395" s="7" t="s">
        <v>4499</v>
      </c>
      <c r="B1395" s="13" t="s">
        <v>15</v>
      </c>
      <c r="C1395" s="14" t="s">
        <v>23</v>
      </c>
      <c r="D1395" s="14" t="s">
        <v>46</v>
      </c>
      <c r="E1395" s="14" t="s">
        <v>4500</v>
      </c>
      <c r="F1395" s="9" t="s">
        <v>27</v>
      </c>
      <c r="G1395" s="9" t="b">
        <v>0</v>
      </c>
      <c r="H1395" s="9" t="s">
        <v>4501</v>
      </c>
      <c r="I1395" s="9">
        <v>1.0</v>
      </c>
      <c r="J1395" s="9">
        <v>0.0</v>
      </c>
      <c r="K1395" s="9">
        <v>0.0</v>
      </c>
    </row>
    <row r="1396">
      <c r="A1396" s="7" t="s">
        <v>4502</v>
      </c>
      <c r="B1396" s="13" t="s">
        <v>15</v>
      </c>
      <c r="C1396" s="14" t="s">
        <v>23</v>
      </c>
      <c r="D1396" s="14" t="s">
        <v>46</v>
      </c>
      <c r="E1396" s="14" t="s">
        <v>4503</v>
      </c>
      <c r="F1396" s="9" t="s">
        <v>27</v>
      </c>
      <c r="G1396" s="9" t="b">
        <v>0</v>
      </c>
      <c r="H1396" s="9" t="s">
        <v>1123</v>
      </c>
      <c r="I1396" s="9">
        <v>1.0</v>
      </c>
      <c r="J1396" s="9">
        <v>0.0</v>
      </c>
      <c r="K1396" s="9">
        <v>0.0</v>
      </c>
    </row>
    <row r="1397">
      <c r="A1397" s="7" t="s">
        <v>4504</v>
      </c>
      <c r="B1397" s="13" t="s">
        <v>15</v>
      </c>
      <c r="C1397" s="14" t="s">
        <v>23</v>
      </c>
      <c r="D1397" s="14" t="s">
        <v>46</v>
      </c>
      <c r="E1397" s="14" t="s">
        <v>4505</v>
      </c>
      <c r="F1397" s="9" t="s">
        <v>27</v>
      </c>
      <c r="G1397" s="9" t="b">
        <v>0</v>
      </c>
      <c r="H1397" s="9" t="s">
        <v>2155</v>
      </c>
      <c r="I1397" s="9">
        <v>1.0</v>
      </c>
      <c r="J1397" s="9">
        <v>0.0</v>
      </c>
      <c r="K1397" s="9">
        <v>0.0</v>
      </c>
    </row>
    <row r="1398">
      <c r="A1398" s="7" t="s">
        <v>4506</v>
      </c>
      <c r="B1398" s="13" t="s">
        <v>15</v>
      </c>
      <c r="C1398" s="14" t="s">
        <v>23</v>
      </c>
      <c r="D1398" s="14" t="s">
        <v>46</v>
      </c>
      <c r="E1398" s="14" t="s">
        <v>4507</v>
      </c>
      <c r="F1398" s="9" t="s">
        <v>27</v>
      </c>
      <c r="G1398" s="9" t="b">
        <v>0</v>
      </c>
      <c r="H1398" s="9" t="s">
        <v>4508</v>
      </c>
      <c r="I1398" s="9">
        <v>1.0</v>
      </c>
      <c r="J1398" s="9">
        <v>0.0</v>
      </c>
      <c r="K1398" s="9">
        <v>1.0</v>
      </c>
    </row>
    <row r="1399">
      <c r="A1399" s="7" t="s">
        <v>4509</v>
      </c>
      <c r="B1399" s="13" t="s">
        <v>15</v>
      </c>
      <c r="C1399" s="14" t="s">
        <v>23</v>
      </c>
      <c r="D1399" s="14" t="s">
        <v>46</v>
      </c>
      <c r="E1399" s="14" t="s">
        <v>4510</v>
      </c>
      <c r="F1399" s="9" t="s">
        <v>27</v>
      </c>
      <c r="G1399" s="9" t="b">
        <v>0</v>
      </c>
      <c r="H1399" s="9" t="s">
        <v>4511</v>
      </c>
      <c r="I1399" s="9">
        <v>1.0</v>
      </c>
      <c r="J1399" s="9">
        <v>0.0</v>
      </c>
      <c r="K1399" s="9">
        <v>0.0</v>
      </c>
    </row>
    <row r="1400">
      <c r="A1400" s="7" t="s">
        <v>4512</v>
      </c>
      <c r="B1400" s="13" t="s">
        <v>15</v>
      </c>
      <c r="C1400" s="14" t="s">
        <v>23</v>
      </c>
      <c r="D1400" s="14" t="s">
        <v>46</v>
      </c>
      <c r="E1400" s="14" t="s">
        <v>4513</v>
      </c>
      <c r="F1400" s="9" t="s">
        <v>27</v>
      </c>
      <c r="G1400" s="9" t="b">
        <v>0</v>
      </c>
      <c r="I1400" s="9">
        <v>1.0</v>
      </c>
      <c r="J1400" s="9">
        <v>0.0</v>
      </c>
      <c r="K1400" s="9">
        <v>1.0</v>
      </c>
    </row>
    <row r="1401">
      <c r="A1401" s="7" t="s">
        <v>4514</v>
      </c>
      <c r="B1401" s="13" t="s">
        <v>15</v>
      </c>
      <c r="C1401" s="14" t="s">
        <v>23</v>
      </c>
      <c r="D1401" s="14" t="s">
        <v>46</v>
      </c>
      <c r="E1401" s="14" t="s">
        <v>4515</v>
      </c>
      <c r="F1401" s="9" t="s">
        <v>27</v>
      </c>
      <c r="G1401" s="9" t="b">
        <v>0</v>
      </c>
      <c r="H1401" s="9" t="s">
        <v>4516</v>
      </c>
      <c r="I1401" s="9">
        <v>1.0</v>
      </c>
      <c r="J1401" s="9">
        <v>0.0</v>
      </c>
      <c r="K1401" s="9">
        <v>0.0</v>
      </c>
    </row>
    <row r="1402">
      <c r="A1402" s="7" t="s">
        <v>4517</v>
      </c>
      <c r="B1402" s="13" t="s">
        <v>15</v>
      </c>
      <c r="C1402" s="14" t="s">
        <v>23</v>
      </c>
      <c r="D1402" s="14" t="s">
        <v>46</v>
      </c>
      <c r="E1402" s="14" t="s">
        <v>4518</v>
      </c>
      <c r="F1402" s="9" t="s">
        <v>27</v>
      </c>
      <c r="G1402" s="9" t="b">
        <v>0</v>
      </c>
      <c r="H1402" s="9" t="s">
        <v>188</v>
      </c>
      <c r="I1402" s="9">
        <v>1.0</v>
      </c>
      <c r="J1402" s="9">
        <v>0.0</v>
      </c>
      <c r="K1402" s="9">
        <v>0.0</v>
      </c>
    </row>
    <row r="1403">
      <c r="A1403" s="7" t="s">
        <v>4519</v>
      </c>
      <c r="B1403" s="13" t="s">
        <v>15</v>
      </c>
      <c r="C1403" s="14" t="s">
        <v>23</v>
      </c>
      <c r="D1403" s="14" t="s">
        <v>46</v>
      </c>
      <c r="E1403" s="14" t="s">
        <v>4520</v>
      </c>
      <c r="F1403" s="9" t="s">
        <v>27</v>
      </c>
      <c r="G1403" s="9" t="b">
        <v>0</v>
      </c>
      <c r="H1403" s="9" t="s">
        <v>4521</v>
      </c>
      <c r="I1403" s="9">
        <v>1.0</v>
      </c>
      <c r="J1403" s="9">
        <v>0.0</v>
      </c>
      <c r="K1403" s="9">
        <v>0.0</v>
      </c>
    </row>
    <row r="1404">
      <c r="A1404" s="7" t="s">
        <v>4522</v>
      </c>
      <c r="B1404" s="13" t="s">
        <v>116</v>
      </c>
      <c r="C1404" s="14" t="s">
        <v>144</v>
      </c>
      <c r="D1404" s="14" t="s">
        <v>46</v>
      </c>
      <c r="E1404" s="14" t="s">
        <v>4523</v>
      </c>
      <c r="F1404" s="9" t="s">
        <v>147</v>
      </c>
      <c r="G1404" s="9" t="b">
        <v>0</v>
      </c>
      <c r="I1404" s="9">
        <v>1.0</v>
      </c>
      <c r="J1404" s="9">
        <v>0.0</v>
      </c>
      <c r="K1404" s="9">
        <v>2.0</v>
      </c>
    </row>
    <row r="1405">
      <c r="A1405" s="7" t="s">
        <v>4524</v>
      </c>
      <c r="B1405" s="13" t="s">
        <v>2275</v>
      </c>
      <c r="C1405" s="14" t="s">
        <v>309</v>
      </c>
      <c r="D1405" s="14" t="s">
        <v>46</v>
      </c>
      <c r="E1405" s="14" t="s">
        <v>4525</v>
      </c>
      <c r="F1405" s="9" t="s">
        <v>311</v>
      </c>
      <c r="G1405" s="9" t="b">
        <v>0</v>
      </c>
      <c r="I1405" s="9">
        <v>1.0</v>
      </c>
      <c r="J1405" s="9">
        <v>0.0</v>
      </c>
      <c r="K1405" s="9">
        <v>1.0</v>
      </c>
    </row>
    <row r="1406">
      <c r="A1406" s="7" t="s">
        <v>4526</v>
      </c>
      <c r="B1406" s="13" t="s">
        <v>1429</v>
      </c>
      <c r="C1406" s="14" t="s">
        <v>1203</v>
      </c>
      <c r="D1406" s="14" t="s">
        <v>46</v>
      </c>
      <c r="E1406" s="14" t="s">
        <v>4527</v>
      </c>
      <c r="F1406" s="9" t="s">
        <v>1205</v>
      </c>
      <c r="G1406" s="9" t="b">
        <v>0</v>
      </c>
      <c r="H1406" s="9" t="s">
        <v>4528</v>
      </c>
      <c r="I1406" s="9">
        <v>1.0</v>
      </c>
      <c r="J1406" s="9">
        <v>0.0</v>
      </c>
      <c r="K1406" s="9">
        <v>1.0</v>
      </c>
    </row>
    <row r="1407">
      <c r="A1407" s="7" t="s">
        <v>4529</v>
      </c>
      <c r="B1407" s="13" t="s">
        <v>1429</v>
      </c>
      <c r="C1407" s="14" t="s">
        <v>309</v>
      </c>
      <c r="D1407" s="14" t="s">
        <v>46</v>
      </c>
      <c r="E1407" s="14" t="s">
        <v>4530</v>
      </c>
      <c r="F1407" s="9" t="s">
        <v>311</v>
      </c>
      <c r="G1407" s="9" t="b">
        <v>0</v>
      </c>
      <c r="H1407" s="9" t="s">
        <v>1430</v>
      </c>
      <c r="I1407" s="9">
        <v>1.0</v>
      </c>
      <c r="J1407" s="9">
        <v>0.0</v>
      </c>
      <c r="K1407" s="9">
        <v>1.0</v>
      </c>
    </row>
    <row r="1408">
      <c r="A1408" s="7" t="s">
        <v>4531</v>
      </c>
      <c r="B1408" s="13" t="s">
        <v>1429</v>
      </c>
      <c r="C1408" s="14" t="s">
        <v>1203</v>
      </c>
      <c r="D1408" s="14" t="s">
        <v>46</v>
      </c>
      <c r="E1408" s="14" t="s">
        <v>4532</v>
      </c>
      <c r="F1408" s="9" t="s">
        <v>1205</v>
      </c>
      <c r="G1408" s="9" t="b">
        <v>0</v>
      </c>
      <c r="I1408" s="9">
        <v>1.0</v>
      </c>
      <c r="J1408" s="9">
        <v>0.0</v>
      </c>
      <c r="K1408" s="9">
        <v>0.0</v>
      </c>
    </row>
    <row r="1409">
      <c r="A1409" s="7" t="s">
        <v>4533</v>
      </c>
      <c r="B1409" s="13" t="s">
        <v>2277</v>
      </c>
      <c r="C1409" s="14" t="s">
        <v>169</v>
      </c>
      <c r="D1409" s="14" t="s">
        <v>46</v>
      </c>
      <c r="E1409" s="14" t="s">
        <v>4534</v>
      </c>
      <c r="F1409" s="9" t="s">
        <v>94</v>
      </c>
      <c r="G1409" s="9" t="b">
        <v>0</v>
      </c>
      <c r="I1409" s="9">
        <v>1.0</v>
      </c>
      <c r="J1409" s="9">
        <v>0.0</v>
      </c>
      <c r="K1409" s="9">
        <v>0.0</v>
      </c>
    </row>
    <row r="1410">
      <c r="A1410" s="7" t="s">
        <v>4535</v>
      </c>
      <c r="B1410" s="13" t="s">
        <v>2280</v>
      </c>
      <c r="C1410" s="14" t="s">
        <v>1203</v>
      </c>
      <c r="D1410" s="14" t="s">
        <v>46</v>
      </c>
      <c r="E1410" s="14" t="s">
        <v>4536</v>
      </c>
      <c r="F1410" s="9" t="s">
        <v>1205</v>
      </c>
      <c r="G1410" s="9" t="b">
        <v>0</v>
      </c>
      <c r="H1410" s="9" t="s">
        <v>1285</v>
      </c>
      <c r="I1410" s="9">
        <v>1.0</v>
      </c>
      <c r="J1410" s="9">
        <v>0.0</v>
      </c>
      <c r="K1410" s="9">
        <v>1.0</v>
      </c>
    </row>
    <row r="1411">
      <c r="A1411" s="7" t="s">
        <v>4537</v>
      </c>
      <c r="B1411" s="13" t="s">
        <v>2283</v>
      </c>
      <c r="C1411" s="14" t="s">
        <v>34</v>
      </c>
      <c r="D1411" s="14" t="s">
        <v>46</v>
      </c>
      <c r="E1411" s="14" t="s">
        <v>4538</v>
      </c>
      <c r="F1411" s="9" t="s">
        <v>37</v>
      </c>
      <c r="G1411" s="9" t="b">
        <v>0</v>
      </c>
      <c r="H1411" s="9" t="s">
        <v>2290</v>
      </c>
      <c r="I1411" s="9">
        <v>1.0</v>
      </c>
      <c r="J1411" s="9">
        <v>0.0</v>
      </c>
      <c r="K1411" s="9">
        <v>1.0</v>
      </c>
    </row>
    <row r="1412">
      <c r="A1412" s="7" t="s">
        <v>4539</v>
      </c>
      <c r="B1412" s="13" t="s">
        <v>2285</v>
      </c>
      <c r="C1412" s="14" t="s">
        <v>169</v>
      </c>
      <c r="D1412" s="14" t="s">
        <v>169</v>
      </c>
      <c r="E1412" s="15"/>
      <c r="F1412" s="9" t="s">
        <v>94</v>
      </c>
      <c r="H1412" s="9" t="s">
        <v>172</v>
      </c>
      <c r="I1412" s="9">
        <v>1.0</v>
      </c>
      <c r="J1412" s="9">
        <v>0.0</v>
      </c>
      <c r="K1412" s="9">
        <v>0.0</v>
      </c>
    </row>
    <row r="1413">
      <c r="A1413" s="7" t="s">
        <v>4540</v>
      </c>
      <c r="B1413" s="13" t="s">
        <v>380</v>
      </c>
      <c r="C1413" s="14" t="s">
        <v>169</v>
      </c>
      <c r="D1413" s="14" t="s">
        <v>62</v>
      </c>
      <c r="E1413" s="14" t="s">
        <v>4541</v>
      </c>
      <c r="F1413" s="9" t="s">
        <v>94</v>
      </c>
      <c r="G1413" s="9" t="b">
        <v>0</v>
      </c>
      <c r="H1413" s="9" t="s">
        <v>4542</v>
      </c>
      <c r="I1413" s="9">
        <v>1.0</v>
      </c>
      <c r="J1413" s="9">
        <v>0.0</v>
      </c>
      <c r="K1413" s="9">
        <v>0.0</v>
      </c>
    </row>
    <row r="1414">
      <c r="A1414" s="7" t="s">
        <v>4543</v>
      </c>
      <c r="B1414" s="13" t="s">
        <v>651</v>
      </c>
      <c r="C1414" s="14" t="s">
        <v>34</v>
      </c>
      <c r="D1414" s="14" t="s">
        <v>35</v>
      </c>
      <c r="E1414" s="14" t="s">
        <v>4544</v>
      </c>
      <c r="F1414" s="9" t="s">
        <v>37</v>
      </c>
      <c r="G1414" s="9" t="b">
        <v>0</v>
      </c>
      <c r="H1414" s="9" t="s">
        <v>4545</v>
      </c>
      <c r="I1414" s="9">
        <v>1.0</v>
      </c>
      <c r="J1414" s="9">
        <v>0.0</v>
      </c>
      <c r="K1414" s="9">
        <v>0.0</v>
      </c>
    </row>
    <row r="1415">
      <c r="A1415" s="7" t="s">
        <v>4546</v>
      </c>
      <c r="B1415" s="13" t="s">
        <v>651</v>
      </c>
      <c r="C1415" s="14" t="s">
        <v>34</v>
      </c>
      <c r="D1415" s="14" t="s">
        <v>35</v>
      </c>
      <c r="E1415" s="14" t="s">
        <v>4547</v>
      </c>
      <c r="F1415" s="9" t="s">
        <v>37</v>
      </c>
      <c r="G1415" s="9" t="b">
        <v>0</v>
      </c>
      <c r="H1415" s="9" t="s">
        <v>4548</v>
      </c>
      <c r="I1415" s="9">
        <v>1.0</v>
      </c>
      <c r="J1415" s="9">
        <v>0.0</v>
      </c>
      <c r="K1415" s="9">
        <v>0.0</v>
      </c>
    </row>
    <row r="1416">
      <c r="A1416" s="7" t="s">
        <v>4549</v>
      </c>
      <c r="B1416" s="13" t="s">
        <v>2289</v>
      </c>
      <c r="C1416" s="14" t="s">
        <v>34</v>
      </c>
      <c r="D1416" s="14" t="s">
        <v>46</v>
      </c>
      <c r="E1416" s="14" t="s">
        <v>4550</v>
      </c>
      <c r="F1416" s="9" t="s">
        <v>37</v>
      </c>
      <c r="G1416" s="9" t="b">
        <v>0</v>
      </c>
      <c r="H1416" s="9" t="s">
        <v>2290</v>
      </c>
      <c r="I1416" s="9">
        <v>1.0</v>
      </c>
      <c r="J1416" s="9">
        <v>0.0</v>
      </c>
      <c r="K1416" s="9">
        <v>0.0</v>
      </c>
    </row>
    <row r="1417">
      <c r="A1417" s="7" t="s">
        <v>4551</v>
      </c>
      <c r="B1417" s="13" t="s">
        <v>504</v>
      </c>
      <c r="C1417" s="14" t="s">
        <v>169</v>
      </c>
      <c r="D1417" s="14" t="s">
        <v>46</v>
      </c>
      <c r="E1417" s="14" t="s">
        <v>4552</v>
      </c>
      <c r="F1417" s="9" t="s">
        <v>94</v>
      </c>
      <c r="G1417" s="9" t="b">
        <v>0</v>
      </c>
      <c r="H1417" s="9" t="s">
        <v>4553</v>
      </c>
      <c r="I1417" s="9">
        <v>1.0</v>
      </c>
      <c r="J1417" s="9">
        <v>0.0</v>
      </c>
      <c r="K1417" s="9">
        <v>2.0</v>
      </c>
    </row>
    <row r="1418">
      <c r="A1418" s="7" t="s">
        <v>4554</v>
      </c>
      <c r="B1418" s="13" t="s">
        <v>504</v>
      </c>
      <c r="C1418" s="14" t="s">
        <v>1203</v>
      </c>
      <c r="D1418" s="14" t="s">
        <v>46</v>
      </c>
      <c r="E1418" s="14" t="s">
        <v>4555</v>
      </c>
      <c r="F1418" s="9" t="s">
        <v>1205</v>
      </c>
      <c r="G1418" s="9" t="b">
        <v>0</v>
      </c>
      <c r="H1418" s="9" t="s">
        <v>720</v>
      </c>
      <c r="I1418" s="9">
        <v>1.0</v>
      </c>
      <c r="J1418" s="9">
        <v>0.0</v>
      </c>
      <c r="K1418" s="9">
        <v>5.0</v>
      </c>
    </row>
    <row r="1419">
      <c r="A1419" s="7" t="s">
        <v>4556</v>
      </c>
      <c r="B1419" s="14" t="s">
        <v>2291</v>
      </c>
      <c r="C1419" s="14" t="s">
        <v>144</v>
      </c>
      <c r="D1419" s="14" t="s">
        <v>46</v>
      </c>
      <c r="E1419" s="14" t="s">
        <v>4557</v>
      </c>
      <c r="F1419" s="9" t="s">
        <v>147</v>
      </c>
      <c r="G1419" s="9" t="b">
        <v>0</v>
      </c>
      <c r="I1419" s="9">
        <v>1.0</v>
      </c>
      <c r="J1419" s="9">
        <v>0.0</v>
      </c>
      <c r="K1419" s="9">
        <v>0.0</v>
      </c>
    </row>
    <row r="1420">
      <c r="A1420" s="7" t="s">
        <v>4558</v>
      </c>
      <c r="B1420" s="13" t="s">
        <v>2292</v>
      </c>
      <c r="C1420" s="14" t="s">
        <v>61</v>
      </c>
      <c r="D1420" s="14" t="s">
        <v>46</v>
      </c>
      <c r="E1420" s="14" t="s">
        <v>4559</v>
      </c>
      <c r="F1420" s="9" t="s">
        <v>64</v>
      </c>
      <c r="G1420" s="9" t="b">
        <v>0</v>
      </c>
      <c r="I1420" s="9">
        <v>1.0</v>
      </c>
      <c r="J1420" s="9">
        <v>0.0</v>
      </c>
      <c r="K1420" s="9">
        <v>0.0</v>
      </c>
    </row>
    <row r="1421">
      <c r="A1421" s="7" t="s">
        <v>4560</v>
      </c>
      <c r="B1421" s="13" t="s">
        <v>2295</v>
      </c>
      <c r="C1421" s="14" t="s">
        <v>144</v>
      </c>
      <c r="D1421" s="14" t="s">
        <v>46</v>
      </c>
      <c r="E1421" s="14" t="s">
        <v>4561</v>
      </c>
      <c r="F1421" s="9" t="s">
        <v>147</v>
      </c>
      <c r="G1421" s="9" t="b">
        <v>0</v>
      </c>
      <c r="I1421" s="9">
        <v>1.0</v>
      </c>
      <c r="J1421" s="9">
        <v>0.0</v>
      </c>
      <c r="K1421" s="9">
        <v>2.0</v>
      </c>
    </row>
    <row r="1422">
      <c r="A1422" s="7" t="s">
        <v>4562</v>
      </c>
      <c r="B1422" s="13" t="s">
        <v>2296</v>
      </c>
      <c r="C1422" s="14" t="s">
        <v>309</v>
      </c>
      <c r="D1422" s="14" t="s">
        <v>46</v>
      </c>
      <c r="E1422" s="14" t="s">
        <v>4563</v>
      </c>
      <c r="F1422" s="9" t="s">
        <v>311</v>
      </c>
      <c r="G1422" s="9" t="b">
        <v>0</v>
      </c>
      <c r="H1422" s="9" t="s">
        <v>720</v>
      </c>
      <c r="I1422" s="9">
        <v>1.0</v>
      </c>
      <c r="J1422" s="9">
        <v>0.0</v>
      </c>
      <c r="K1422" s="9">
        <v>1.0</v>
      </c>
    </row>
    <row r="1423">
      <c r="A1423" s="7" t="s">
        <v>4564</v>
      </c>
      <c r="B1423" s="13" t="s">
        <v>2299</v>
      </c>
      <c r="C1423" s="14" t="s">
        <v>34</v>
      </c>
      <c r="D1423" s="14" t="s">
        <v>46</v>
      </c>
      <c r="E1423" s="14" t="s">
        <v>4565</v>
      </c>
      <c r="F1423" s="9" t="s">
        <v>37</v>
      </c>
      <c r="G1423" s="9" t="b">
        <v>0</v>
      </c>
      <c r="H1423" s="9" t="s">
        <v>1797</v>
      </c>
      <c r="I1423" s="9">
        <v>1.0</v>
      </c>
      <c r="J1423" s="9">
        <v>0.0</v>
      </c>
      <c r="K1423" s="9">
        <v>2.0</v>
      </c>
    </row>
    <row r="1424">
      <c r="A1424" s="7" t="s">
        <v>4566</v>
      </c>
      <c r="B1424" s="13" t="s">
        <v>326</v>
      </c>
      <c r="C1424" s="14" t="s">
        <v>34</v>
      </c>
      <c r="D1424" s="14" t="s">
        <v>62</v>
      </c>
      <c r="E1424" s="14" t="s">
        <v>4567</v>
      </c>
      <c r="F1424" s="9" t="s">
        <v>37</v>
      </c>
      <c r="G1424" s="9" t="b">
        <v>0</v>
      </c>
      <c r="H1424" s="9" t="s">
        <v>4568</v>
      </c>
      <c r="I1424" s="9">
        <v>1.0</v>
      </c>
      <c r="J1424" s="9">
        <v>0.0</v>
      </c>
      <c r="K1424" s="9">
        <v>1.0</v>
      </c>
    </row>
    <row r="1425">
      <c r="A1425" s="7" t="s">
        <v>4569</v>
      </c>
      <c r="B1425" s="13" t="s">
        <v>2302</v>
      </c>
      <c r="C1425" s="14" t="s">
        <v>23</v>
      </c>
      <c r="D1425" s="14" t="s">
        <v>62</v>
      </c>
      <c r="E1425" s="14" t="s">
        <v>4570</v>
      </c>
      <c r="F1425" s="9" t="s">
        <v>27</v>
      </c>
      <c r="G1425" s="9" t="b">
        <v>0</v>
      </c>
      <c r="H1425" s="9" t="s">
        <v>1749</v>
      </c>
      <c r="I1425" s="9">
        <v>1.0</v>
      </c>
      <c r="J1425" s="9">
        <v>0.0</v>
      </c>
      <c r="K1425" s="9">
        <v>0.0</v>
      </c>
    </row>
    <row r="1426">
      <c r="A1426" s="7" t="s">
        <v>4571</v>
      </c>
      <c r="B1426" s="13" t="s">
        <v>2304</v>
      </c>
      <c r="C1426" s="14" t="s">
        <v>34</v>
      </c>
      <c r="D1426" s="14" t="s">
        <v>46</v>
      </c>
      <c r="E1426" s="14" t="s">
        <v>4572</v>
      </c>
      <c r="F1426" s="9" t="s">
        <v>37</v>
      </c>
      <c r="G1426" s="9" t="b">
        <v>0</v>
      </c>
      <c r="H1426" s="9" t="s">
        <v>1571</v>
      </c>
      <c r="I1426" s="9">
        <v>1.0</v>
      </c>
      <c r="J1426" s="9">
        <v>0.0</v>
      </c>
      <c r="K1426" s="9">
        <v>0.0</v>
      </c>
    </row>
    <row r="1427">
      <c r="A1427" s="7" t="s">
        <v>4573</v>
      </c>
      <c r="B1427" s="13" t="s">
        <v>72</v>
      </c>
      <c r="C1427" s="14" t="s">
        <v>309</v>
      </c>
      <c r="D1427" s="14" t="s">
        <v>35</v>
      </c>
      <c r="E1427" s="14" t="s">
        <v>4574</v>
      </c>
      <c r="F1427" s="9" t="s">
        <v>311</v>
      </c>
      <c r="G1427" s="9" t="b">
        <v>0</v>
      </c>
      <c r="H1427" s="9" t="s">
        <v>4575</v>
      </c>
      <c r="I1427" s="9">
        <v>1.0</v>
      </c>
      <c r="J1427" s="9">
        <v>0.0</v>
      </c>
      <c r="K1427" s="9">
        <v>1.0</v>
      </c>
    </row>
    <row r="1428">
      <c r="A1428" s="7" t="s">
        <v>4576</v>
      </c>
      <c r="B1428" s="13" t="s">
        <v>72</v>
      </c>
      <c r="C1428" s="14" t="s">
        <v>144</v>
      </c>
      <c r="D1428" s="14" t="s">
        <v>35</v>
      </c>
      <c r="E1428" s="14" t="s">
        <v>4577</v>
      </c>
      <c r="F1428" s="9" t="s">
        <v>147</v>
      </c>
      <c r="G1428" s="9" t="b">
        <v>0</v>
      </c>
      <c r="H1428" s="9" t="s">
        <v>4578</v>
      </c>
      <c r="I1428" s="9">
        <v>1.0</v>
      </c>
      <c r="J1428" s="9">
        <v>0.0</v>
      </c>
      <c r="K1428" s="9">
        <v>2.0</v>
      </c>
    </row>
    <row r="1429">
      <c r="A1429" s="7" t="s">
        <v>4579</v>
      </c>
      <c r="B1429" s="13" t="s">
        <v>72</v>
      </c>
      <c r="C1429" s="14" t="s">
        <v>34</v>
      </c>
      <c r="D1429" s="14" t="s">
        <v>35</v>
      </c>
      <c r="E1429" s="14" t="s">
        <v>4580</v>
      </c>
      <c r="F1429" s="9" t="s">
        <v>37</v>
      </c>
      <c r="G1429" s="9" t="b">
        <v>0</v>
      </c>
      <c r="H1429" s="9" t="s">
        <v>4581</v>
      </c>
      <c r="I1429" s="9">
        <v>1.0</v>
      </c>
      <c r="J1429" s="9">
        <v>0.0</v>
      </c>
      <c r="K1429" s="9">
        <v>1.0</v>
      </c>
    </row>
    <row r="1430">
      <c r="A1430" s="7" t="s">
        <v>4582</v>
      </c>
      <c r="B1430" s="13" t="s">
        <v>2312</v>
      </c>
      <c r="C1430" s="14" t="s">
        <v>521</v>
      </c>
      <c r="D1430" s="14" t="s">
        <v>46</v>
      </c>
      <c r="E1430" s="14" t="s">
        <v>4583</v>
      </c>
      <c r="F1430" s="9" t="s">
        <v>523</v>
      </c>
      <c r="G1430" s="9" t="b">
        <v>0</v>
      </c>
      <c r="I1430" s="9">
        <v>1.0</v>
      </c>
      <c r="J1430" s="9">
        <v>0.0</v>
      </c>
      <c r="K1430" s="9">
        <v>0.0</v>
      </c>
    </row>
    <row r="1431">
      <c r="A1431" s="7" t="s">
        <v>4584</v>
      </c>
      <c r="B1431" s="13" t="s">
        <v>2316</v>
      </c>
      <c r="C1431" s="14" t="s">
        <v>521</v>
      </c>
      <c r="D1431" s="14" t="s">
        <v>46</v>
      </c>
      <c r="E1431" s="14" t="s">
        <v>4585</v>
      </c>
      <c r="F1431" s="9" t="s">
        <v>523</v>
      </c>
      <c r="G1431" s="9" t="b">
        <v>0</v>
      </c>
      <c r="H1431" s="9" t="s">
        <v>188</v>
      </c>
      <c r="I1431" s="9">
        <v>1.0</v>
      </c>
      <c r="J1431" s="9">
        <v>0.0</v>
      </c>
      <c r="K1431" s="9">
        <v>0.0</v>
      </c>
    </row>
    <row r="1432">
      <c r="A1432" s="7" t="s">
        <v>4586</v>
      </c>
      <c r="B1432" s="13" t="s">
        <v>2320</v>
      </c>
      <c r="C1432" s="14" t="s">
        <v>1203</v>
      </c>
      <c r="D1432" s="14" t="s">
        <v>270</v>
      </c>
      <c r="E1432" s="14" t="s">
        <v>4587</v>
      </c>
      <c r="F1432" s="9" t="s">
        <v>1205</v>
      </c>
      <c r="G1432" s="9" t="b">
        <v>0</v>
      </c>
      <c r="H1432" s="9" t="s">
        <v>1126</v>
      </c>
      <c r="I1432" s="9">
        <v>1.0</v>
      </c>
      <c r="J1432" s="9">
        <v>0.0</v>
      </c>
      <c r="K1432" s="9">
        <v>3.0</v>
      </c>
    </row>
    <row r="1433">
      <c r="A1433" s="7" t="s">
        <v>4588</v>
      </c>
      <c r="B1433" s="13" t="s">
        <v>2324</v>
      </c>
      <c r="C1433" s="14" t="s">
        <v>521</v>
      </c>
      <c r="D1433" s="14" t="s">
        <v>46</v>
      </c>
      <c r="E1433" s="14" t="s">
        <v>4589</v>
      </c>
      <c r="F1433" s="9" t="s">
        <v>523</v>
      </c>
      <c r="G1433" s="9" t="b">
        <v>0</v>
      </c>
      <c r="H1433" s="9" t="s">
        <v>802</v>
      </c>
      <c r="I1433" s="9">
        <v>1.0</v>
      </c>
      <c r="J1433" s="9">
        <v>0.0</v>
      </c>
      <c r="K1433" s="9">
        <v>0.0</v>
      </c>
    </row>
    <row r="1434">
      <c r="A1434" s="7" t="s">
        <v>4590</v>
      </c>
      <c r="B1434" s="13" t="s">
        <v>2328</v>
      </c>
      <c r="C1434" s="14" t="s">
        <v>521</v>
      </c>
      <c r="D1434" s="14" t="s">
        <v>46</v>
      </c>
      <c r="E1434" s="14" t="s">
        <v>4591</v>
      </c>
      <c r="F1434" s="9" t="s">
        <v>523</v>
      </c>
      <c r="G1434" s="9" t="b">
        <v>0</v>
      </c>
      <c r="H1434" s="9" t="s">
        <v>1328</v>
      </c>
      <c r="I1434" s="9">
        <v>1.0</v>
      </c>
      <c r="J1434" s="9">
        <v>0.0</v>
      </c>
      <c r="K1434" s="9">
        <v>0.0</v>
      </c>
    </row>
    <row r="1435">
      <c r="A1435" s="7" t="s">
        <v>4592</v>
      </c>
      <c r="B1435" s="13" t="s">
        <v>2329</v>
      </c>
      <c r="C1435" s="14" t="s">
        <v>34</v>
      </c>
      <c r="D1435" s="14" t="s">
        <v>62</v>
      </c>
      <c r="E1435" s="14" t="s">
        <v>4593</v>
      </c>
      <c r="F1435" s="9" t="s">
        <v>37</v>
      </c>
      <c r="G1435" s="9" t="b">
        <v>0</v>
      </c>
      <c r="H1435" s="9" t="s">
        <v>4594</v>
      </c>
      <c r="I1435" s="9">
        <v>1.0</v>
      </c>
      <c r="J1435" s="9">
        <v>0.0</v>
      </c>
      <c r="K1435" s="9">
        <v>0.0</v>
      </c>
    </row>
    <row r="1436">
      <c r="A1436" s="7" t="s">
        <v>4595</v>
      </c>
      <c r="B1436" s="13" t="s">
        <v>2334</v>
      </c>
      <c r="C1436" s="14" t="s">
        <v>1203</v>
      </c>
      <c r="D1436" s="14" t="s">
        <v>270</v>
      </c>
      <c r="E1436" s="14" t="s">
        <v>4596</v>
      </c>
      <c r="F1436" s="9" t="s">
        <v>1205</v>
      </c>
      <c r="G1436" s="9" t="b">
        <v>0</v>
      </c>
      <c r="H1436" s="9" t="s">
        <v>482</v>
      </c>
      <c r="I1436" s="9">
        <v>1.0</v>
      </c>
      <c r="J1436" s="9">
        <v>0.0</v>
      </c>
      <c r="K1436" s="9">
        <v>1.0</v>
      </c>
    </row>
    <row r="1437">
      <c r="A1437" s="7" t="s">
        <v>4597</v>
      </c>
      <c r="B1437" s="13" t="s">
        <v>93</v>
      </c>
      <c r="C1437" s="14" t="s">
        <v>61</v>
      </c>
      <c r="D1437" s="14" t="s">
        <v>169</v>
      </c>
      <c r="E1437" s="14" t="s">
        <v>4598</v>
      </c>
      <c r="F1437" s="9" t="s">
        <v>64</v>
      </c>
      <c r="G1437" s="9" t="b">
        <v>0</v>
      </c>
      <c r="H1437" s="9" t="s">
        <v>535</v>
      </c>
      <c r="I1437" s="9">
        <v>1.0</v>
      </c>
      <c r="J1437" s="9">
        <v>0.0</v>
      </c>
      <c r="K1437" s="9">
        <v>1.0</v>
      </c>
    </row>
    <row r="1438">
      <c r="A1438" s="7" t="s">
        <v>4599</v>
      </c>
      <c r="B1438" s="13" t="s">
        <v>93</v>
      </c>
      <c r="C1438" s="14" t="s">
        <v>144</v>
      </c>
      <c r="D1438" s="14" t="s">
        <v>169</v>
      </c>
      <c r="E1438" s="14" t="s">
        <v>4600</v>
      </c>
      <c r="F1438" s="9" t="s">
        <v>147</v>
      </c>
      <c r="G1438" s="9" t="b">
        <v>0</v>
      </c>
      <c r="H1438" s="9" t="s">
        <v>535</v>
      </c>
      <c r="I1438" s="9">
        <v>1.0</v>
      </c>
      <c r="J1438" s="9">
        <v>0.0</v>
      </c>
      <c r="K1438" s="9">
        <v>1.0</v>
      </c>
    </row>
    <row r="1439">
      <c r="A1439" s="7" t="s">
        <v>4601</v>
      </c>
      <c r="B1439" s="13" t="s">
        <v>1009</v>
      </c>
      <c r="C1439" s="14" t="s">
        <v>521</v>
      </c>
      <c r="D1439" s="14" t="s">
        <v>270</v>
      </c>
      <c r="E1439" s="14" t="s">
        <v>4602</v>
      </c>
      <c r="F1439" s="9" t="s">
        <v>523</v>
      </c>
      <c r="G1439" s="9" t="b">
        <v>0</v>
      </c>
      <c r="I1439" s="9">
        <v>1.0</v>
      </c>
      <c r="J1439" s="9">
        <v>0.0</v>
      </c>
      <c r="K1439" s="9">
        <v>1.0</v>
      </c>
    </row>
    <row r="1440">
      <c r="A1440" s="7" t="s">
        <v>4603</v>
      </c>
      <c r="B1440" s="13" t="s">
        <v>2337</v>
      </c>
      <c r="C1440" s="14" t="s">
        <v>144</v>
      </c>
      <c r="D1440" s="14" t="s">
        <v>169</v>
      </c>
      <c r="E1440" s="14" t="s">
        <v>4604</v>
      </c>
      <c r="F1440" s="9" t="s">
        <v>147</v>
      </c>
      <c r="G1440" s="9" t="b">
        <v>0</v>
      </c>
      <c r="H1440" s="9" t="s">
        <v>188</v>
      </c>
      <c r="I1440" s="9">
        <v>1.0</v>
      </c>
      <c r="J1440" s="9">
        <v>0.0</v>
      </c>
      <c r="K1440" s="9">
        <v>1.0</v>
      </c>
    </row>
    <row r="1441">
      <c r="A1441" s="7" t="s">
        <v>4605</v>
      </c>
      <c r="B1441" s="13" t="s">
        <v>2340</v>
      </c>
      <c r="C1441" s="14" t="s">
        <v>34</v>
      </c>
      <c r="D1441" s="14" t="s">
        <v>46</v>
      </c>
      <c r="E1441" s="14" t="s">
        <v>4606</v>
      </c>
      <c r="F1441" s="9" t="s">
        <v>37</v>
      </c>
      <c r="G1441" s="9" t="b">
        <v>0</v>
      </c>
      <c r="H1441" s="9" t="s">
        <v>4607</v>
      </c>
      <c r="I1441" s="9">
        <v>1.0</v>
      </c>
      <c r="J1441" s="9">
        <v>0.0</v>
      </c>
      <c r="K1441" s="9">
        <v>1.0</v>
      </c>
    </row>
    <row r="1442">
      <c r="A1442" s="7" t="s">
        <v>4608</v>
      </c>
      <c r="B1442" s="13" t="s">
        <v>1373</v>
      </c>
      <c r="C1442" s="14" t="s">
        <v>1203</v>
      </c>
      <c r="D1442" s="14" t="s">
        <v>270</v>
      </c>
      <c r="E1442" s="14" t="s">
        <v>4609</v>
      </c>
      <c r="F1442" s="9" t="s">
        <v>1205</v>
      </c>
      <c r="G1442" s="9" t="b">
        <v>0</v>
      </c>
      <c r="H1442" s="9" t="s">
        <v>4610</v>
      </c>
      <c r="I1442" s="9">
        <v>1.0</v>
      </c>
      <c r="J1442" s="9">
        <v>0.0</v>
      </c>
      <c r="K1442" s="9">
        <v>2.0</v>
      </c>
    </row>
    <row r="1443">
      <c r="A1443" s="7" t="s">
        <v>4611</v>
      </c>
      <c r="B1443" s="13" t="s">
        <v>1373</v>
      </c>
      <c r="C1443" s="14" t="s">
        <v>1203</v>
      </c>
      <c r="D1443" s="14" t="s">
        <v>270</v>
      </c>
      <c r="E1443" s="14" t="s">
        <v>4612</v>
      </c>
      <c r="F1443" s="9" t="s">
        <v>1205</v>
      </c>
      <c r="G1443" s="9" t="b">
        <v>0</v>
      </c>
      <c r="H1443" s="9" t="s">
        <v>201</v>
      </c>
      <c r="I1443" s="9">
        <v>1.0</v>
      </c>
      <c r="J1443" s="9">
        <v>0.0</v>
      </c>
      <c r="K1443" s="9">
        <v>2.0</v>
      </c>
    </row>
    <row r="1444">
      <c r="A1444" s="7" t="s">
        <v>4613</v>
      </c>
      <c r="B1444" s="13" t="s">
        <v>2344</v>
      </c>
      <c r="C1444" s="14" t="s">
        <v>144</v>
      </c>
      <c r="D1444" s="14" t="s">
        <v>46</v>
      </c>
      <c r="E1444" s="14" t="s">
        <v>4614</v>
      </c>
      <c r="F1444" s="9" t="s">
        <v>147</v>
      </c>
      <c r="G1444" s="9" t="b">
        <v>0</v>
      </c>
      <c r="H1444" s="9" t="s">
        <v>482</v>
      </c>
      <c r="I1444" s="9">
        <v>1.0</v>
      </c>
      <c r="J1444" s="9">
        <v>0.0</v>
      </c>
      <c r="K1444" s="9">
        <v>1.0</v>
      </c>
    </row>
    <row r="1445">
      <c r="A1445" s="7" t="s">
        <v>4615</v>
      </c>
      <c r="B1445" s="13" t="s">
        <v>2346</v>
      </c>
      <c r="C1445" s="14" t="s">
        <v>34</v>
      </c>
      <c r="D1445" s="14" t="s">
        <v>270</v>
      </c>
      <c r="E1445" s="14" t="s">
        <v>4616</v>
      </c>
      <c r="F1445" s="9" t="s">
        <v>37</v>
      </c>
      <c r="G1445" s="9" t="b">
        <v>0</v>
      </c>
      <c r="H1445" s="9" t="s">
        <v>482</v>
      </c>
      <c r="I1445" s="9">
        <v>1.0</v>
      </c>
      <c r="J1445" s="9">
        <v>0.0</v>
      </c>
      <c r="K1445" s="9">
        <v>0.0</v>
      </c>
    </row>
    <row r="1446">
      <c r="A1446" s="7" t="s">
        <v>4617</v>
      </c>
      <c r="B1446" s="14" t="s">
        <v>813</v>
      </c>
      <c r="C1446" s="14" t="s">
        <v>169</v>
      </c>
      <c r="D1446" s="14" t="s">
        <v>35</v>
      </c>
      <c r="E1446" s="14" t="s">
        <v>4618</v>
      </c>
      <c r="F1446" s="9" t="s">
        <v>94</v>
      </c>
      <c r="G1446" s="9" t="b">
        <v>0</v>
      </c>
      <c r="H1446" s="9" t="s">
        <v>2761</v>
      </c>
      <c r="I1446" s="9">
        <v>1.0</v>
      </c>
      <c r="J1446" s="9">
        <v>0.0</v>
      </c>
      <c r="K1446" s="9">
        <v>1.0</v>
      </c>
    </row>
    <row r="1447">
      <c r="A1447" s="7" t="s">
        <v>4619</v>
      </c>
      <c r="B1447" s="14" t="s">
        <v>813</v>
      </c>
      <c r="C1447" s="14" t="s">
        <v>309</v>
      </c>
      <c r="D1447" s="14" t="s">
        <v>35</v>
      </c>
      <c r="E1447" s="14" t="s">
        <v>4620</v>
      </c>
      <c r="F1447" s="9" t="s">
        <v>311</v>
      </c>
      <c r="G1447" s="9" t="b">
        <v>0</v>
      </c>
      <c r="H1447" s="9" t="s">
        <v>4621</v>
      </c>
      <c r="I1447" s="9">
        <v>1.0</v>
      </c>
      <c r="J1447" s="9">
        <v>0.0</v>
      </c>
      <c r="K1447" s="9">
        <v>1.0</v>
      </c>
    </row>
    <row r="1448">
      <c r="A1448" s="7" t="s">
        <v>4622</v>
      </c>
      <c r="B1448" s="13" t="s">
        <v>2348</v>
      </c>
      <c r="C1448" s="14" t="s">
        <v>144</v>
      </c>
      <c r="D1448" s="14" t="s">
        <v>46</v>
      </c>
      <c r="E1448" s="14" t="s">
        <v>4623</v>
      </c>
      <c r="F1448" s="9" t="s">
        <v>147</v>
      </c>
      <c r="G1448" s="9" t="b">
        <v>0</v>
      </c>
      <c r="I1448" s="9">
        <v>1.0</v>
      </c>
      <c r="J1448" s="9">
        <v>0.0</v>
      </c>
      <c r="K1448" s="9">
        <v>0.0</v>
      </c>
    </row>
    <row r="1449">
      <c r="A1449" s="7" t="s">
        <v>4624</v>
      </c>
      <c r="B1449" s="13" t="s">
        <v>2351</v>
      </c>
      <c r="C1449" s="14" t="s">
        <v>521</v>
      </c>
      <c r="D1449" s="14" t="s">
        <v>46</v>
      </c>
      <c r="E1449" s="14" t="s">
        <v>4625</v>
      </c>
      <c r="F1449" s="9" t="s">
        <v>523</v>
      </c>
      <c r="G1449" s="9" t="b">
        <v>0</v>
      </c>
      <c r="H1449" s="9" t="s">
        <v>720</v>
      </c>
      <c r="I1449" s="9">
        <v>1.0</v>
      </c>
      <c r="J1449" s="9">
        <v>0.0</v>
      </c>
      <c r="K1449" s="9">
        <v>2.0</v>
      </c>
    </row>
    <row r="1450">
      <c r="A1450" s="7" t="s">
        <v>4626</v>
      </c>
      <c r="B1450" s="13" t="s">
        <v>2355</v>
      </c>
      <c r="C1450" s="14" t="s">
        <v>521</v>
      </c>
      <c r="D1450" s="14" t="s">
        <v>46</v>
      </c>
      <c r="E1450" s="14" t="s">
        <v>4627</v>
      </c>
      <c r="F1450" s="9" t="s">
        <v>523</v>
      </c>
      <c r="G1450" s="9" t="b">
        <v>0</v>
      </c>
      <c r="I1450" s="9">
        <v>1.0</v>
      </c>
      <c r="J1450" s="9">
        <v>0.0</v>
      </c>
      <c r="K1450" s="9">
        <v>0.0</v>
      </c>
    </row>
    <row r="1451">
      <c r="A1451" s="7" t="s">
        <v>4628</v>
      </c>
      <c r="B1451" s="13" t="s">
        <v>2356</v>
      </c>
      <c r="C1451" s="14" t="s">
        <v>309</v>
      </c>
      <c r="D1451" s="14" t="s">
        <v>46</v>
      </c>
      <c r="E1451" s="14" t="s">
        <v>4629</v>
      </c>
      <c r="F1451" s="9" t="s">
        <v>311</v>
      </c>
      <c r="G1451" s="9" t="b">
        <v>0</v>
      </c>
      <c r="H1451" s="9" t="s">
        <v>720</v>
      </c>
      <c r="I1451" s="9">
        <v>1.0</v>
      </c>
      <c r="J1451" s="9">
        <v>0.0</v>
      </c>
      <c r="K1451" s="9">
        <v>0.0</v>
      </c>
    </row>
    <row r="1452">
      <c r="A1452" s="7" t="s">
        <v>4630</v>
      </c>
      <c r="B1452" s="13" t="s">
        <v>2360</v>
      </c>
      <c r="C1452" s="14" t="s">
        <v>34</v>
      </c>
      <c r="D1452" s="14" t="s">
        <v>46</v>
      </c>
      <c r="E1452" s="14" t="s">
        <v>4631</v>
      </c>
      <c r="F1452" s="9" t="s">
        <v>37</v>
      </c>
      <c r="G1452" s="9" t="b">
        <v>0</v>
      </c>
      <c r="H1452" s="9" t="s">
        <v>482</v>
      </c>
      <c r="I1452" s="9">
        <v>1.0</v>
      </c>
      <c r="J1452" s="9">
        <v>0.0</v>
      </c>
      <c r="K1452" s="9">
        <v>0.0</v>
      </c>
    </row>
    <row r="1453">
      <c r="A1453" s="7" t="s">
        <v>4632</v>
      </c>
      <c r="B1453" s="13" t="s">
        <v>4633</v>
      </c>
      <c r="C1453" s="14" t="s">
        <v>144</v>
      </c>
      <c r="D1453" s="14" t="s">
        <v>46</v>
      </c>
      <c r="E1453" s="14" t="s">
        <v>4634</v>
      </c>
      <c r="F1453" s="9" t="s">
        <v>147</v>
      </c>
      <c r="G1453" s="9" t="b">
        <v>0</v>
      </c>
      <c r="I1453" s="9">
        <v>1.0</v>
      </c>
      <c r="J1453" s="9">
        <v>0.0</v>
      </c>
      <c r="K1453" s="9">
        <v>1.0</v>
      </c>
    </row>
    <row r="1454">
      <c r="A1454" s="7" t="s">
        <v>4635</v>
      </c>
      <c r="B1454" s="13" t="s">
        <v>2363</v>
      </c>
      <c r="C1454" s="14" t="s">
        <v>34</v>
      </c>
      <c r="D1454" s="14" t="s">
        <v>62</v>
      </c>
      <c r="E1454" s="14" t="s">
        <v>4636</v>
      </c>
      <c r="F1454" s="9" t="s">
        <v>37</v>
      </c>
      <c r="G1454" s="9" t="b">
        <v>0</v>
      </c>
      <c r="H1454" s="9" t="s">
        <v>2364</v>
      </c>
      <c r="I1454" s="9">
        <v>1.0</v>
      </c>
      <c r="J1454" s="9">
        <v>0.0</v>
      </c>
      <c r="K1454" s="9">
        <v>1.0</v>
      </c>
    </row>
    <row r="1455">
      <c r="A1455" s="7" t="s">
        <v>4637</v>
      </c>
      <c r="B1455" s="13" t="s">
        <v>2365</v>
      </c>
      <c r="C1455" s="14" t="s">
        <v>1203</v>
      </c>
      <c r="D1455" s="14" t="s">
        <v>25</v>
      </c>
      <c r="E1455" s="14" t="s">
        <v>4638</v>
      </c>
      <c r="F1455" s="9" t="s">
        <v>1205</v>
      </c>
      <c r="G1455" s="9" t="b">
        <v>0</v>
      </c>
      <c r="I1455" s="9">
        <v>1.0</v>
      </c>
      <c r="J1455" s="9">
        <v>0.0</v>
      </c>
      <c r="K1455" s="9">
        <v>1.0</v>
      </c>
    </row>
    <row r="1456">
      <c r="A1456" s="7" t="s">
        <v>4639</v>
      </c>
      <c r="B1456" s="13" t="s">
        <v>2367</v>
      </c>
      <c r="C1456" s="14" t="s">
        <v>144</v>
      </c>
      <c r="D1456" s="14" t="s">
        <v>46</v>
      </c>
      <c r="E1456" s="14" t="s">
        <v>4640</v>
      </c>
      <c r="F1456" s="9" t="s">
        <v>147</v>
      </c>
      <c r="G1456" s="9" t="b">
        <v>0</v>
      </c>
      <c r="I1456" s="9">
        <v>1.0</v>
      </c>
      <c r="J1456" s="9">
        <v>0.0</v>
      </c>
      <c r="K1456" s="9">
        <v>0.0</v>
      </c>
    </row>
    <row r="1457">
      <c r="A1457" s="7" t="s">
        <v>4641</v>
      </c>
      <c r="B1457" s="13" t="s">
        <v>232</v>
      </c>
      <c r="C1457" s="14" t="s">
        <v>1203</v>
      </c>
      <c r="D1457" s="14" t="s">
        <v>46</v>
      </c>
      <c r="E1457" s="14" t="s">
        <v>4642</v>
      </c>
      <c r="F1457" s="9" t="s">
        <v>1205</v>
      </c>
      <c r="G1457" s="9" t="b">
        <v>0</v>
      </c>
      <c r="I1457" s="9">
        <v>1.0</v>
      </c>
      <c r="J1457" s="9">
        <v>0.0</v>
      </c>
      <c r="K1457" s="9">
        <v>1.0</v>
      </c>
    </row>
    <row r="1458">
      <c r="A1458" s="7" t="s">
        <v>4643</v>
      </c>
      <c r="B1458" s="13" t="s">
        <v>232</v>
      </c>
      <c r="C1458" s="14" t="s">
        <v>309</v>
      </c>
      <c r="D1458" s="14" t="s">
        <v>46</v>
      </c>
      <c r="E1458" s="14" t="s">
        <v>4644</v>
      </c>
      <c r="F1458" s="9" t="s">
        <v>311</v>
      </c>
      <c r="G1458" s="9" t="b">
        <v>0</v>
      </c>
      <c r="I1458" s="9">
        <v>1.0</v>
      </c>
      <c r="J1458" s="9">
        <v>0.0</v>
      </c>
      <c r="K1458" s="9">
        <v>0.0</v>
      </c>
    </row>
    <row r="1459">
      <c r="A1459" s="7" t="s">
        <v>4645</v>
      </c>
      <c r="B1459" s="13" t="s">
        <v>232</v>
      </c>
      <c r="C1459" s="14" t="s">
        <v>431</v>
      </c>
      <c r="D1459" s="14" t="s">
        <v>46</v>
      </c>
      <c r="E1459" s="14" t="s">
        <v>4646</v>
      </c>
      <c r="F1459" s="9" t="s">
        <v>433</v>
      </c>
      <c r="G1459" s="9" t="b">
        <v>0</v>
      </c>
      <c r="I1459" s="9">
        <v>1.0</v>
      </c>
      <c r="J1459" s="9">
        <v>0.0</v>
      </c>
      <c r="K1459" s="9">
        <v>0.0</v>
      </c>
    </row>
    <row r="1460">
      <c r="A1460" s="7" t="s">
        <v>4647</v>
      </c>
      <c r="B1460" s="13" t="s">
        <v>232</v>
      </c>
      <c r="C1460" s="14" t="s">
        <v>1203</v>
      </c>
      <c r="D1460" s="14" t="s">
        <v>46</v>
      </c>
      <c r="E1460" s="14" t="s">
        <v>4648</v>
      </c>
      <c r="F1460" s="9" t="s">
        <v>1205</v>
      </c>
      <c r="G1460" s="9" t="b">
        <v>0</v>
      </c>
      <c r="I1460" s="9">
        <v>1.0</v>
      </c>
      <c r="J1460" s="9">
        <v>0.0</v>
      </c>
      <c r="K1460" s="9">
        <v>0.0</v>
      </c>
    </row>
    <row r="1461">
      <c r="A1461" s="7" t="s">
        <v>4649</v>
      </c>
      <c r="B1461" s="13" t="s">
        <v>2370</v>
      </c>
      <c r="C1461" s="14" t="s">
        <v>34</v>
      </c>
      <c r="D1461" s="14" t="s">
        <v>46</v>
      </c>
      <c r="E1461" s="14" t="s">
        <v>4650</v>
      </c>
      <c r="F1461" s="9" t="s">
        <v>37</v>
      </c>
      <c r="G1461" s="9" t="b">
        <v>0</v>
      </c>
      <c r="H1461" s="9" t="s">
        <v>382</v>
      </c>
      <c r="I1461" s="9">
        <v>1.0</v>
      </c>
      <c r="J1461" s="9">
        <v>0.0</v>
      </c>
      <c r="K1461" s="9">
        <v>0.0</v>
      </c>
    </row>
    <row r="1462">
      <c r="A1462" s="7" t="s">
        <v>4651</v>
      </c>
      <c r="B1462" s="13" t="s">
        <v>1458</v>
      </c>
      <c r="C1462" s="14" t="s">
        <v>521</v>
      </c>
      <c r="D1462" s="14" t="s">
        <v>46</v>
      </c>
      <c r="E1462" s="14" t="s">
        <v>4652</v>
      </c>
      <c r="F1462" s="9" t="s">
        <v>523</v>
      </c>
      <c r="G1462" s="9" t="b">
        <v>0</v>
      </c>
      <c r="I1462" s="9">
        <v>1.0</v>
      </c>
      <c r="J1462" s="9">
        <v>0.0</v>
      </c>
      <c r="K1462" s="9">
        <v>2.0</v>
      </c>
    </row>
    <row r="1463">
      <c r="A1463" s="7" t="s">
        <v>4653</v>
      </c>
      <c r="B1463" s="13" t="s">
        <v>2372</v>
      </c>
      <c r="C1463" s="14" t="s">
        <v>144</v>
      </c>
      <c r="D1463" s="14" t="s">
        <v>46</v>
      </c>
      <c r="E1463" s="14" t="s">
        <v>4654</v>
      </c>
      <c r="F1463" s="9" t="s">
        <v>147</v>
      </c>
      <c r="G1463" s="9" t="b">
        <v>0</v>
      </c>
      <c r="I1463" s="9">
        <v>1.0</v>
      </c>
      <c r="J1463" s="9">
        <v>0.0</v>
      </c>
      <c r="K1463" s="9">
        <v>0.0</v>
      </c>
    </row>
    <row r="1464">
      <c r="A1464" s="7" t="s">
        <v>4655</v>
      </c>
      <c r="B1464" s="13" t="s">
        <v>2375</v>
      </c>
      <c r="C1464" s="14" t="s">
        <v>521</v>
      </c>
      <c r="D1464" s="14" t="s">
        <v>46</v>
      </c>
      <c r="E1464" s="14" t="s">
        <v>4656</v>
      </c>
      <c r="F1464" s="9" t="s">
        <v>523</v>
      </c>
      <c r="G1464" s="9" t="b">
        <v>0</v>
      </c>
      <c r="H1464" s="9" t="s">
        <v>482</v>
      </c>
      <c r="I1464" s="9">
        <v>1.0</v>
      </c>
      <c r="J1464" s="9">
        <v>0.0</v>
      </c>
      <c r="K1464" s="9">
        <v>0.0</v>
      </c>
    </row>
    <row r="1465">
      <c r="A1465" s="7" t="s">
        <v>4657</v>
      </c>
      <c r="B1465" s="13" t="s">
        <v>516</v>
      </c>
      <c r="C1465" s="14" t="s">
        <v>61</v>
      </c>
      <c r="D1465" s="14" t="s">
        <v>46</v>
      </c>
      <c r="E1465" s="14" t="s">
        <v>4658</v>
      </c>
      <c r="F1465" s="9" t="s">
        <v>64</v>
      </c>
      <c r="G1465" s="9" t="b">
        <v>0</v>
      </c>
      <c r="H1465" s="9" t="s">
        <v>340</v>
      </c>
      <c r="I1465" s="9">
        <v>1.0</v>
      </c>
      <c r="J1465" s="9">
        <v>0.0</v>
      </c>
      <c r="K1465" s="9">
        <v>0.0</v>
      </c>
    </row>
    <row r="1466">
      <c r="A1466" s="7" t="s">
        <v>4659</v>
      </c>
      <c r="B1466" s="13" t="s">
        <v>2376</v>
      </c>
      <c r="C1466" s="14" t="s">
        <v>1203</v>
      </c>
      <c r="D1466" s="14" t="s">
        <v>270</v>
      </c>
      <c r="E1466" s="14" t="s">
        <v>4660</v>
      </c>
      <c r="F1466" s="9" t="s">
        <v>1205</v>
      </c>
      <c r="G1466" s="9" t="b">
        <v>0</v>
      </c>
      <c r="H1466" s="9" t="s">
        <v>2379</v>
      </c>
      <c r="I1466" s="9">
        <v>1.0</v>
      </c>
      <c r="J1466" s="9">
        <v>0.0</v>
      </c>
      <c r="K1466" s="9">
        <v>2.0</v>
      </c>
    </row>
    <row r="1467">
      <c r="A1467" s="7" t="s">
        <v>4661</v>
      </c>
      <c r="B1467" s="13" t="s">
        <v>408</v>
      </c>
      <c r="C1467" s="14" t="s">
        <v>34</v>
      </c>
      <c r="D1467" s="14" t="s">
        <v>46</v>
      </c>
      <c r="E1467" s="14" t="s">
        <v>4662</v>
      </c>
      <c r="F1467" s="9" t="s">
        <v>37</v>
      </c>
      <c r="G1467" s="9" t="b">
        <v>0</v>
      </c>
      <c r="H1467" s="9" t="s">
        <v>4663</v>
      </c>
      <c r="I1467" s="9">
        <v>1.0</v>
      </c>
      <c r="J1467" s="9">
        <v>0.0</v>
      </c>
      <c r="K1467" s="9">
        <v>3.0</v>
      </c>
    </row>
    <row r="1468">
      <c r="A1468" s="7" t="s">
        <v>4664</v>
      </c>
      <c r="B1468" s="13" t="s">
        <v>408</v>
      </c>
      <c r="C1468" s="14" t="s">
        <v>34</v>
      </c>
      <c r="D1468" s="14" t="s">
        <v>46</v>
      </c>
      <c r="E1468" s="14" t="s">
        <v>4665</v>
      </c>
      <c r="F1468" s="9" t="s">
        <v>37</v>
      </c>
      <c r="G1468" s="9" t="b">
        <v>0</v>
      </c>
      <c r="H1468" s="9" t="s">
        <v>4666</v>
      </c>
      <c r="I1468" s="9">
        <v>1.0</v>
      </c>
      <c r="J1468" s="9">
        <v>0.0</v>
      </c>
      <c r="K1468" s="9">
        <v>2.0</v>
      </c>
    </row>
    <row r="1469">
      <c r="A1469" s="7" t="s">
        <v>4667</v>
      </c>
      <c r="B1469" s="13" t="s">
        <v>4668</v>
      </c>
      <c r="C1469" s="14" t="s">
        <v>34</v>
      </c>
      <c r="D1469" s="14" t="s">
        <v>46</v>
      </c>
      <c r="E1469" s="14" t="s">
        <v>4669</v>
      </c>
      <c r="F1469" s="9" t="s">
        <v>37</v>
      </c>
      <c r="G1469" s="9" t="b">
        <v>0</v>
      </c>
      <c r="H1469" s="9" t="s">
        <v>4670</v>
      </c>
      <c r="I1469" s="9">
        <v>1.0</v>
      </c>
      <c r="J1469" s="9">
        <v>0.0</v>
      </c>
      <c r="K1469" s="9">
        <v>1.0</v>
      </c>
    </row>
    <row r="1470">
      <c r="A1470" s="7" t="s">
        <v>4671</v>
      </c>
      <c r="B1470" s="13" t="s">
        <v>2380</v>
      </c>
      <c r="C1470" s="14" t="s">
        <v>23</v>
      </c>
      <c r="D1470" s="14" t="s">
        <v>46</v>
      </c>
      <c r="E1470" s="14" t="s">
        <v>4672</v>
      </c>
      <c r="F1470" s="9" t="s">
        <v>27</v>
      </c>
      <c r="G1470" s="9" t="b">
        <v>0</v>
      </c>
      <c r="H1470" s="9" t="s">
        <v>4673</v>
      </c>
      <c r="I1470" s="9">
        <v>1.0</v>
      </c>
      <c r="J1470" s="9">
        <v>0.0</v>
      </c>
      <c r="K1470" s="9">
        <v>0.0</v>
      </c>
    </row>
    <row r="1471">
      <c r="A1471" s="7" t="s">
        <v>4674</v>
      </c>
      <c r="B1471" s="13" t="s">
        <v>2384</v>
      </c>
      <c r="C1471" s="14" t="s">
        <v>34</v>
      </c>
      <c r="D1471" s="14" t="s">
        <v>46</v>
      </c>
      <c r="E1471" s="14" t="s">
        <v>4675</v>
      </c>
      <c r="F1471" s="9" t="s">
        <v>37</v>
      </c>
      <c r="G1471" s="9" t="b">
        <v>0</v>
      </c>
      <c r="I1471" s="9">
        <v>1.0</v>
      </c>
      <c r="J1471" s="9">
        <v>0.0</v>
      </c>
      <c r="K1471" s="9">
        <v>1.0</v>
      </c>
    </row>
    <row r="1472">
      <c r="A1472" s="7" t="s">
        <v>4676</v>
      </c>
      <c r="B1472" s="13" t="s">
        <v>2386</v>
      </c>
      <c r="C1472" s="14" t="s">
        <v>521</v>
      </c>
      <c r="D1472" s="14" t="s">
        <v>46</v>
      </c>
      <c r="E1472" s="14" t="s">
        <v>4677</v>
      </c>
      <c r="F1472" s="9" t="s">
        <v>523</v>
      </c>
      <c r="G1472" s="9" t="b">
        <v>0</v>
      </c>
      <c r="H1472" s="9" t="s">
        <v>720</v>
      </c>
      <c r="I1472" s="9">
        <v>1.0</v>
      </c>
      <c r="J1472" s="9">
        <v>0.0</v>
      </c>
      <c r="K1472" s="9">
        <v>3.0</v>
      </c>
    </row>
    <row r="1473">
      <c r="A1473" s="7" t="s">
        <v>4678</v>
      </c>
      <c r="B1473" s="14" t="s">
        <v>355</v>
      </c>
      <c r="C1473" s="14" t="s">
        <v>61</v>
      </c>
      <c r="D1473" s="14" t="s">
        <v>46</v>
      </c>
      <c r="E1473" s="14" t="s">
        <v>4679</v>
      </c>
      <c r="F1473" s="9" t="s">
        <v>64</v>
      </c>
      <c r="G1473" s="9" t="b">
        <v>0</v>
      </c>
      <c r="I1473" s="9">
        <v>1.0</v>
      </c>
      <c r="J1473" s="9">
        <v>0.0</v>
      </c>
      <c r="K1473" s="9">
        <v>0.0</v>
      </c>
    </row>
    <row r="1474">
      <c r="A1474" s="7" t="s">
        <v>4680</v>
      </c>
      <c r="B1474" s="13" t="s">
        <v>2388</v>
      </c>
      <c r="C1474" s="14" t="s">
        <v>1203</v>
      </c>
      <c r="D1474" s="14" t="s">
        <v>46</v>
      </c>
      <c r="E1474" s="14" t="s">
        <v>4681</v>
      </c>
      <c r="F1474" s="9" t="s">
        <v>1205</v>
      </c>
      <c r="G1474" s="9" t="b">
        <v>0</v>
      </c>
      <c r="H1474" s="9" t="s">
        <v>1328</v>
      </c>
      <c r="I1474" s="9">
        <v>1.0</v>
      </c>
      <c r="J1474" s="9">
        <v>0.0</v>
      </c>
      <c r="K1474" s="9">
        <v>0.0</v>
      </c>
    </row>
    <row r="1475">
      <c r="A1475" s="7" t="s">
        <v>4682</v>
      </c>
      <c r="B1475" s="13" t="s">
        <v>2393</v>
      </c>
      <c r="C1475" s="14" t="s">
        <v>144</v>
      </c>
      <c r="D1475" s="14" t="s">
        <v>46</v>
      </c>
      <c r="E1475" s="14" t="s">
        <v>4683</v>
      </c>
      <c r="F1475" s="9" t="s">
        <v>147</v>
      </c>
      <c r="G1475" s="9" t="b">
        <v>0</v>
      </c>
      <c r="H1475" s="9" t="s">
        <v>720</v>
      </c>
      <c r="I1475" s="9">
        <v>1.0</v>
      </c>
      <c r="J1475" s="9">
        <v>0.0</v>
      </c>
      <c r="K1475" s="9">
        <v>1.0</v>
      </c>
    </row>
    <row r="1476">
      <c r="A1476" s="7" t="s">
        <v>4684</v>
      </c>
      <c r="B1476" s="13" t="s">
        <v>2397</v>
      </c>
      <c r="C1476" s="14" t="s">
        <v>34</v>
      </c>
      <c r="D1476" s="14" t="s">
        <v>46</v>
      </c>
      <c r="E1476" s="14" t="s">
        <v>4685</v>
      </c>
      <c r="F1476" s="9" t="s">
        <v>37</v>
      </c>
      <c r="G1476" s="9" t="b">
        <v>0</v>
      </c>
      <c r="H1476" s="9" t="s">
        <v>1328</v>
      </c>
      <c r="I1476" s="9">
        <v>1.0</v>
      </c>
      <c r="J1476" s="9">
        <v>0.0</v>
      </c>
      <c r="K1476" s="9">
        <v>0.0</v>
      </c>
    </row>
    <row r="1477">
      <c r="A1477" s="7" t="s">
        <v>4686</v>
      </c>
      <c r="B1477" s="13" t="s">
        <v>2402</v>
      </c>
      <c r="C1477" s="14" t="s">
        <v>521</v>
      </c>
      <c r="D1477" s="14" t="s">
        <v>46</v>
      </c>
      <c r="E1477" s="14" t="s">
        <v>4687</v>
      </c>
      <c r="F1477" s="9" t="s">
        <v>523</v>
      </c>
      <c r="G1477" s="9" t="b">
        <v>0</v>
      </c>
      <c r="H1477" s="9" t="s">
        <v>188</v>
      </c>
      <c r="I1477" s="9">
        <v>1.0</v>
      </c>
      <c r="J1477" s="9">
        <v>0.0</v>
      </c>
      <c r="K1477" s="9">
        <v>1.0</v>
      </c>
    </row>
    <row r="1478">
      <c r="A1478" s="7" t="s">
        <v>4688</v>
      </c>
      <c r="B1478" s="14" t="s">
        <v>2410</v>
      </c>
      <c r="C1478" s="14" t="s">
        <v>521</v>
      </c>
      <c r="D1478" s="14" t="s">
        <v>46</v>
      </c>
      <c r="E1478" s="14" t="s">
        <v>4689</v>
      </c>
      <c r="F1478" s="9" t="s">
        <v>523</v>
      </c>
      <c r="G1478" s="9" t="b">
        <v>0</v>
      </c>
      <c r="H1478" s="9" t="s">
        <v>1026</v>
      </c>
      <c r="I1478" s="9">
        <v>1.0</v>
      </c>
      <c r="J1478" s="9">
        <v>0.0</v>
      </c>
      <c r="K1478" s="9">
        <v>0.0</v>
      </c>
    </row>
    <row r="1479">
      <c r="A1479" s="7" t="s">
        <v>4690</v>
      </c>
      <c r="B1479" s="13" t="s">
        <v>2411</v>
      </c>
      <c r="C1479" s="14" t="s">
        <v>34</v>
      </c>
      <c r="D1479" s="14" t="s">
        <v>46</v>
      </c>
      <c r="E1479" s="14" t="s">
        <v>4691</v>
      </c>
      <c r="F1479" s="9" t="s">
        <v>37</v>
      </c>
      <c r="G1479" s="9" t="b">
        <v>0</v>
      </c>
      <c r="I1479" s="9">
        <v>1.0</v>
      </c>
      <c r="J1479" s="9">
        <v>0.0</v>
      </c>
      <c r="K1479" s="9">
        <v>1.0</v>
      </c>
    </row>
    <row r="1480">
      <c r="A1480" s="7" t="s">
        <v>4692</v>
      </c>
      <c r="B1480" s="13" t="s">
        <v>1388</v>
      </c>
      <c r="C1480" s="14" t="s">
        <v>521</v>
      </c>
      <c r="D1480" s="14" t="s">
        <v>46</v>
      </c>
      <c r="E1480" s="14" t="s">
        <v>4693</v>
      </c>
      <c r="F1480" s="9" t="s">
        <v>523</v>
      </c>
      <c r="G1480" s="9" t="b">
        <v>0</v>
      </c>
      <c r="H1480" s="9" t="s">
        <v>4694</v>
      </c>
      <c r="I1480" s="9">
        <v>1.0</v>
      </c>
      <c r="J1480" s="9">
        <v>0.0</v>
      </c>
      <c r="K1480" s="9">
        <v>2.0</v>
      </c>
    </row>
    <row r="1481">
      <c r="A1481" s="7" t="s">
        <v>4695</v>
      </c>
      <c r="B1481" s="13" t="s">
        <v>52</v>
      </c>
      <c r="C1481" s="14" t="s">
        <v>34</v>
      </c>
      <c r="D1481" s="14" t="s">
        <v>46</v>
      </c>
      <c r="E1481" s="14" t="s">
        <v>4696</v>
      </c>
      <c r="F1481" s="9" t="s">
        <v>37</v>
      </c>
      <c r="G1481" s="9" t="b">
        <v>0</v>
      </c>
      <c r="H1481" s="9" t="s">
        <v>4697</v>
      </c>
      <c r="I1481" s="9">
        <v>1.0</v>
      </c>
      <c r="J1481" s="9">
        <v>0.0</v>
      </c>
      <c r="K1481" s="9">
        <v>1.0</v>
      </c>
    </row>
    <row r="1482">
      <c r="A1482" s="7" t="s">
        <v>4698</v>
      </c>
      <c r="B1482" s="14" t="s">
        <v>2413</v>
      </c>
      <c r="C1482" s="14" t="s">
        <v>169</v>
      </c>
      <c r="D1482" s="14" t="s">
        <v>46</v>
      </c>
      <c r="E1482" s="14" t="s">
        <v>4699</v>
      </c>
      <c r="F1482" s="9" t="s">
        <v>94</v>
      </c>
      <c r="G1482" s="9" t="b">
        <v>0</v>
      </c>
      <c r="I1482" s="9">
        <v>1.0</v>
      </c>
      <c r="J1482" s="9">
        <v>0.0</v>
      </c>
      <c r="K1482" s="9">
        <v>0.0</v>
      </c>
    </row>
    <row r="1483">
      <c r="A1483" s="7" t="s">
        <v>4700</v>
      </c>
      <c r="B1483" s="13" t="s">
        <v>2414</v>
      </c>
      <c r="C1483" s="14" t="s">
        <v>34</v>
      </c>
      <c r="D1483" s="14" t="s">
        <v>46</v>
      </c>
      <c r="E1483" s="14" t="s">
        <v>4701</v>
      </c>
      <c r="F1483" s="9" t="s">
        <v>37</v>
      </c>
      <c r="G1483" s="9" t="b">
        <v>0</v>
      </c>
      <c r="H1483" s="9" t="s">
        <v>1352</v>
      </c>
      <c r="I1483" s="9">
        <v>1.0</v>
      </c>
      <c r="J1483" s="9">
        <v>0.0</v>
      </c>
      <c r="K1483" s="9">
        <v>2.0</v>
      </c>
    </row>
    <row r="1484">
      <c r="A1484" s="7" t="s">
        <v>4702</v>
      </c>
      <c r="B1484" s="13" t="s">
        <v>1393</v>
      </c>
      <c r="C1484" s="14" t="s">
        <v>34</v>
      </c>
      <c r="D1484" s="14" t="s">
        <v>46</v>
      </c>
      <c r="E1484" s="14" t="s">
        <v>4703</v>
      </c>
      <c r="F1484" s="9" t="s">
        <v>37</v>
      </c>
      <c r="G1484" s="9" t="b">
        <v>0</v>
      </c>
      <c r="H1484" s="9" t="s">
        <v>4704</v>
      </c>
      <c r="I1484" s="9">
        <v>1.0</v>
      </c>
      <c r="J1484" s="9">
        <v>0.0</v>
      </c>
      <c r="K1484" s="9">
        <v>3.0</v>
      </c>
    </row>
    <row r="1485">
      <c r="A1485" s="7" t="s">
        <v>4705</v>
      </c>
      <c r="B1485" s="13" t="s">
        <v>1393</v>
      </c>
      <c r="C1485" s="14" t="s">
        <v>34</v>
      </c>
      <c r="D1485" s="14" t="s">
        <v>46</v>
      </c>
      <c r="E1485" s="14" t="s">
        <v>4706</v>
      </c>
      <c r="F1485" s="9" t="s">
        <v>37</v>
      </c>
      <c r="G1485" s="9" t="b">
        <v>0</v>
      </c>
      <c r="H1485" s="9" t="s">
        <v>4707</v>
      </c>
      <c r="I1485" s="9">
        <v>1.0</v>
      </c>
      <c r="J1485" s="9">
        <v>0.0</v>
      </c>
      <c r="K1485" s="9">
        <v>1.0</v>
      </c>
    </row>
    <row r="1486">
      <c r="A1486" s="7" t="s">
        <v>4708</v>
      </c>
      <c r="B1486" s="13" t="s">
        <v>43</v>
      </c>
      <c r="C1486" s="14" t="s">
        <v>144</v>
      </c>
      <c r="D1486" s="14" t="s">
        <v>46</v>
      </c>
      <c r="E1486" s="14" t="s">
        <v>4709</v>
      </c>
      <c r="F1486" s="9" t="s">
        <v>147</v>
      </c>
      <c r="G1486" s="9" t="b">
        <v>0</v>
      </c>
      <c r="H1486" s="9" t="s">
        <v>4710</v>
      </c>
      <c r="I1486" s="9">
        <v>1.0</v>
      </c>
      <c r="J1486" s="9">
        <v>0.0</v>
      </c>
      <c r="K1486" s="9">
        <v>1.0</v>
      </c>
    </row>
    <row r="1487">
      <c r="A1487" s="7" t="s">
        <v>4711</v>
      </c>
      <c r="B1487" s="13" t="s">
        <v>1395</v>
      </c>
      <c r="C1487" s="14" t="s">
        <v>34</v>
      </c>
      <c r="D1487" s="14" t="s">
        <v>46</v>
      </c>
      <c r="E1487" s="14" t="s">
        <v>4712</v>
      </c>
      <c r="F1487" s="9" t="s">
        <v>37</v>
      </c>
      <c r="G1487" s="9" t="b">
        <v>0</v>
      </c>
      <c r="H1487" s="9" t="s">
        <v>529</v>
      </c>
      <c r="I1487" s="9">
        <v>1.0</v>
      </c>
      <c r="J1487" s="9">
        <v>0.0</v>
      </c>
      <c r="K1487" s="9">
        <v>1.0</v>
      </c>
    </row>
    <row r="1488">
      <c r="A1488" s="7" t="s">
        <v>4713</v>
      </c>
      <c r="B1488" s="13" t="s">
        <v>1395</v>
      </c>
      <c r="C1488" s="14" t="s">
        <v>144</v>
      </c>
      <c r="D1488" s="14" t="s">
        <v>46</v>
      </c>
      <c r="E1488" s="14" t="s">
        <v>4714</v>
      </c>
      <c r="F1488" s="9" t="s">
        <v>147</v>
      </c>
      <c r="G1488" s="9" t="b">
        <v>0</v>
      </c>
      <c r="H1488" s="9" t="s">
        <v>188</v>
      </c>
      <c r="I1488" s="9">
        <v>1.0</v>
      </c>
      <c r="J1488" s="9">
        <v>0.0</v>
      </c>
      <c r="K1488" s="9">
        <v>0.0</v>
      </c>
    </row>
    <row r="1489">
      <c r="A1489" s="7" t="s">
        <v>4715</v>
      </c>
      <c r="B1489" s="13" t="s">
        <v>1150</v>
      </c>
      <c r="C1489" s="14" t="s">
        <v>34</v>
      </c>
      <c r="D1489" s="14" t="s">
        <v>46</v>
      </c>
      <c r="E1489" s="14" t="s">
        <v>4716</v>
      </c>
      <c r="F1489" s="9" t="s">
        <v>37</v>
      </c>
      <c r="G1489" s="9" t="b">
        <v>0</v>
      </c>
      <c r="H1489" s="9" t="s">
        <v>4717</v>
      </c>
      <c r="I1489" s="9">
        <v>1.0</v>
      </c>
      <c r="J1489" s="9">
        <v>0.0</v>
      </c>
      <c r="K1489" s="9">
        <v>1.0</v>
      </c>
    </row>
    <row r="1490">
      <c r="A1490" s="7" t="s">
        <v>4718</v>
      </c>
      <c r="B1490" s="13" t="s">
        <v>2418</v>
      </c>
      <c r="C1490" s="14" t="s">
        <v>309</v>
      </c>
      <c r="D1490" s="14" t="s">
        <v>46</v>
      </c>
      <c r="E1490" s="14" t="s">
        <v>4719</v>
      </c>
      <c r="F1490" s="9" t="s">
        <v>311</v>
      </c>
      <c r="G1490" s="9" t="b">
        <v>0</v>
      </c>
      <c r="H1490" s="9" t="s">
        <v>3502</v>
      </c>
      <c r="I1490" s="9">
        <v>1.0</v>
      </c>
      <c r="J1490" s="9">
        <v>0.0</v>
      </c>
      <c r="K1490" s="9">
        <v>1.0</v>
      </c>
    </row>
    <row r="1491">
      <c r="A1491" s="7" t="s">
        <v>4720</v>
      </c>
      <c r="B1491" s="13" t="s">
        <v>98</v>
      </c>
      <c r="C1491" s="14" t="s">
        <v>34</v>
      </c>
      <c r="D1491" s="14" t="s">
        <v>35</v>
      </c>
      <c r="E1491" s="14" t="s">
        <v>4721</v>
      </c>
      <c r="F1491" s="9" t="s">
        <v>37</v>
      </c>
      <c r="G1491" s="9" t="b">
        <v>1</v>
      </c>
      <c r="H1491" s="9" t="s">
        <v>4722</v>
      </c>
      <c r="I1491" s="9">
        <v>1.0</v>
      </c>
      <c r="J1491" s="9">
        <v>0.0</v>
      </c>
      <c r="K1491" s="9">
        <v>0.0</v>
      </c>
    </row>
    <row r="1492">
      <c r="A1492" s="7" t="s">
        <v>4723</v>
      </c>
      <c r="B1492" s="13" t="s">
        <v>98</v>
      </c>
      <c r="C1492" s="14" t="s">
        <v>34</v>
      </c>
      <c r="D1492" s="14" t="s">
        <v>35</v>
      </c>
      <c r="E1492" s="14" t="s">
        <v>4724</v>
      </c>
      <c r="F1492" s="9" t="s">
        <v>37</v>
      </c>
      <c r="G1492" s="9" t="b">
        <v>0</v>
      </c>
      <c r="H1492" s="9" t="s">
        <v>4725</v>
      </c>
      <c r="I1492" s="9">
        <v>1.0</v>
      </c>
      <c r="J1492" s="9">
        <v>0.0</v>
      </c>
      <c r="K1492" s="9">
        <v>0.0</v>
      </c>
    </row>
    <row r="1493">
      <c r="A1493" s="7" t="s">
        <v>4726</v>
      </c>
      <c r="B1493" s="13" t="s">
        <v>98</v>
      </c>
      <c r="C1493" s="14" t="s">
        <v>34</v>
      </c>
      <c r="D1493" s="14" t="s">
        <v>35</v>
      </c>
      <c r="E1493" s="14" t="s">
        <v>4727</v>
      </c>
      <c r="F1493" s="9" t="s">
        <v>37</v>
      </c>
      <c r="G1493" s="9" t="b">
        <v>0</v>
      </c>
      <c r="H1493" s="9" t="s">
        <v>4728</v>
      </c>
      <c r="I1493" s="9">
        <v>1.0</v>
      </c>
      <c r="J1493" s="9">
        <v>0.0</v>
      </c>
      <c r="K1493" s="9">
        <v>3.0</v>
      </c>
    </row>
    <row r="1494">
      <c r="A1494" s="7" t="s">
        <v>4729</v>
      </c>
      <c r="B1494" s="13" t="s">
        <v>2419</v>
      </c>
      <c r="C1494" s="14" t="s">
        <v>1203</v>
      </c>
      <c r="D1494" s="14" t="s">
        <v>953</v>
      </c>
      <c r="E1494" s="14" t="s">
        <v>4730</v>
      </c>
      <c r="F1494" s="9" t="s">
        <v>1205</v>
      </c>
      <c r="G1494" s="9" t="b">
        <v>0</v>
      </c>
      <c r="H1494" s="9" t="s">
        <v>482</v>
      </c>
      <c r="I1494" s="9">
        <v>1.0</v>
      </c>
      <c r="J1494" s="9">
        <v>0.0</v>
      </c>
      <c r="K1494" s="9">
        <v>1.0</v>
      </c>
    </row>
    <row r="1495">
      <c r="A1495" s="7" t="s">
        <v>4731</v>
      </c>
      <c r="B1495" s="14" t="s">
        <v>2423</v>
      </c>
      <c r="C1495" s="14" t="s">
        <v>521</v>
      </c>
      <c r="D1495" s="14" t="s">
        <v>46</v>
      </c>
      <c r="E1495" s="14" t="s">
        <v>4732</v>
      </c>
      <c r="F1495" s="9" t="s">
        <v>523</v>
      </c>
      <c r="G1495" s="9" t="b">
        <v>0</v>
      </c>
      <c r="H1495" s="9" t="s">
        <v>188</v>
      </c>
      <c r="I1495" s="9">
        <v>1.0</v>
      </c>
      <c r="J1495" s="9">
        <v>0.0</v>
      </c>
      <c r="K1495" s="9">
        <v>0.0</v>
      </c>
    </row>
    <row r="1496">
      <c r="A1496" s="7" t="s">
        <v>4733</v>
      </c>
      <c r="B1496" s="13" t="s">
        <v>2428</v>
      </c>
      <c r="C1496" s="14" t="s">
        <v>144</v>
      </c>
      <c r="D1496" s="14" t="s">
        <v>46</v>
      </c>
      <c r="E1496" s="14" t="s">
        <v>4734</v>
      </c>
      <c r="F1496" s="9" t="s">
        <v>147</v>
      </c>
      <c r="G1496" s="9" t="b">
        <v>0</v>
      </c>
      <c r="I1496" s="9">
        <v>1.0</v>
      </c>
      <c r="J1496" s="9">
        <v>0.0</v>
      </c>
      <c r="K1496" s="9">
        <v>2.0</v>
      </c>
    </row>
    <row r="1497">
      <c r="A1497" s="7" t="s">
        <v>4735</v>
      </c>
      <c r="B1497" s="13" t="s">
        <v>1405</v>
      </c>
      <c r="C1497" s="14" t="s">
        <v>521</v>
      </c>
      <c r="D1497" s="14" t="s">
        <v>46</v>
      </c>
      <c r="E1497" s="14" t="s">
        <v>4736</v>
      </c>
      <c r="F1497" s="9" t="s">
        <v>523</v>
      </c>
      <c r="G1497" s="9" t="b">
        <v>0</v>
      </c>
      <c r="H1497" s="9" t="s">
        <v>720</v>
      </c>
      <c r="I1497" s="9">
        <v>1.0</v>
      </c>
      <c r="J1497" s="9">
        <v>0.0</v>
      </c>
      <c r="K1497" s="9">
        <v>0.0</v>
      </c>
    </row>
    <row r="1498">
      <c r="A1498" s="7" t="s">
        <v>4737</v>
      </c>
      <c r="B1498" s="13" t="s">
        <v>1405</v>
      </c>
      <c r="C1498" s="14" t="s">
        <v>309</v>
      </c>
      <c r="D1498" s="14" t="s">
        <v>46</v>
      </c>
      <c r="E1498" s="14" t="s">
        <v>4738</v>
      </c>
      <c r="F1498" s="9" t="s">
        <v>311</v>
      </c>
      <c r="G1498" s="9" t="b">
        <v>0</v>
      </c>
      <c r="H1498" s="9" t="s">
        <v>720</v>
      </c>
      <c r="I1498" s="9">
        <v>1.0</v>
      </c>
      <c r="J1498" s="9">
        <v>0.0</v>
      </c>
      <c r="K1498" s="9">
        <v>1.0</v>
      </c>
    </row>
    <row r="1499">
      <c r="A1499" s="7" t="s">
        <v>4739</v>
      </c>
      <c r="B1499" s="13" t="s">
        <v>2430</v>
      </c>
      <c r="C1499" s="14" t="s">
        <v>34</v>
      </c>
      <c r="D1499" s="14" t="s">
        <v>46</v>
      </c>
      <c r="E1499" s="14" t="s">
        <v>4740</v>
      </c>
      <c r="F1499" s="9" t="s">
        <v>37</v>
      </c>
      <c r="G1499" s="9" t="b">
        <v>0</v>
      </c>
      <c r="H1499" s="9" t="s">
        <v>541</v>
      </c>
      <c r="I1499" s="9">
        <v>1.0</v>
      </c>
      <c r="J1499" s="9">
        <v>0.0</v>
      </c>
      <c r="K1499" s="9">
        <v>0.0</v>
      </c>
    </row>
    <row r="1500">
      <c r="A1500" s="7" t="s">
        <v>4741</v>
      </c>
      <c r="B1500" s="13" t="s">
        <v>2433</v>
      </c>
      <c r="C1500" s="14" t="s">
        <v>34</v>
      </c>
      <c r="D1500" s="14" t="s">
        <v>62</v>
      </c>
      <c r="E1500" s="14" t="s">
        <v>4742</v>
      </c>
      <c r="F1500" s="9" t="s">
        <v>37</v>
      </c>
      <c r="G1500" s="9" t="b">
        <v>0</v>
      </c>
      <c r="H1500" s="9" t="s">
        <v>2436</v>
      </c>
      <c r="I1500" s="9">
        <v>1.0</v>
      </c>
      <c r="J1500" s="9">
        <v>0.0</v>
      </c>
      <c r="K1500" s="9">
        <v>1.0</v>
      </c>
    </row>
    <row r="1501">
      <c r="A1501" s="7" t="s">
        <v>4743</v>
      </c>
      <c r="B1501" s="13" t="s">
        <v>1809</v>
      </c>
      <c r="C1501" s="14" t="s">
        <v>169</v>
      </c>
      <c r="D1501" s="14" t="s">
        <v>62</v>
      </c>
      <c r="E1501" s="15"/>
      <c r="F1501" s="9" t="s">
        <v>94</v>
      </c>
      <c r="H1501" s="9" t="s">
        <v>172</v>
      </c>
      <c r="I1501" s="9">
        <v>1.0</v>
      </c>
      <c r="J1501" s="9">
        <v>0.0</v>
      </c>
      <c r="K1501" s="9">
        <v>0.0</v>
      </c>
    </row>
    <row r="1502">
      <c r="A1502" s="7" t="s">
        <v>4744</v>
      </c>
      <c r="B1502" s="13" t="s">
        <v>2437</v>
      </c>
      <c r="C1502" s="14" t="s">
        <v>1203</v>
      </c>
      <c r="D1502" s="14" t="s">
        <v>46</v>
      </c>
      <c r="E1502" s="14" t="s">
        <v>4745</v>
      </c>
      <c r="F1502" s="9" t="s">
        <v>1205</v>
      </c>
      <c r="G1502" s="9" t="b">
        <v>0</v>
      </c>
      <c r="I1502" s="9">
        <v>1.0</v>
      </c>
      <c r="J1502" s="9">
        <v>0.0</v>
      </c>
      <c r="K1502" s="9">
        <v>1.0</v>
      </c>
    </row>
    <row r="1503">
      <c r="A1503" s="7" t="s">
        <v>4746</v>
      </c>
      <c r="B1503" s="13" t="s">
        <v>2441</v>
      </c>
      <c r="C1503" s="14" t="s">
        <v>34</v>
      </c>
      <c r="D1503" s="14" t="s">
        <v>46</v>
      </c>
      <c r="E1503" s="14" t="s">
        <v>4747</v>
      </c>
      <c r="F1503" s="9" t="s">
        <v>37</v>
      </c>
      <c r="G1503" s="9" t="b">
        <v>0</v>
      </c>
      <c r="H1503" s="9" t="s">
        <v>4748</v>
      </c>
      <c r="I1503" s="9">
        <v>1.0</v>
      </c>
      <c r="J1503" s="9">
        <v>0.0</v>
      </c>
      <c r="K1503" s="9">
        <v>1.0</v>
      </c>
    </row>
    <row r="1504">
      <c r="A1504" s="7" t="s">
        <v>4749</v>
      </c>
      <c r="B1504" s="13" t="s">
        <v>2446</v>
      </c>
      <c r="C1504" s="14" t="s">
        <v>169</v>
      </c>
      <c r="D1504" s="14" t="s">
        <v>46</v>
      </c>
      <c r="E1504" s="14" t="s">
        <v>4750</v>
      </c>
      <c r="F1504" s="9" t="s">
        <v>94</v>
      </c>
      <c r="G1504" s="9" t="b">
        <v>0</v>
      </c>
      <c r="I1504" s="9">
        <v>1.0</v>
      </c>
      <c r="J1504" s="9">
        <v>0.0</v>
      </c>
      <c r="K1504" s="9">
        <v>0.0</v>
      </c>
    </row>
    <row r="1505">
      <c r="A1505" s="7" t="s">
        <v>4751</v>
      </c>
      <c r="B1505" s="13" t="s">
        <v>2448</v>
      </c>
      <c r="C1505" s="14" t="s">
        <v>309</v>
      </c>
      <c r="D1505" s="14" t="s">
        <v>46</v>
      </c>
      <c r="E1505" s="14" t="s">
        <v>4752</v>
      </c>
      <c r="F1505" s="9" t="s">
        <v>311</v>
      </c>
      <c r="G1505" s="9" t="b">
        <v>0</v>
      </c>
      <c r="I1505" s="9">
        <v>1.0</v>
      </c>
      <c r="J1505" s="9">
        <v>0.0</v>
      </c>
      <c r="K1505" s="9">
        <v>2.0</v>
      </c>
    </row>
    <row r="1506">
      <c r="A1506" s="7" t="s">
        <v>4753</v>
      </c>
      <c r="B1506" s="13" t="s">
        <v>2451</v>
      </c>
      <c r="C1506" s="14" t="s">
        <v>34</v>
      </c>
      <c r="D1506" s="14" t="s">
        <v>46</v>
      </c>
      <c r="E1506" s="14" t="s">
        <v>4754</v>
      </c>
      <c r="F1506" s="9" t="s">
        <v>37</v>
      </c>
      <c r="G1506" s="9" t="b">
        <v>0</v>
      </c>
      <c r="H1506" s="9" t="s">
        <v>4755</v>
      </c>
      <c r="I1506" s="9">
        <v>1.0</v>
      </c>
      <c r="J1506" s="9">
        <v>0.0</v>
      </c>
      <c r="K1506" s="9">
        <v>0.0</v>
      </c>
    </row>
    <row r="1507">
      <c r="A1507" s="7" t="s">
        <v>4756</v>
      </c>
      <c r="B1507" s="13" t="s">
        <v>1159</v>
      </c>
      <c r="C1507" s="14" t="s">
        <v>144</v>
      </c>
      <c r="D1507" s="14" t="s">
        <v>270</v>
      </c>
      <c r="E1507" s="14" t="s">
        <v>4757</v>
      </c>
      <c r="F1507" s="9" t="s">
        <v>147</v>
      </c>
      <c r="G1507" s="9" t="b">
        <v>0</v>
      </c>
      <c r="I1507" s="9">
        <v>1.0</v>
      </c>
      <c r="J1507" s="9">
        <v>0.0</v>
      </c>
      <c r="K1507" s="9">
        <v>0.0</v>
      </c>
    </row>
    <row r="1508">
      <c r="A1508" s="7" t="s">
        <v>4758</v>
      </c>
      <c r="B1508" s="13" t="s">
        <v>1159</v>
      </c>
      <c r="C1508" s="14" t="s">
        <v>34</v>
      </c>
      <c r="D1508" s="14" t="s">
        <v>270</v>
      </c>
      <c r="E1508" s="14" t="s">
        <v>4759</v>
      </c>
      <c r="F1508" s="9" t="s">
        <v>37</v>
      </c>
      <c r="G1508" s="9" t="b">
        <v>0</v>
      </c>
      <c r="H1508" s="9" t="s">
        <v>4760</v>
      </c>
      <c r="I1508" s="9">
        <v>1.0</v>
      </c>
      <c r="J1508" s="9">
        <v>0.0</v>
      </c>
      <c r="K1508" s="9">
        <v>0.0</v>
      </c>
    </row>
    <row r="1509">
      <c r="A1509" s="7" t="s">
        <v>4761</v>
      </c>
      <c r="B1509" s="13" t="s">
        <v>1159</v>
      </c>
      <c r="C1509" s="14" t="s">
        <v>34</v>
      </c>
      <c r="D1509" s="14" t="s">
        <v>270</v>
      </c>
      <c r="E1509" s="14" t="s">
        <v>4762</v>
      </c>
      <c r="F1509" s="9" t="s">
        <v>37</v>
      </c>
      <c r="G1509" s="9" t="b">
        <v>0</v>
      </c>
      <c r="H1509" s="9" t="s">
        <v>4763</v>
      </c>
      <c r="I1509" s="9">
        <v>1.0</v>
      </c>
      <c r="J1509" s="9">
        <v>0.0</v>
      </c>
      <c r="K1509" s="9">
        <v>1.0</v>
      </c>
    </row>
    <row r="1510">
      <c r="A1510" s="7" t="s">
        <v>4764</v>
      </c>
      <c r="B1510" s="13" t="s">
        <v>387</v>
      </c>
      <c r="C1510" s="14" t="s">
        <v>1203</v>
      </c>
      <c r="D1510" s="14" t="s">
        <v>25</v>
      </c>
      <c r="E1510" s="14" t="s">
        <v>4765</v>
      </c>
      <c r="F1510" s="9" t="s">
        <v>1205</v>
      </c>
      <c r="G1510" s="9" t="b">
        <v>0</v>
      </c>
      <c r="I1510" s="9">
        <v>1.0</v>
      </c>
      <c r="J1510" s="9">
        <v>0.0</v>
      </c>
      <c r="K1510" s="9">
        <v>1.0</v>
      </c>
    </row>
    <row r="1511">
      <c r="A1511" s="7" t="s">
        <v>4766</v>
      </c>
      <c r="B1511" s="13" t="s">
        <v>2453</v>
      </c>
      <c r="C1511" s="14" t="s">
        <v>309</v>
      </c>
      <c r="D1511" s="14" t="s">
        <v>46</v>
      </c>
      <c r="E1511" s="14" t="s">
        <v>4767</v>
      </c>
      <c r="F1511" s="9" t="s">
        <v>311</v>
      </c>
      <c r="G1511" s="9" t="b">
        <v>0</v>
      </c>
      <c r="H1511" s="9" t="s">
        <v>666</v>
      </c>
      <c r="I1511" s="9">
        <v>1.0</v>
      </c>
      <c r="J1511" s="9">
        <v>0.0</v>
      </c>
      <c r="K1511" s="9">
        <v>1.0</v>
      </c>
    </row>
    <row r="1512">
      <c r="A1512" s="7" t="s">
        <v>4768</v>
      </c>
      <c r="B1512" s="13" t="s">
        <v>1187</v>
      </c>
      <c r="C1512" s="14" t="s">
        <v>169</v>
      </c>
      <c r="D1512" s="14" t="s">
        <v>270</v>
      </c>
      <c r="E1512" s="14" t="s">
        <v>4769</v>
      </c>
      <c r="F1512" s="9" t="s">
        <v>94</v>
      </c>
      <c r="G1512" s="9" t="b">
        <v>0</v>
      </c>
      <c r="H1512" s="9" t="s">
        <v>4770</v>
      </c>
      <c r="I1512" s="9">
        <v>1.0</v>
      </c>
      <c r="J1512" s="9">
        <v>0.0</v>
      </c>
      <c r="K1512" s="9">
        <v>2.0</v>
      </c>
    </row>
    <row r="1513">
      <c r="A1513" s="7" t="s">
        <v>4771</v>
      </c>
      <c r="B1513" s="13" t="s">
        <v>1187</v>
      </c>
      <c r="C1513" s="14" t="s">
        <v>169</v>
      </c>
      <c r="D1513" s="14" t="s">
        <v>270</v>
      </c>
      <c r="E1513" s="14" t="s">
        <v>4772</v>
      </c>
      <c r="F1513" s="9" t="s">
        <v>94</v>
      </c>
      <c r="G1513" s="9" t="b">
        <v>0</v>
      </c>
      <c r="H1513" s="9" t="s">
        <v>1568</v>
      </c>
      <c r="I1513" s="9">
        <v>1.0</v>
      </c>
      <c r="J1513" s="9">
        <v>0.0</v>
      </c>
      <c r="K1513" s="9">
        <v>2.0</v>
      </c>
    </row>
    <row r="1514">
      <c r="A1514" s="7" t="s">
        <v>4773</v>
      </c>
      <c r="B1514" s="13" t="s">
        <v>1412</v>
      </c>
      <c r="C1514" s="14" t="s">
        <v>309</v>
      </c>
      <c r="D1514" s="14" t="s">
        <v>35</v>
      </c>
      <c r="E1514" s="14" t="s">
        <v>4774</v>
      </c>
      <c r="F1514" s="9" t="s">
        <v>311</v>
      </c>
      <c r="G1514" s="9" t="b">
        <v>0</v>
      </c>
      <c r="H1514" s="9" t="s">
        <v>788</v>
      </c>
      <c r="I1514" s="9">
        <v>1.0</v>
      </c>
      <c r="J1514" s="9">
        <v>0.0</v>
      </c>
      <c r="K1514" s="9">
        <v>1.0</v>
      </c>
    </row>
    <row r="1515">
      <c r="A1515" s="7" t="s">
        <v>4775</v>
      </c>
      <c r="B1515" s="13" t="s">
        <v>1412</v>
      </c>
      <c r="C1515" s="14" t="s">
        <v>144</v>
      </c>
      <c r="D1515" s="14" t="s">
        <v>35</v>
      </c>
      <c r="E1515" s="14" t="s">
        <v>4776</v>
      </c>
      <c r="F1515" s="9" t="s">
        <v>147</v>
      </c>
      <c r="G1515" s="9" t="b">
        <v>0</v>
      </c>
      <c r="H1515" s="9" t="s">
        <v>788</v>
      </c>
      <c r="I1515" s="9">
        <v>1.0</v>
      </c>
      <c r="J1515" s="9">
        <v>0.0</v>
      </c>
      <c r="K1515" s="9">
        <v>1.0</v>
      </c>
    </row>
    <row r="1516">
      <c r="A1516" s="7" t="s">
        <v>4777</v>
      </c>
      <c r="B1516" s="13" t="s">
        <v>2456</v>
      </c>
      <c r="C1516" s="14" t="s">
        <v>1203</v>
      </c>
      <c r="D1516" s="14" t="s">
        <v>46</v>
      </c>
      <c r="E1516" s="14" t="s">
        <v>4778</v>
      </c>
      <c r="F1516" s="9" t="s">
        <v>1205</v>
      </c>
      <c r="G1516" s="9" t="b">
        <v>0</v>
      </c>
      <c r="H1516" s="9" t="s">
        <v>340</v>
      </c>
      <c r="I1516" s="9">
        <v>1.0</v>
      </c>
      <c r="J1516" s="9">
        <v>0.0</v>
      </c>
      <c r="K1516" s="9">
        <v>2.0</v>
      </c>
    </row>
    <row r="1517">
      <c r="A1517" s="7" t="s">
        <v>4779</v>
      </c>
      <c r="B1517" s="13" t="s">
        <v>2460</v>
      </c>
      <c r="C1517" s="14" t="s">
        <v>144</v>
      </c>
      <c r="D1517" s="14" t="s">
        <v>62</v>
      </c>
      <c r="E1517" s="14" t="s">
        <v>4780</v>
      </c>
      <c r="F1517" s="9" t="s">
        <v>147</v>
      </c>
      <c r="G1517" s="9" t="b">
        <v>0</v>
      </c>
      <c r="H1517" s="9" t="s">
        <v>4781</v>
      </c>
      <c r="I1517" s="9">
        <v>1.0</v>
      </c>
      <c r="J1517" s="9">
        <v>0.0</v>
      </c>
      <c r="K1517" s="9">
        <v>1.0</v>
      </c>
    </row>
    <row r="1518">
      <c r="A1518" s="7" t="s">
        <v>4782</v>
      </c>
      <c r="B1518" s="13" t="s">
        <v>2465</v>
      </c>
      <c r="C1518" s="14" t="s">
        <v>169</v>
      </c>
      <c r="D1518" s="14" t="s">
        <v>46</v>
      </c>
      <c r="E1518" s="15"/>
      <c r="F1518" s="9" t="s">
        <v>94</v>
      </c>
      <c r="H1518" s="9" t="s">
        <v>172</v>
      </c>
      <c r="I1518" s="9">
        <v>1.0</v>
      </c>
      <c r="J1518" s="9">
        <v>0.0</v>
      </c>
      <c r="K1518" s="9">
        <v>1.0</v>
      </c>
    </row>
    <row r="1519">
      <c r="A1519" s="7" t="s">
        <v>4783</v>
      </c>
      <c r="B1519" s="13" t="s">
        <v>1415</v>
      </c>
      <c r="C1519" s="14" t="s">
        <v>144</v>
      </c>
      <c r="D1519" s="14" t="s">
        <v>46</v>
      </c>
      <c r="E1519" s="14" t="s">
        <v>4784</v>
      </c>
      <c r="F1519" s="9" t="s">
        <v>147</v>
      </c>
      <c r="G1519" s="9" t="b">
        <v>0</v>
      </c>
      <c r="H1519" s="9" t="s">
        <v>382</v>
      </c>
      <c r="I1519" s="9">
        <v>1.0</v>
      </c>
      <c r="J1519" s="9">
        <v>0.0</v>
      </c>
      <c r="K1519" s="9">
        <v>1.0</v>
      </c>
    </row>
    <row r="1520">
      <c r="A1520" s="7" t="s">
        <v>4785</v>
      </c>
      <c r="B1520" s="13" t="s">
        <v>1415</v>
      </c>
      <c r="C1520" s="14" t="s">
        <v>144</v>
      </c>
      <c r="D1520" s="14" t="s">
        <v>46</v>
      </c>
      <c r="E1520" s="14" t="s">
        <v>4786</v>
      </c>
      <c r="F1520" s="9" t="s">
        <v>147</v>
      </c>
      <c r="G1520" s="9" t="b">
        <v>0</v>
      </c>
      <c r="H1520" s="9" t="s">
        <v>666</v>
      </c>
      <c r="I1520" s="9">
        <v>1.0</v>
      </c>
      <c r="J1520" s="9">
        <v>0.0</v>
      </c>
      <c r="K1520" s="9">
        <v>1.0</v>
      </c>
    </row>
    <row r="1521">
      <c r="A1521" s="7" t="s">
        <v>4787</v>
      </c>
      <c r="B1521" s="13" t="s">
        <v>1419</v>
      </c>
      <c r="C1521" s="14" t="s">
        <v>169</v>
      </c>
      <c r="D1521" s="14" t="s">
        <v>46</v>
      </c>
      <c r="E1521" s="14" t="s">
        <v>4788</v>
      </c>
      <c r="F1521" s="9" t="s">
        <v>94</v>
      </c>
      <c r="G1521" s="9" t="b">
        <v>0</v>
      </c>
      <c r="I1521" s="9">
        <v>1.0</v>
      </c>
      <c r="J1521" s="9">
        <v>0.0</v>
      </c>
      <c r="K1521" s="9">
        <v>0.0</v>
      </c>
    </row>
    <row r="1522">
      <c r="A1522" s="7" t="s">
        <v>4789</v>
      </c>
      <c r="B1522" s="13" t="s">
        <v>1419</v>
      </c>
      <c r="C1522" s="14" t="s">
        <v>169</v>
      </c>
      <c r="D1522" s="14" t="s">
        <v>46</v>
      </c>
      <c r="E1522" s="14" t="s">
        <v>4790</v>
      </c>
      <c r="F1522" s="9" t="s">
        <v>94</v>
      </c>
      <c r="G1522" s="9" t="b">
        <v>0</v>
      </c>
      <c r="H1522" s="9" t="s">
        <v>460</v>
      </c>
      <c r="I1522" s="9">
        <v>1.0</v>
      </c>
      <c r="J1522" s="9">
        <v>0.0</v>
      </c>
      <c r="K1522" s="9">
        <v>1.0</v>
      </c>
    </row>
    <row r="1523">
      <c r="B1523" s="14"/>
      <c r="C1523" s="14"/>
      <c r="D1523" s="18"/>
      <c r="E1523" s="15"/>
    </row>
    <row r="1524">
      <c r="B1524" s="14"/>
      <c r="C1524" s="14"/>
      <c r="D1524" s="18"/>
      <c r="E1524" s="15"/>
    </row>
    <row r="1525">
      <c r="B1525" s="14"/>
      <c r="C1525" s="14"/>
      <c r="D1525" s="18"/>
      <c r="E1525" s="15"/>
    </row>
    <row r="1526">
      <c r="B1526" s="14"/>
      <c r="C1526" s="14"/>
      <c r="D1526" s="18"/>
      <c r="E1526" s="15"/>
    </row>
    <row r="1527">
      <c r="B1527" s="14"/>
      <c r="C1527" s="14"/>
      <c r="D1527" s="18"/>
      <c r="E1527" s="15"/>
    </row>
    <row r="1528">
      <c r="B1528" s="14"/>
      <c r="C1528" s="14"/>
      <c r="D1528" s="18"/>
      <c r="E1528" s="15"/>
    </row>
    <row r="1529">
      <c r="B1529" s="14"/>
      <c r="C1529" s="14"/>
      <c r="D1529" s="18"/>
      <c r="E1529" s="15"/>
    </row>
    <row r="1530">
      <c r="B1530" s="14"/>
      <c r="C1530" s="14"/>
      <c r="D1530" s="18"/>
      <c r="E1530" s="15"/>
    </row>
    <row r="1531">
      <c r="B1531" s="14"/>
      <c r="C1531" s="14"/>
      <c r="D1531" s="18"/>
      <c r="E1531" s="15"/>
    </row>
    <row r="1532">
      <c r="B1532" s="14"/>
      <c r="C1532" s="14"/>
      <c r="D1532" s="18"/>
      <c r="E1532" s="15"/>
    </row>
    <row r="1533">
      <c r="B1533" s="14"/>
      <c r="C1533" s="14"/>
      <c r="D1533" s="18"/>
      <c r="E1533" s="15"/>
    </row>
    <row r="1534">
      <c r="B1534" s="14"/>
      <c r="C1534" s="14"/>
      <c r="D1534" s="18"/>
      <c r="E1534" s="15"/>
    </row>
    <row r="1535">
      <c r="B1535" s="14"/>
      <c r="C1535" s="14"/>
      <c r="D1535" s="18"/>
      <c r="E1535" s="15"/>
    </row>
    <row r="1536">
      <c r="B1536" s="14"/>
      <c r="C1536" s="14"/>
      <c r="D1536" s="18"/>
      <c r="E1536" s="15"/>
    </row>
    <row r="1537">
      <c r="B1537" s="14"/>
      <c r="C1537" s="14"/>
      <c r="D1537" s="18"/>
      <c r="E1537" s="15"/>
    </row>
    <row r="1538">
      <c r="B1538" s="14"/>
      <c r="C1538" s="14"/>
      <c r="D1538" s="18"/>
      <c r="E1538" s="15"/>
    </row>
    <row r="1539">
      <c r="B1539" s="14"/>
      <c r="C1539" s="14"/>
      <c r="D1539" s="18"/>
      <c r="E1539" s="15"/>
    </row>
    <row r="1540">
      <c r="B1540" s="14"/>
      <c r="C1540" s="14"/>
      <c r="D1540" s="18"/>
      <c r="E1540" s="15"/>
    </row>
    <row r="1541">
      <c r="B1541" s="14"/>
      <c r="C1541" s="14"/>
      <c r="D1541" s="18"/>
      <c r="E1541" s="15"/>
    </row>
    <row r="1542">
      <c r="B1542" s="14"/>
      <c r="C1542" s="14"/>
      <c r="D1542" s="18"/>
      <c r="E1542" s="15"/>
    </row>
    <row r="1543">
      <c r="B1543" s="14"/>
      <c r="C1543" s="14"/>
      <c r="D1543" s="18"/>
      <c r="E1543" s="15"/>
    </row>
    <row r="1544">
      <c r="B1544" s="14"/>
      <c r="C1544" s="14"/>
      <c r="D1544" s="18"/>
      <c r="E1544" s="15"/>
    </row>
    <row r="1545">
      <c r="B1545" s="14"/>
      <c r="C1545" s="14"/>
      <c r="D1545" s="18"/>
      <c r="E1545" s="15"/>
    </row>
    <row r="1546">
      <c r="B1546" s="15"/>
      <c r="C1546" s="14"/>
      <c r="D1546" s="18"/>
      <c r="E1546" s="15"/>
    </row>
    <row r="1547">
      <c r="B1547" s="14"/>
      <c r="C1547" s="14"/>
      <c r="D1547" s="18"/>
      <c r="E1547" s="15"/>
    </row>
    <row r="1548">
      <c r="B1548" s="14"/>
      <c r="C1548" s="14"/>
      <c r="D1548" s="18"/>
      <c r="E1548" s="15"/>
    </row>
    <row r="1549">
      <c r="B1549" s="14"/>
      <c r="C1549" s="14"/>
      <c r="D1549" s="18"/>
      <c r="E1549" s="15"/>
    </row>
    <row r="1550">
      <c r="B1550" s="14"/>
      <c r="C1550" s="14"/>
      <c r="D1550" s="18"/>
      <c r="E1550" s="15"/>
    </row>
    <row r="1551">
      <c r="B1551" s="14"/>
      <c r="C1551" s="14"/>
      <c r="D1551" s="18"/>
      <c r="E1551" s="15"/>
    </row>
    <row r="1552">
      <c r="B1552" s="14"/>
      <c r="C1552" s="14"/>
      <c r="D1552" s="18"/>
      <c r="E1552" s="15"/>
    </row>
    <row r="1553">
      <c r="B1553" s="14"/>
      <c r="C1553" s="14"/>
      <c r="D1553" s="18"/>
      <c r="E1553" s="15"/>
    </row>
    <row r="1554">
      <c r="B1554" s="14"/>
      <c r="C1554" s="14"/>
      <c r="D1554" s="18"/>
      <c r="E1554" s="15"/>
    </row>
    <row r="1555">
      <c r="B1555" s="14"/>
      <c r="C1555" s="14"/>
      <c r="D1555" s="18"/>
      <c r="E1555" s="15"/>
    </row>
    <row r="1556">
      <c r="B1556" s="14"/>
      <c r="C1556" s="14"/>
      <c r="D1556" s="18"/>
      <c r="E1556" s="15"/>
    </row>
    <row r="1557">
      <c r="B1557" s="14"/>
      <c r="C1557" s="14"/>
      <c r="D1557" s="18"/>
      <c r="E1557" s="15"/>
    </row>
    <row r="1558">
      <c r="B1558" s="14"/>
      <c r="C1558" s="14"/>
      <c r="D1558" s="18"/>
      <c r="E1558" s="15"/>
    </row>
    <row r="1559">
      <c r="B1559" s="14"/>
      <c r="C1559" s="14"/>
      <c r="D1559" s="18"/>
      <c r="E1559" s="15"/>
    </row>
    <row r="1560">
      <c r="B1560" s="14"/>
      <c r="C1560" s="14"/>
      <c r="D1560" s="18"/>
      <c r="E1560" s="15"/>
    </row>
    <row r="1561">
      <c r="B1561" s="14"/>
      <c r="C1561" s="14"/>
      <c r="D1561" s="18"/>
      <c r="E1561" s="15"/>
    </row>
    <row r="1562">
      <c r="B1562" s="14"/>
      <c r="C1562" s="14"/>
      <c r="D1562" s="18"/>
      <c r="E1562" s="15"/>
    </row>
    <row r="1563">
      <c r="B1563" s="14"/>
      <c r="C1563" s="14"/>
      <c r="D1563" s="18"/>
      <c r="E1563" s="15"/>
    </row>
    <row r="1564">
      <c r="B1564" s="14"/>
      <c r="C1564" s="14"/>
      <c r="D1564" s="18"/>
      <c r="E1564" s="15"/>
    </row>
    <row r="1565">
      <c r="B1565" s="14"/>
      <c r="C1565" s="14"/>
      <c r="D1565" s="18"/>
      <c r="E1565" s="15"/>
    </row>
    <row r="1566">
      <c r="B1566" s="15"/>
      <c r="C1566" s="14"/>
      <c r="D1566" s="18"/>
      <c r="E1566" s="15"/>
    </row>
    <row r="1567">
      <c r="B1567" s="14"/>
      <c r="C1567" s="14"/>
      <c r="D1567" s="18"/>
      <c r="E1567" s="15"/>
    </row>
    <row r="1568">
      <c r="B1568" s="14"/>
      <c r="C1568" s="14"/>
      <c r="D1568" s="18"/>
      <c r="E1568" s="15"/>
    </row>
    <row r="1569">
      <c r="B1569" s="14"/>
      <c r="C1569" s="14"/>
      <c r="D1569" s="18"/>
      <c r="E1569" s="15"/>
    </row>
    <row r="1570">
      <c r="B1570" s="14"/>
      <c r="C1570" s="14"/>
      <c r="D1570" s="18"/>
      <c r="E1570" s="15"/>
    </row>
    <row r="1571">
      <c r="B1571" s="14"/>
      <c r="C1571" s="14"/>
      <c r="D1571" s="18"/>
      <c r="E1571" s="15"/>
    </row>
    <row r="1572">
      <c r="B1572" s="14"/>
      <c r="C1572" s="14"/>
      <c r="D1572" s="18"/>
      <c r="E1572" s="15"/>
    </row>
    <row r="1573">
      <c r="B1573" s="14"/>
      <c r="C1573" s="14"/>
      <c r="D1573" s="18"/>
      <c r="E1573" s="15"/>
    </row>
    <row r="1574">
      <c r="B1574" s="14"/>
      <c r="C1574" s="14"/>
      <c r="D1574" s="18"/>
      <c r="E1574" s="15"/>
    </row>
    <row r="1575">
      <c r="B1575" s="14"/>
      <c r="C1575" s="14"/>
      <c r="D1575" s="18"/>
      <c r="E1575" s="15"/>
    </row>
    <row r="1576">
      <c r="B1576" s="14"/>
      <c r="C1576" s="14"/>
      <c r="D1576" s="18"/>
      <c r="E1576" s="15"/>
    </row>
    <row r="1577">
      <c r="B1577" s="14"/>
      <c r="C1577" s="14"/>
      <c r="D1577" s="18"/>
      <c r="E1577" s="15"/>
    </row>
    <row r="1578">
      <c r="B1578" s="15"/>
      <c r="C1578" s="14"/>
      <c r="D1578" s="18"/>
      <c r="E1578" s="15"/>
    </row>
    <row r="1579">
      <c r="B1579" s="14"/>
      <c r="C1579" s="14"/>
      <c r="D1579" s="18"/>
      <c r="E1579" s="15"/>
    </row>
    <row r="1580">
      <c r="B1580" s="14"/>
      <c r="C1580" s="14"/>
      <c r="D1580" s="18"/>
      <c r="E1580" s="15"/>
    </row>
    <row r="1581">
      <c r="B1581" s="14"/>
      <c r="C1581" s="14"/>
      <c r="D1581" s="18"/>
      <c r="E1581" s="15"/>
    </row>
    <row r="1582">
      <c r="B1582" s="14"/>
      <c r="C1582" s="14"/>
      <c r="D1582" s="18"/>
      <c r="E1582" s="15"/>
    </row>
    <row r="1583">
      <c r="B1583" s="14"/>
      <c r="C1583" s="14"/>
      <c r="D1583" s="18"/>
      <c r="E1583" s="15"/>
    </row>
    <row r="1584">
      <c r="B1584" s="14"/>
      <c r="C1584" s="14"/>
      <c r="D1584" s="18"/>
      <c r="E1584" s="15"/>
    </row>
    <row r="1585">
      <c r="B1585" s="14"/>
      <c r="C1585" s="14"/>
      <c r="D1585" s="18"/>
      <c r="E1585" s="15"/>
    </row>
    <row r="1586">
      <c r="B1586" s="14"/>
      <c r="C1586" s="14"/>
      <c r="D1586" s="18"/>
      <c r="E1586" s="15"/>
    </row>
    <row r="1587">
      <c r="B1587" s="14"/>
      <c r="C1587" s="14"/>
      <c r="D1587" s="18"/>
      <c r="E1587" s="15"/>
    </row>
    <row r="1588">
      <c r="B1588" s="14"/>
      <c r="C1588" s="14"/>
      <c r="D1588" s="18"/>
      <c r="E1588" s="15"/>
    </row>
    <row r="1589">
      <c r="B1589" s="14"/>
      <c r="C1589" s="14"/>
      <c r="D1589" s="18"/>
      <c r="E1589" s="15"/>
    </row>
    <row r="1590">
      <c r="B1590" s="14"/>
      <c r="C1590" s="14"/>
      <c r="D1590" s="18"/>
      <c r="E1590" s="15"/>
    </row>
    <row r="1591">
      <c r="B1591" s="14"/>
      <c r="C1591" s="14"/>
      <c r="D1591" s="18"/>
      <c r="E1591" s="15"/>
    </row>
    <row r="1592">
      <c r="B1592" s="14"/>
      <c r="C1592" s="14"/>
      <c r="D1592" s="18"/>
      <c r="E1592" s="15"/>
    </row>
    <row r="1593">
      <c r="B1593" s="14"/>
      <c r="C1593" s="14"/>
      <c r="D1593" s="18"/>
      <c r="E1593" s="15"/>
    </row>
    <row r="1594">
      <c r="B1594" s="14"/>
      <c r="C1594" s="14"/>
      <c r="D1594" s="18"/>
      <c r="E1594" s="15"/>
    </row>
    <row r="1595">
      <c r="B1595" s="14"/>
      <c r="C1595" s="14"/>
      <c r="D1595" s="18"/>
      <c r="E1595" s="15"/>
    </row>
    <row r="1596">
      <c r="B1596" s="14"/>
      <c r="C1596" s="14"/>
      <c r="D1596" s="18"/>
      <c r="E1596" s="15"/>
    </row>
    <row r="1597">
      <c r="B1597" s="14"/>
      <c r="C1597" s="14"/>
      <c r="D1597" s="18"/>
      <c r="E1597" s="15"/>
    </row>
    <row r="1598">
      <c r="B1598" s="14"/>
      <c r="C1598" s="14"/>
      <c r="D1598" s="18"/>
      <c r="E1598" s="15"/>
    </row>
    <row r="1599">
      <c r="B1599" s="14"/>
      <c r="C1599" s="14"/>
      <c r="D1599" s="18"/>
      <c r="E1599" s="15"/>
    </row>
    <row r="1600">
      <c r="B1600" s="14"/>
      <c r="C1600" s="14"/>
      <c r="D1600" s="18"/>
      <c r="E1600" s="15"/>
    </row>
    <row r="1601">
      <c r="B1601" s="14"/>
      <c r="C1601" s="14"/>
      <c r="D1601" s="18"/>
      <c r="E1601" s="15"/>
    </row>
    <row r="1602">
      <c r="B1602" s="14"/>
      <c r="C1602" s="14"/>
      <c r="D1602" s="18"/>
      <c r="E1602" s="15"/>
    </row>
    <row r="1603">
      <c r="B1603" s="14"/>
      <c r="C1603" s="14"/>
      <c r="D1603" s="18"/>
      <c r="E1603" s="15"/>
    </row>
    <row r="1604">
      <c r="B1604" s="14"/>
      <c r="C1604" s="14"/>
      <c r="D1604" s="18"/>
      <c r="E1604" s="15"/>
    </row>
    <row r="1605">
      <c r="B1605" s="14"/>
      <c r="C1605" s="14"/>
      <c r="D1605" s="18"/>
      <c r="E1605" s="15"/>
    </row>
    <row r="1606">
      <c r="B1606" s="14"/>
      <c r="C1606" s="14"/>
      <c r="D1606" s="18"/>
      <c r="E1606" s="15"/>
    </row>
    <row r="1607">
      <c r="B1607" s="14"/>
      <c r="C1607" s="14"/>
      <c r="D1607" s="18"/>
      <c r="E1607" s="15"/>
    </row>
    <row r="1608">
      <c r="B1608" s="14"/>
      <c r="C1608" s="14"/>
      <c r="D1608" s="18"/>
      <c r="E1608" s="15"/>
    </row>
    <row r="1609">
      <c r="B1609" s="14"/>
      <c r="C1609" s="14"/>
      <c r="D1609" s="18"/>
      <c r="E1609" s="15"/>
    </row>
    <row r="1610">
      <c r="B1610" s="15"/>
      <c r="C1610" s="14"/>
      <c r="D1610" s="18"/>
      <c r="E1610" s="15"/>
    </row>
    <row r="1611">
      <c r="B1611" s="14"/>
      <c r="C1611" s="14"/>
      <c r="D1611" s="18"/>
      <c r="E1611" s="15"/>
    </row>
    <row r="1612">
      <c r="B1612" s="14"/>
      <c r="C1612" s="14"/>
      <c r="D1612" s="18"/>
      <c r="E1612" s="15"/>
    </row>
    <row r="1613">
      <c r="B1613" s="14"/>
      <c r="C1613" s="14"/>
      <c r="D1613" s="18"/>
      <c r="E1613" s="15"/>
    </row>
    <row r="1614">
      <c r="B1614" s="14"/>
      <c r="C1614" s="14"/>
      <c r="D1614" s="18"/>
      <c r="E1614" s="15"/>
    </row>
    <row r="1615">
      <c r="B1615" s="14"/>
      <c r="C1615" s="14"/>
      <c r="D1615" s="18"/>
      <c r="E1615" s="15"/>
    </row>
    <row r="1616">
      <c r="B1616" s="14"/>
      <c r="C1616" s="14"/>
      <c r="D1616" s="18"/>
      <c r="E1616" s="15"/>
    </row>
    <row r="1617">
      <c r="B1617" s="14"/>
      <c r="C1617" s="14"/>
      <c r="D1617" s="18"/>
      <c r="E1617" s="15"/>
    </row>
    <row r="1618">
      <c r="B1618" s="15"/>
      <c r="C1618" s="14"/>
      <c r="D1618" s="18"/>
      <c r="E1618" s="15"/>
    </row>
    <row r="1619">
      <c r="B1619" s="14"/>
      <c r="C1619" s="14"/>
      <c r="D1619" s="18"/>
      <c r="E1619" s="15"/>
    </row>
    <row r="1620">
      <c r="B1620" s="14"/>
      <c r="C1620" s="14"/>
      <c r="D1620" s="18"/>
      <c r="E1620" s="15"/>
    </row>
    <row r="1621">
      <c r="B1621" s="14"/>
      <c r="C1621" s="14"/>
      <c r="D1621" s="18"/>
      <c r="E1621" s="15"/>
    </row>
    <row r="1622">
      <c r="B1622" s="14"/>
      <c r="C1622" s="14"/>
      <c r="D1622" s="18"/>
      <c r="E1622" s="15"/>
    </row>
    <row r="1623">
      <c r="B1623" s="14"/>
      <c r="C1623" s="14"/>
      <c r="D1623" s="18"/>
      <c r="E1623" s="15"/>
    </row>
    <row r="1624">
      <c r="B1624" s="14"/>
      <c r="C1624" s="14"/>
      <c r="D1624" s="18"/>
      <c r="E1624" s="15"/>
    </row>
    <row r="1625">
      <c r="B1625" s="14"/>
      <c r="C1625" s="14"/>
      <c r="D1625" s="18"/>
      <c r="E1625" s="15"/>
    </row>
    <row r="1626">
      <c r="B1626" s="14"/>
      <c r="C1626" s="14"/>
      <c r="D1626" s="18"/>
      <c r="E1626" s="15"/>
    </row>
    <row r="1627">
      <c r="B1627" s="14"/>
      <c r="C1627" s="14"/>
      <c r="D1627" s="18"/>
      <c r="E1627" s="15"/>
    </row>
    <row r="1628">
      <c r="B1628" s="14"/>
      <c r="C1628" s="14"/>
      <c r="D1628" s="18"/>
      <c r="E1628" s="15"/>
    </row>
    <row r="1629">
      <c r="B1629" s="14"/>
      <c r="C1629" s="14"/>
      <c r="D1629" s="18"/>
      <c r="E1629" s="15"/>
    </row>
    <row r="1630">
      <c r="B1630" s="14"/>
      <c r="C1630" s="14"/>
      <c r="D1630" s="18"/>
      <c r="E1630" s="15"/>
    </row>
    <row r="1631">
      <c r="B1631" s="14"/>
      <c r="C1631" s="14"/>
      <c r="D1631" s="18"/>
      <c r="E1631" s="15"/>
    </row>
    <row r="1632">
      <c r="B1632" s="14"/>
      <c r="C1632" s="14"/>
      <c r="D1632" s="18"/>
      <c r="E1632" s="15"/>
    </row>
    <row r="1633">
      <c r="B1633" s="14"/>
      <c r="C1633" s="14"/>
      <c r="D1633" s="18"/>
      <c r="E1633" s="15"/>
    </row>
    <row r="1634">
      <c r="B1634" s="14"/>
      <c r="C1634" s="14"/>
      <c r="D1634" s="18"/>
      <c r="E1634" s="15"/>
    </row>
    <row r="1635">
      <c r="B1635" s="14"/>
      <c r="C1635" s="14"/>
      <c r="D1635" s="18"/>
      <c r="E1635" s="15"/>
    </row>
    <row r="1636">
      <c r="B1636" s="14"/>
      <c r="C1636" s="14"/>
      <c r="D1636" s="18"/>
      <c r="E1636" s="15"/>
    </row>
    <row r="1637">
      <c r="B1637" s="14"/>
      <c r="C1637" s="14"/>
      <c r="D1637" s="18"/>
      <c r="E1637" s="15"/>
    </row>
    <row r="1638">
      <c r="B1638" s="14"/>
      <c r="C1638" s="14"/>
      <c r="D1638" s="18"/>
      <c r="E1638" s="15"/>
    </row>
    <row r="1639">
      <c r="B1639" s="14"/>
      <c r="C1639" s="14"/>
      <c r="D1639" s="18"/>
      <c r="E1639" s="15"/>
    </row>
    <row r="1640">
      <c r="B1640" s="14"/>
      <c r="C1640" s="14"/>
      <c r="D1640" s="18"/>
      <c r="E1640" s="15"/>
    </row>
    <row r="1641">
      <c r="B1641" s="14"/>
      <c r="C1641" s="14"/>
      <c r="D1641" s="18"/>
      <c r="E1641" s="15"/>
    </row>
    <row r="1642">
      <c r="B1642" s="14"/>
      <c r="C1642" s="14"/>
      <c r="D1642" s="18"/>
      <c r="E1642" s="15"/>
    </row>
    <row r="1643">
      <c r="B1643" s="14"/>
      <c r="C1643" s="14"/>
      <c r="D1643" s="18"/>
      <c r="E1643" s="15"/>
    </row>
    <row r="1644">
      <c r="B1644" s="14"/>
      <c r="C1644" s="14"/>
      <c r="D1644" s="18"/>
      <c r="E1644" s="15"/>
    </row>
    <row r="1645">
      <c r="B1645" s="14"/>
      <c r="C1645" s="14"/>
      <c r="D1645" s="18"/>
      <c r="E1645" s="15"/>
    </row>
    <row r="1646">
      <c r="B1646" s="14"/>
      <c r="C1646" s="14"/>
      <c r="D1646" s="18"/>
      <c r="E1646" s="15"/>
    </row>
    <row r="1647">
      <c r="B1647" s="14"/>
      <c r="C1647" s="14"/>
      <c r="D1647" s="18"/>
      <c r="E1647" s="15"/>
    </row>
    <row r="1648">
      <c r="B1648" s="14"/>
      <c r="C1648" s="14"/>
      <c r="D1648" s="18"/>
      <c r="E1648" s="15"/>
    </row>
    <row r="1649">
      <c r="B1649" s="14"/>
      <c r="C1649" s="14"/>
      <c r="D1649" s="18"/>
      <c r="E1649" s="15"/>
    </row>
    <row r="1650">
      <c r="B1650" s="14"/>
      <c r="C1650" s="14"/>
      <c r="D1650" s="18"/>
      <c r="E1650" s="15"/>
    </row>
    <row r="1651">
      <c r="B1651" s="14"/>
      <c r="C1651" s="14"/>
      <c r="D1651" s="18"/>
      <c r="E1651" s="15"/>
    </row>
    <row r="1652">
      <c r="B1652" s="14"/>
      <c r="C1652" s="14"/>
      <c r="D1652" s="18"/>
      <c r="E1652" s="15"/>
    </row>
    <row r="1653">
      <c r="B1653" s="14"/>
      <c r="C1653" s="14"/>
      <c r="D1653" s="18"/>
      <c r="E1653" s="15"/>
    </row>
    <row r="1654">
      <c r="B1654" s="14"/>
      <c r="C1654" s="14"/>
      <c r="D1654" s="18"/>
      <c r="E1654" s="15"/>
    </row>
    <row r="1655">
      <c r="B1655" s="14"/>
      <c r="C1655" s="14"/>
      <c r="D1655" s="18"/>
      <c r="E1655" s="15"/>
    </row>
    <row r="1656">
      <c r="B1656" s="14"/>
      <c r="C1656" s="14"/>
      <c r="D1656" s="18"/>
      <c r="E1656" s="15"/>
    </row>
    <row r="1657">
      <c r="B1657" s="14"/>
      <c r="C1657" s="14"/>
      <c r="D1657" s="18"/>
      <c r="E1657" s="15"/>
    </row>
    <row r="1658">
      <c r="B1658" s="14"/>
      <c r="C1658" s="14"/>
      <c r="D1658" s="18"/>
      <c r="E1658" s="15"/>
    </row>
    <row r="1659">
      <c r="B1659" s="14"/>
      <c r="C1659" s="14"/>
      <c r="D1659" s="18"/>
      <c r="E1659" s="15"/>
    </row>
    <row r="1660">
      <c r="B1660" s="14"/>
      <c r="C1660" s="14"/>
      <c r="D1660" s="18"/>
      <c r="E1660" s="15"/>
    </row>
    <row r="1661">
      <c r="B1661" s="14"/>
      <c r="C1661" s="14"/>
      <c r="D1661" s="18"/>
      <c r="E1661" s="15"/>
    </row>
    <row r="1662">
      <c r="B1662" s="14"/>
      <c r="C1662" s="14"/>
      <c r="D1662" s="18"/>
      <c r="E1662" s="15"/>
    </row>
    <row r="1663">
      <c r="B1663" s="14"/>
      <c r="C1663" s="14"/>
      <c r="D1663" s="18"/>
      <c r="E1663" s="15"/>
    </row>
    <row r="1664">
      <c r="B1664" s="14"/>
      <c r="C1664" s="14"/>
      <c r="D1664" s="18"/>
      <c r="E1664" s="15"/>
    </row>
    <row r="1665">
      <c r="B1665" s="15"/>
      <c r="C1665" s="15"/>
      <c r="D1665" s="18"/>
      <c r="E1665" s="15"/>
    </row>
    <row r="1666">
      <c r="B1666" s="15"/>
      <c r="C1666" s="15"/>
      <c r="D1666" s="18"/>
      <c r="E1666" s="15"/>
    </row>
    <row r="1667">
      <c r="B1667" s="15"/>
      <c r="C1667" s="15"/>
      <c r="D1667" s="18"/>
      <c r="E1667" s="15"/>
    </row>
    <row r="1668">
      <c r="B1668" s="15"/>
      <c r="C1668" s="15"/>
      <c r="D1668" s="18"/>
      <c r="E1668" s="15"/>
    </row>
    <row r="1669">
      <c r="B1669" s="15"/>
      <c r="C1669" s="15"/>
      <c r="D1669" s="18"/>
      <c r="E1669" s="15"/>
    </row>
    <row r="1670">
      <c r="B1670" s="15"/>
      <c r="C1670" s="15"/>
      <c r="D1670" s="18"/>
      <c r="E1670" s="15"/>
    </row>
    <row r="1671">
      <c r="B1671" s="15"/>
      <c r="C1671" s="15"/>
      <c r="D1671" s="18"/>
      <c r="E1671" s="15"/>
    </row>
    <row r="1672">
      <c r="B1672" s="15"/>
      <c r="C1672" s="15"/>
      <c r="D1672" s="18"/>
      <c r="E1672" s="15"/>
    </row>
    <row r="1673">
      <c r="B1673" s="15"/>
      <c r="C1673" s="15"/>
      <c r="D1673" s="18"/>
      <c r="E1673" s="15"/>
    </row>
    <row r="1674">
      <c r="B1674" s="15"/>
      <c r="C1674" s="15"/>
      <c r="D1674" s="18"/>
      <c r="E1674" s="15"/>
    </row>
    <row r="1675">
      <c r="B1675" s="15"/>
      <c r="C1675" s="15"/>
      <c r="D1675" s="18"/>
      <c r="E1675" s="15"/>
    </row>
    <row r="1676">
      <c r="B1676" s="15"/>
      <c r="C1676" s="15"/>
      <c r="D1676" s="18"/>
      <c r="E1676" s="15"/>
    </row>
    <row r="1677">
      <c r="B1677" s="15"/>
      <c r="C1677" s="15"/>
      <c r="D1677" s="18"/>
      <c r="E1677" s="15"/>
    </row>
    <row r="1678">
      <c r="B1678" s="15"/>
      <c r="C1678" s="15"/>
      <c r="D1678" s="18"/>
      <c r="E1678" s="15"/>
    </row>
    <row r="1679">
      <c r="B1679" s="15"/>
      <c r="C1679" s="15"/>
      <c r="D1679" s="18"/>
      <c r="E1679" s="15"/>
    </row>
    <row r="1680">
      <c r="B1680" s="15"/>
      <c r="C1680" s="15"/>
      <c r="D1680" s="18"/>
      <c r="E1680" s="15"/>
    </row>
    <row r="1681">
      <c r="B1681" s="15"/>
      <c r="C1681" s="15"/>
      <c r="D1681" s="18"/>
      <c r="E1681" s="15"/>
    </row>
    <row r="1682">
      <c r="B1682" s="15"/>
      <c r="C1682" s="15"/>
      <c r="D1682" s="18"/>
      <c r="E1682" s="15"/>
    </row>
    <row r="1683">
      <c r="B1683" s="15"/>
      <c r="C1683" s="15"/>
      <c r="D1683" s="18"/>
      <c r="E1683" s="15"/>
    </row>
    <row r="1684">
      <c r="B1684" s="15"/>
      <c r="C1684" s="15"/>
      <c r="D1684" s="18"/>
      <c r="E1684" s="15"/>
    </row>
    <row r="1685">
      <c r="B1685" s="15"/>
      <c r="C1685" s="15"/>
      <c r="D1685" s="18"/>
      <c r="E1685" s="15"/>
    </row>
    <row r="1686">
      <c r="B1686" s="15"/>
      <c r="C1686" s="15"/>
      <c r="D1686" s="18"/>
      <c r="E1686" s="15"/>
    </row>
    <row r="1687">
      <c r="B1687" s="15"/>
      <c r="C1687" s="15"/>
      <c r="D1687" s="18"/>
      <c r="E1687" s="15"/>
    </row>
    <row r="1688">
      <c r="B1688" s="15"/>
      <c r="C1688" s="15"/>
      <c r="D1688" s="18"/>
      <c r="E1688" s="15"/>
    </row>
    <row r="1689">
      <c r="B1689" s="15"/>
      <c r="C1689" s="15"/>
      <c r="D1689" s="18"/>
      <c r="E1689" s="15"/>
    </row>
    <row r="1690">
      <c r="B1690" s="15"/>
      <c r="C1690" s="15"/>
      <c r="D1690" s="18"/>
      <c r="E1690" s="15"/>
    </row>
    <row r="1691">
      <c r="B1691" s="15"/>
      <c r="C1691" s="15"/>
      <c r="D1691" s="18"/>
      <c r="E1691" s="15"/>
    </row>
    <row r="1692">
      <c r="B1692" s="15"/>
      <c r="C1692" s="15"/>
      <c r="D1692" s="18"/>
      <c r="E1692" s="15"/>
    </row>
    <row r="1693">
      <c r="B1693" s="15"/>
      <c r="C1693" s="15"/>
      <c r="D1693" s="18"/>
      <c r="E1693" s="15"/>
    </row>
    <row r="1694">
      <c r="B1694" s="15"/>
      <c r="C1694" s="15"/>
      <c r="D1694" s="18"/>
      <c r="E1694" s="15"/>
    </row>
    <row r="1695">
      <c r="B1695" s="15"/>
      <c r="C1695" s="15"/>
      <c r="D1695" s="18"/>
      <c r="E1695" s="15"/>
    </row>
    <row r="1696">
      <c r="B1696" s="15"/>
      <c r="C1696" s="15"/>
      <c r="D1696" s="18"/>
      <c r="E1696" s="15"/>
    </row>
    <row r="1697">
      <c r="B1697" s="15"/>
      <c r="C1697" s="15"/>
      <c r="D1697" s="18"/>
      <c r="E1697" s="15"/>
    </row>
    <row r="1698">
      <c r="B1698" s="15"/>
      <c r="C1698" s="15"/>
      <c r="D1698" s="18"/>
      <c r="E1698" s="15"/>
    </row>
    <row r="1699">
      <c r="B1699" s="15"/>
      <c r="C1699" s="15"/>
      <c r="D1699" s="18"/>
      <c r="E1699" s="15"/>
    </row>
    <row r="1700">
      <c r="B1700" s="15"/>
      <c r="C1700" s="15"/>
      <c r="D1700" s="18"/>
      <c r="E1700" s="15"/>
    </row>
    <row r="1701">
      <c r="B1701" s="15"/>
      <c r="C1701" s="15"/>
      <c r="D1701" s="18"/>
      <c r="E1701" s="15"/>
    </row>
    <row r="1702">
      <c r="B1702" s="15"/>
      <c r="C1702" s="15"/>
      <c r="D1702" s="18"/>
      <c r="E1702" s="15"/>
    </row>
    <row r="1703">
      <c r="B1703" s="15"/>
      <c r="C1703" s="15"/>
      <c r="D1703" s="18"/>
      <c r="E1703" s="15"/>
    </row>
    <row r="1704">
      <c r="B1704" s="15"/>
      <c r="C1704" s="15"/>
      <c r="D1704" s="18"/>
      <c r="E1704" s="15"/>
    </row>
    <row r="1705">
      <c r="B1705" s="15"/>
      <c r="C1705" s="15"/>
      <c r="D1705" s="18"/>
      <c r="E1705" s="15"/>
    </row>
    <row r="1706">
      <c r="B1706" s="15"/>
      <c r="C1706" s="15"/>
      <c r="D1706" s="18"/>
      <c r="E1706" s="15"/>
    </row>
    <row r="1707">
      <c r="B1707" s="15"/>
      <c r="C1707" s="15"/>
      <c r="D1707" s="18"/>
      <c r="E1707" s="15"/>
    </row>
    <row r="1708">
      <c r="B1708" s="15"/>
      <c r="C1708" s="15"/>
      <c r="D1708" s="18"/>
      <c r="E1708" s="15"/>
    </row>
    <row r="1709">
      <c r="B1709" s="15"/>
      <c r="C1709" s="15"/>
      <c r="D1709" s="18"/>
      <c r="E1709" s="15"/>
    </row>
    <row r="1710">
      <c r="B1710" s="15"/>
      <c r="C1710" s="15"/>
      <c r="D1710" s="18"/>
      <c r="E1710" s="15"/>
    </row>
    <row r="1711">
      <c r="B1711" s="15"/>
      <c r="C1711" s="15"/>
      <c r="D1711" s="18"/>
      <c r="E1711" s="15"/>
    </row>
    <row r="1712">
      <c r="B1712" s="15"/>
      <c r="C1712" s="15"/>
      <c r="D1712" s="18"/>
      <c r="E1712" s="15"/>
    </row>
    <row r="1713">
      <c r="B1713" s="15"/>
      <c r="C1713" s="15"/>
      <c r="D1713" s="18"/>
      <c r="E1713" s="15"/>
    </row>
    <row r="1714">
      <c r="B1714" s="15"/>
      <c r="C1714" s="15"/>
      <c r="D1714" s="18"/>
      <c r="E1714" s="15"/>
    </row>
    <row r="1715">
      <c r="B1715" s="15"/>
      <c r="C1715" s="15"/>
      <c r="D1715" s="18"/>
      <c r="E1715" s="15"/>
    </row>
    <row r="1716">
      <c r="B1716" s="15"/>
      <c r="C1716" s="15"/>
      <c r="D1716" s="18"/>
      <c r="E1716" s="15"/>
    </row>
    <row r="1717">
      <c r="B1717" s="15"/>
      <c r="C1717" s="15"/>
      <c r="D1717" s="18"/>
      <c r="E1717" s="15"/>
    </row>
    <row r="1718">
      <c r="B1718" s="15"/>
      <c r="C1718" s="15"/>
      <c r="D1718" s="18"/>
      <c r="E1718" s="15"/>
    </row>
    <row r="1719">
      <c r="B1719" s="15"/>
      <c r="C1719" s="15"/>
      <c r="D1719" s="18"/>
      <c r="E1719" s="15"/>
    </row>
    <row r="1720">
      <c r="B1720" s="15"/>
      <c r="C1720" s="15"/>
      <c r="D1720" s="18"/>
      <c r="E1720" s="15"/>
    </row>
    <row r="1721">
      <c r="B1721" s="15"/>
      <c r="C1721" s="15"/>
      <c r="D1721" s="18"/>
      <c r="E1721" s="15"/>
    </row>
    <row r="1722">
      <c r="B1722" s="15"/>
      <c r="C1722" s="15"/>
      <c r="D1722" s="18"/>
      <c r="E1722" s="15"/>
    </row>
    <row r="1723">
      <c r="B1723" s="15"/>
      <c r="C1723" s="15"/>
      <c r="D1723" s="18"/>
      <c r="E1723" s="15"/>
    </row>
    <row r="1724">
      <c r="B1724" s="15"/>
      <c r="C1724" s="15"/>
      <c r="D1724" s="18"/>
      <c r="E1724" s="15"/>
    </row>
    <row r="1725">
      <c r="B1725" s="15"/>
      <c r="C1725" s="15"/>
      <c r="D1725" s="18"/>
      <c r="E1725" s="15"/>
    </row>
    <row r="1726">
      <c r="B1726" s="15"/>
      <c r="C1726" s="15"/>
      <c r="D1726" s="18"/>
      <c r="E1726" s="15"/>
    </row>
    <row r="1727">
      <c r="B1727" s="15"/>
      <c r="C1727" s="15"/>
      <c r="D1727" s="18"/>
      <c r="E1727" s="15"/>
    </row>
    <row r="1728">
      <c r="B1728" s="15"/>
      <c r="C1728" s="15"/>
      <c r="D1728" s="18"/>
      <c r="E1728" s="15"/>
    </row>
    <row r="1729">
      <c r="B1729" s="15"/>
      <c r="C1729" s="15"/>
      <c r="D1729" s="18"/>
      <c r="E1729" s="15"/>
    </row>
    <row r="1730">
      <c r="B1730" s="15"/>
      <c r="C1730" s="15"/>
      <c r="D1730" s="18"/>
      <c r="E1730" s="15"/>
    </row>
    <row r="1731">
      <c r="B1731" s="15"/>
      <c r="C1731" s="15"/>
      <c r="D1731" s="18"/>
      <c r="E1731" s="15"/>
    </row>
    <row r="1732">
      <c r="B1732" s="15"/>
      <c r="C1732" s="15"/>
      <c r="D1732" s="18"/>
      <c r="E1732" s="15"/>
    </row>
    <row r="1733">
      <c r="B1733" s="15"/>
      <c r="C1733" s="15"/>
      <c r="D1733" s="18"/>
      <c r="E1733" s="15"/>
    </row>
    <row r="1734">
      <c r="B1734" s="15"/>
      <c r="C1734" s="15"/>
      <c r="D1734" s="18"/>
      <c r="E1734" s="15"/>
    </row>
    <row r="1735">
      <c r="B1735" s="15"/>
      <c r="C1735" s="15"/>
      <c r="D1735" s="18"/>
      <c r="E1735" s="15"/>
    </row>
    <row r="1736">
      <c r="B1736" s="15"/>
      <c r="C1736" s="15"/>
      <c r="D1736" s="18"/>
      <c r="E1736" s="15"/>
    </row>
    <row r="1737">
      <c r="B1737" s="15"/>
      <c r="C1737" s="15"/>
      <c r="D1737" s="18"/>
      <c r="E1737" s="15"/>
    </row>
    <row r="1738">
      <c r="B1738" s="15"/>
      <c r="C1738" s="15"/>
      <c r="D1738" s="18"/>
      <c r="E1738" s="15"/>
    </row>
    <row r="1739">
      <c r="B1739" s="15"/>
      <c r="C1739" s="15"/>
      <c r="D1739" s="18"/>
      <c r="E1739" s="15"/>
    </row>
    <row r="1740">
      <c r="B1740" s="15"/>
      <c r="C1740" s="15"/>
      <c r="D1740" s="18"/>
      <c r="E1740" s="15"/>
    </row>
    <row r="1741">
      <c r="B1741" s="15"/>
      <c r="C1741" s="15"/>
      <c r="D1741" s="18"/>
      <c r="E1741" s="15"/>
    </row>
    <row r="1742">
      <c r="B1742" s="15"/>
      <c r="C1742" s="15"/>
      <c r="D1742" s="18"/>
      <c r="E1742" s="15"/>
    </row>
    <row r="1743">
      <c r="B1743" s="15"/>
      <c r="C1743" s="15"/>
      <c r="D1743" s="18"/>
      <c r="E1743" s="15"/>
    </row>
    <row r="1744">
      <c r="B1744" s="15"/>
      <c r="C1744" s="15"/>
      <c r="D1744" s="18"/>
      <c r="E1744" s="15"/>
    </row>
    <row r="1745">
      <c r="B1745" s="15"/>
      <c r="C1745" s="15"/>
      <c r="D1745" s="18"/>
      <c r="E1745" s="15"/>
    </row>
    <row r="1746">
      <c r="B1746" s="15"/>
      <c r="C1746" s="15"/>
      <c r="D1746" s="18"/>
      <c r="E1746" s="15"/>
    </row>
    <row r="1747">
      <c r="B1747" s="15"/>
      <c r="C1747" s="15"/>
      <c r="D1747" s="18"/>
      <c r="E1747" s="15"/>
    </row>
    <row r="1748">
      <c r="B1748" s="15"/>
      <c r="C1748" s="15"/>
      <c r="D1748" s="18"/>
      <c r="E1748" s="15"/>
    </row>
    <row r="1749">
      <c r="B1749" s="15"/>
      <c r="C1749" s="15"/>
      <c r="D1749" s="18"/>
      <c r="E1749" s="15"/>
    </row>
    <row r="1750">
      <c r="B1750" s="15"/>
      <c r="C1750" s="15"/>
      <c r="D1750" s="18"/>
      <c r="E1750" s="15"/>
    </row>
    <row r="1751">
      <c r="B1751" s="15"/>
      <c r="C1751" s="15"/>
      <c r="D1751" s="18"/>
      <c r="E1751" s="15"/>
    </row>
    <row r="1752">
      <c r="B1752" s="15"/>
      <c r="C1752" s="15"/>
      <c r="D1752" s="18"/>
      <c r="E1752" s="15"/>
    </row>
    <row r="1753">
      <c r="B1753" s="15"/>
      <c r="C1753" s="15"/>
      <c r="D1753" s="18"/>
      <c r="E1753" s="15"/>
    </row>
    <row r="1754">
      <c r="B1754" s="15"/>
      <c r="C1754" s="15"/>
      <c r="D1754" s="18"/>
      <c r="E1754" s="15"/>
    </row>
    <row r="1755">
      <c r="B1755" s="15"/>
      <c r="C1755" s="15"/>
      <c r="D1755" s="18"/>
      <c r="E1755" s="15"/>
    </row>
    <row r="1756">
      <c r="B1756" s="15"/>
      <c r="C1756" s="15"/>
      <c r="D1756" s="18"/>
      <c r="E1756" s="15"/>
    </row>
    <row r="1757">
      <c r="B1757" s="15"/>
      <c r="C1757" s="15"/>
      <c r="D1757" s="18"/>
      <c r="E1757" s="15"/>
    </row>
    <row r="1758">
      <c r="B1758" s="15"/>
      <c r="C1758" s="15"/>
      <c r="D1758" s="18"/>
      <c r="E1758" s="15"/>
    </row>
    <row r="1759">
      <c r="B1759" s="15"/>
      <c r="C1759" s="15"/>
      <c r="D1759" s="18"/>
      <c r="E1759" s="15"/>
    </row>
    <row r="1760">
      <c r="B1760" s="15"/>
      <c r="C1760" s="15"/>
      <c r="D1760" s="18"/>
      <c r="E1760" s="15"/>
    </row>
    <row r="1761">
      <c r="B1761" s="15"/>
      <c r="C1761" s="15"/>
      <c r="D1761" s="18"/>
      <c r="E1761" s="15"/>
    </row>
    <row r="1762">
      <c r="B1762" s="15"/>
      <c r="C1762" s="15"/>
      <c r="D1762" s="18"/>
      <c r="E1762" s="15"/>
    </row>
    <row r="1763">
      <c r="B1763" s="15"/>
      <c r="C1763" s="15"/>
      <c r="D1763" s="18"/>
      <c r="E1763" s="15"/>
    </row>
    <row r="1764">
      <c r="B1764" s="15"/>
      <c r="C1764" s="15"/>
      <c r="D1764" s="18"/>
      <c r="E1764" s="15"/>
    </row>
    <row r="1765">
      <c r="B1765" s="15"/>
      <c r="C1765" s="15"/>
      <c r="D1765" s="18"/>
      <c r="E1765" s="15"/>
    </row>
    <row r="1766">
      <c r="B1766" s="15"/>
      <c r="C1766" s="15"/>
      <c r="D1766" s="18"/>
      <c r="E1766" s="15"/>
    </row>
    <row r="1767">
      <c r="B1767" s="15"/>
      <c r="C1767" s="15"/>
      <c r="D1767" s="18"/>
      <c r="E1767" s="15"/>
    </row>
    <row r="1768">
      <c r="B1768" s="15"/>
      <c r="C1768" s="15"/>
      <c r="D1768" s="18"/>
      <c r="E1768" s="15"/>
    </row>
    <row r="1769">
      <c r="B1769" s="15"/>
      <c r="C1769" s="15"/>
      <c r="D1769" s="18"/>
      <c r="E1769" s="15"/>
    </row>
    <row r="1770">
      <c r="B1770" s="15"/>
      <c r="C1770" s="15"/>
      <c r="D1770" s="18"/>
      <c r="E1770" s="15"/>
    </row>
    <row r="1771">
      <c r="B1771" s="15"/>
      <c r="C1771" s="15"/>
      <c r="D1771" s="18"/>
      <c r="E1771" s="15"/>
    </row>
    <row r="1772">
      <c r="B1772" s="15"/>
      <c r="C1772" s="15"/>
      <c r="D1772" s="18"/>
      <c r="E1772" s="15"/>
    </row>
    <row r="1773">
      <c r="B1773" s="15"/>
      <c r="C1773" s="15"/>
      <c r="D1773" s="18"/>
      <c r="E1773" s="15"/>
    </row>
    <row r="1774">
      <c r="B1774" s="15"/>
      <c r="C1774" s="15"/>
      <c r="D1774" s="18"/>
      <c r="E1774" s="15"/>
    </row>
    <row r="1775">
      <c r="B1775" s="15"/>
      <c r="C1775" s="15"/>
      <c r="D1775" s="18"/>
      <c r="E1775" s="15"/>
    </row>
    <row r="1776">
      <c r="B1776" s="15"/>
      <c r="C1776" s="15"/>
      <c r="D1776" s="18"/>
      <c r="E1776" s="15"/>
    </row>
    <row r="1777">
      <c r="B1777" s="15"/>
      <c r="C1777" s="15"/>
      <c r="D1777" s="18"/>
      <c r="E1777" s="15"/>
    </row>
    <row r="1778">
      <c r="B1778" s="15"/>
      <c r="C1778" s="15"/>
      <c r="D1778" s="18"/>
      <c r="E1778" s="15"/>
    </row>
    <row r="1779">
      <c r="B1779" s="15"/>
      <c r="C1779" s="15"/>
      <c r="D1779" s="18"/>
      <c r="E1779" s="15"/>
    </row>
    <row r="1780">
      <c r="B1780" s="15"/>
      <c r="C1780" s="15"/>
      <c r="D1780" s="18"/>
      <c r="E1780" s="15"/>
    </row>
    <row r="1781">
      <c r="B1781" s="15"/>
      <c r="C1781" s="15"/>
      <c r="D1781" s="18"/>
      <c r="E1781" s="15"/>
    </row>
    <row r="1782">
      <c r="B1782" s="15"/>
      <c r="C1782" s="15"/>
      <c r="D1782" s="18"/>
      <c r="E1782" s="15"/>
    </row>
    <row r="1783">
      <c r="B1783" s="15"/>
      <c r="C1783" s="15"/>
      <c r="D1783" s="18"/>
      <c r="E1783" s="15"/>
    </row>
    <row r="1784">
      <c r="B1784" s="15"/>
      <c r="C1784" s="15"/>
      <c r="D1784" s="18"/>
      <c r="E1784" s="15"/>
    </row>
    <row r="1785">
      <c r="B1785" s="15"/>
      <c r="C1785" s="15"/>
      <c r="D1785" s="18"/>
      <c r="E1785" s="15"/>
    </row>
    <row r="1786">
      <c r="B1786" s="15"/>
      <c r="C1786" s="15"/>
      <c r="D1786" s="18"/>
      <c r="E1786" s="15"/>
    </row>
    <row r="1787">
      <c r="B1787" s="15"/>
      <c r="C1787" s="15"/>
      <c r="D1787" s="18"/>
      <c r="E1787" s="15"/>
    </row>
    <row r="1788">
      <c r="B1788" s="15"/>
      <c r="C1788" s="15"/>
      <c r="D1788" s="18"/>
      <c r="E1788" s="15"/>
    </row>
    <row r="1789">
      <c r="B1789" s="15"/>
      <c r="C1789" s="15"/>
      <c r="D1789" s="18"/>
      <c r="E1789" s="15"/>
    </row>
    <row r="1790">
      <c r="B1790" s="15"/>
      <c r="C1790" s="15"/>
      <c r="D1790" s="18"/>
      <c r="E1790" s="15"/>
    </row>
    <row r="1791">
      <c r="B1791" s="15"/>
      <c r="C1791" s="15"/>
      <c r="D1791" s="18"/>
      <c r="E1791" s="15"/>
    </row>
    <row r="1792">
      <c r="B1792" s="15"/>
      <c r="C1792" s="15"/>
      <c r="D1792" s="18"/>
      <c r="E1792" s="15"/>
    </row>
    <row r="1793">
      <c r="B1793" s="15"/>
      <c r="C1793" s="15"/>
      <c r="D1793" s="18"/>
      <c r="E1793" s="15"/>
    </row>
    <row r="1794">
      <c r="B1794" s="15"/>
      <c r="C1794" s="15"/>
      <c r="D1794" s="18"/>
      <c r="E1794" s="15"/>
    </row>
    <row r="1795">
      <c r="B1795" s="15"/>
      <c r="C1795" s="15"/>
      <c r="D1795" s="18"/>
      <c r="E1795" s="15"/>
    </row>
    <row r="1796">
      <c r="B1796" s="15"/>
      <c r="C1796" s="15"/>
      <c r="D1796" s="18"/>
      <c r="E1796" s="15"/>
    </row>
    <row r="1797">
      <c r="B1797" s="15"/>
      <c r="C1797" s="15"/>
      <c r="D1797" s="18"/>
      <c r="E1797" s="15"/>
    </row>
    <row r="1798">
      <c r="B1798" s="15"/>
      <c r="C1798" s="15"/>
      <c r="D1798" s="18"/>
      <c r="E1798" s="15"/>
    </row>
    <row r="1799">
      <c r="B1799" s="15"/>
      <c r="C1799" s="15"/>
      <c r="D1799" s="18"/>
      <c r="E1799" s="15"/>
    </row>
    <row r="1800">
      <c r="B1800" s="15"/>
      <c r="C1800" s="15"/>
      <c r="D1800" s="18"/>
      <c r="E1800" s="15"/>
    </row>
    <row r="1801">
      <c r="B1801" s="15"/>
      <c r="C1801" s="15"/>
      <c r="D1801" s="18"/>
      <c r="E1801" s="15"/>
    </row>
    <row r="1802">
      <c r="B1802" s="15"/>
      <c r="C1802" s="15"/>
      <c r="D1802" s="18"/>
      <c r="E1802" s="15"/>
    </row>
    <row r="1803">
      <c r="B1803" s="15"/>
      <c r="C1803" s="15"/>
      <c r="D1803" s="18"/>
      <c r="E1803" s="15"/>
    </row>
    <row r="1804">
      <c r="B1804" s="15"/>
      <c r="C1804" s="15"/>
      <c r="D1804" s="18"/>
      <c r="E1804" s="15"/>
    </row>
    <row r="1805">
      <c r="B1805" s="15"/>
      <c r="C1805" s="15"/>
      <c r="D1805" s="18"/>
      <c r="E1805" s="15"/>
    </row>
    <row r="1806">
      <c r="B1806" s="15"/>
      <c r="C1806" s="15"/>
      <c r="D1806" s="18"/>
      <c r="E1806" s="15"/>
    </row>
    <row r="1807">
      <c r="B1807" s="15"/>
      <c r="C1807" s="15"/>
      <c r="D1807" s="18"/>
      <c r="E1807" s="15"/>
    </row>
    <row r="1808">
      <c r="B1808" s="15"/>
      <c r="C1808" s="15"/>
      <c r="D1808" s="18"/>
      <c r="E1808" s="15"/>
    </row>
    <row r="1809">
      <c r="B1809" s="15"/>
      <c r="C1809" s="15"/>
      <c r="D1809" s="18"/>
      <c r="E1809" s="15"/>
    </row>
    <row r="1810">
      <c r="B1810" s="15"/>
      <c r="C1810" s="15"/>
      <c r="D1810" s="18"/>
      <c r="E1810" s="15"/>
    </row>
    <row r="1811">
      <c r="B1811" s="15"/>
      <c r="C1811" s="15"/>
      <c r="D1811" s="18"/>
      <c r="E1811" s="15"/>
    </row>
    <row r="1812">
      <c r="B1812" s="15"/>
      <c r="C1812" s="15"/>
      <c r="D1812" s="18"/>
      <c r="E1812" s="15"/>
    </row>
    <row r="1813">
      <c r="B1813" s="15"/>
      <c r="C1813" s="15"/>
      <c r="D1813" s="18"/>
      <c r="E1813" s="15"/>
    </row>
    <row r="1814">
      <c r="B1814" s="15"/>
      <c r="C1814" s="15"/>
      <c r="D1814" s="18"/>
      <c r="E1814" s="15"/>
    </row>
    <row r="1815">
      <c r="B1815" s="15"/>
      <c r="C1815" s="15"/>
      <c r="D1815" s="18"/>
      <c r="E1815" s="15"/>
    </row>
    <row r="1816">
      <c r="B1816" s="15"/>
      <c r="C1816" s="15"/>
      <c r="D1816" s="18"/>
      <c r="E1816" s="15"/>
    </row>
    <row r="1817">
      <c r="B1817" s="15"/>
      <c r="C1817" s="15"/>
      <c r="D1817" s="18"/>
      <c r="E1817" s="15"/>
    </row>
    <row r="1818">
      <c r="B1818" s="15"/>
      <c r="C1818" s="15"/>
      <c r="D1818" s="18"/>
      <c r="E1818" s="15"/>
    </row>
    <row r="1819">
      <c r="B1819" s="15"/>
      <c r="C1819" s="15"/>
      <c r="D1819" s="18"/>
      <c r="E1819" s="15"/>
    </row>
    <row r="1820">
      <c r="B1820" s="15"/>
      <c r="C1820" s="15"/>
      <c r="D1820" s="18"/>
      <c r="E1820" s="15"/>
    </row>
    <row r="1821">
      <c r="B1821" s="15"/>
      <c r="C1821" s="15"/>
      <c r="D1821" s="18"/>
      <c r="E1821" s="15"/>
    </row>
    <row r="1822">
      <c r="B1822" s="15"/>
      <c r="C1822" s="15"/>
      <c r="D1822" s="18"/>
      <c r="E1822" s="15"/>
    </row>
    <row r="1823">
      <c r="B1823" s="15"/>
      <c r="C1823" s="15"/>
      <c r="D1823" s="18"/>
      <c r="E1823" s="15"/>
    </row>
    <row r="1824">
      <c r="B1824" s="15"/>
      <c r="C1824" s="15"/>
      <c r="D1824" s="18"/>
      <c r="E1824" s="15"/>
    </row>
    <row r="1825">
      <c r="B1825" s="15"/>
      <c r="C1825" s="15"/>
      <c r="D1825" s="18"/>
      <c r="E1825" s="15"/>
    </row>
    <row r="1826">
      <c r="B1826" s="15"/>
      <c r="C1826" s="15"/>
      <c r="D1826" s="18"/>
      <c r="E1826" s="15"/>
    </row>
    <row r="1827">
      <c r="B1827" s="15"/>
      <c r="C1827" s="15"/>
      <c r="D1827" s="18"/>
      <c r="E1827" s="15"/>
    </row>
    <row r="1828">
      <c r="B1828" s="15"/>
      <c r="C1828" s="15"/>
      <c r="D1828" s="18"/>
      <c r="E1828" s="15"/>
    </row>
    <row r="1829">
      <c r="B1829" s="15"/>
      <c r="C1829" s="15"/>
      <c r="D1829" s="18"/>
      <c r="E1829" s="15"/>
    </row>
    <row r="1830">
      <c r="B1830" s="15"/>
      <c r="C1830" s="15"/>
      <c r="D1830" s="18"/>
      <c r="E1830" s="15"/>
    </row>
    <row r="1831">
      <c r="B1831" s="15"/>
      <c r="C1831" s="15"/>
      <c r="D1831" s="18"/>
      <c r="E1831" s="15"/>
    </row>
    <row r="1832">
      <c r="B1832" s="15"/>
      <c r="C1832" s="15"/>
      <c r="D1832" s="18"/>
      <c r="E1832" s="15"/>
    </row>
    <row r="1833">
      <c r="B1833" s="15"/>
      <c r="C1833" s="15"/>
      <c r="D1833" s="18"/>
      <c r="E1833" s="15"/>
    </row>
    <row r="1834">
      <c r="B1834" s="15"/>
      <c r="C1834" s="15"/>
      <c r="D1834" s="18"/>
      <c r="E1834" s="15"/>
    </row>
    <row r="1835">
      <c r="B1835" s="15"/>
      <c r="C1835" s="15"/>
      <c r="D1835" s="18"/>
      <c r="E1835" s="15"/>
    </row>
    <row r="1836">
      <c r="B1836" s="15"/>
      <c r="C1836" s="15"/>
      <c r="D1836" s="18"/>
      <c r="E1836" s="15"/>
    </row>
    <row r="1837">
      <c r="B1837" s="15"/>
      <c r="C1837" s="15"/>
      <c r="D1837" s="18"/>
      <c r="E1837" s="15"/>
    </row>
    <row r="1838">
      <c r="B1838" s="15"/>
      <c r="C1838" s="15"/>
      <c r="D1838" s="18"/>
      <c r="E1838" s="15"/>
    </row>
    <row r="1839">
      <c r="B1839" s="15"/>
      <c r="C1839" s="15"/>
      <c r="D1839" s="18"/>
      <c r="E1839" s="15"/>
    </row>
    <row r="1840">
      <c r="B1840" s="15"/>
      <c r="C1840" s="15"/>
      <c r="D1840" s="18"/>
      <c r="E1840" s="15"/>
    </row>
    <row r="1841">
      <c r="B1841" s="15"/>
      <c r="C1841" s="15"/>
      <c r="D1841" s="18"/>
      <c r="E1841" s="15"/>
    </row>
    <row r="1842">
      <c r="B1842" s="15"/>
      <c r="C1842" s="15"/>
      <c r="D1842" s="18"/>
      <c r="E1842" s="15"/>
    </row>
    <row r="1843">
      <c r="B1843" s="15"/>
      <c r="C1843" s="15"/>
      <c r="D1843" s="18"/>
      <c r="E1843" s="15"/>
    </row>
    <row r="1844">
      <c r="B1844" s="15"/>
      <c r="C1844" s="15"/>
      <c r="D1844" s="18"/>
      <c r="E1844" s="15"/>
    </row>
    <row r="1845">
      <c r="B1845" s="15"/>
      <c r="C1845" s="15"/>
      <c r="D1845" s="18"/>
      <c r="E1845" s="15"/>
    </row>
    <row r="1846">
      <c r="B1846" s="15"/>
      <c r="C1846" s="15"/>
      <c r="D1846" s="18"/>
      <c r="E1846" s="15"/>
    </row>
    <row r="1847">
      <c r="B1847" s="15"/>
      <c r="C1847" s="15"/>
      <c r="D1847" s="18"/>
      <c r="E1847" s="15"/>
    </row>
    <row r="1848">
      <c r="B1848" s="15"/>
      <c r="C1848" s="15"/>
      <c r="D1848" s="18"/>
      <c r="E1848" s="15"/>
    </row>
    <row r="1849">
      <c r="B1849" s="15"/>
      <c r="C1849" s="15"/>
      <c r="D1849" s="18"/>
      <c r="E1849" s="15"/>
    </row>
    <row r="1850">
      <c r="B1850" s="15"/>
      <c r="C1850" s="15"/>
      <c r="D1850" s="18"/>
      <c r="E1850" s="15"/>
    </row>
    <row r="1851">
      <c r="B1851" s="15"/>
      <c r="C1851" s="15"/>
      <c r="D1851" s="18"/>
      <c r="E1851" s="15"/>
    </row>
    <row r="1852">
      <c r="B1852" s="15"/>
      <c r="C1852" s="15"/>
      <c r="D1852" s="18"/>
      <c r="E1852" s="15"/>
    </row>
    <row r="1853">
      <c r="B1853" s="15"/>
      <c r="C1853" s="15"/>
      <c r="D1853" s="18"/>
      <c r="E1853" s="15"/>
    </row>
    <row r="1854">
      <c r="B1854" s="15"/>
      <c r="C1854" s="15"/>
      <c r="D1854" s="15"/>
      <c r="E1854" s="15"/>
    </row>
    <row r="1855">
      <c r="B1855" s="15"/>
      <c r="C1855" s="15"/>
      <c r="D1855" s="15"/>
      <c r="E1855" s="15"/>
    </row>
    <row r="1856">
      <c r="B1856" s="15"/>
      <c r="C1856" s="15"/>
      <c r="D1856" s="15"/>
      <c r="E1856" s="15"/>
    </row>
    <row r="1857">
      <c r="B1857" s="15"/>
      <c r="C1857" s="15"/>
      <c r="D1857" s="15"/>
      <c r="E1857" s="15"/>
    </row>
    <row r="1858">
      <c r="B1858" s="15"/>
      <c r="C1858" s="15"/>
      <c r="D1858" s="15"/>
      <c r="E1858" s="15"/>
    </row>
    <row r="1859">
      <c r="B1859" s="15"/>
      <c r="C1859" s="15"/>
      <c r="D1859" s="15"/>
      <c r="E1859" s="15"/>
    </row>
    <row r="1860">
      <c r="B1860" s="15"/>
      <c r="C1860" s="15"/>
      <c r="D1860" s="15"/>
      <c r="E1860" s="15"/>
    </row>
    <row r="1861">
      <c r="B1861" s="15"/>
      <c r="C1861" s="15"/>
      <c r="D1861" s="15"/>
      <c r="E1861" s="15"/>
    </row>
    <row r="1862">
      <c r="B1862" s="15"/>
      <c r="C1862" s="15"/>
      <c r="D1862" s="15"/>
      <c r="E1862" s="15"/>
    </row>
    <row r="1863">
      <c r="B1863" s="15"/>
      <c r="C1863" s="15"/>
      <c r="D1863" s="15"/>
      <c r="E1863" s="15"/>
    </row>
    <row r="1864">
      <c r="B1864" s="15"/>
      <c r="C1864" s="15"/>
      <c r="D1864" s="15"/>
      <c r="E1864" s="15"/>
    </row>
    <row r="1865">
      <c r="B1865" s="15"/>
      <c r="C1865" s="15"/>
      <c r="D1865" s="15"/>
      <c r="E1865" s="15"/>
    </row>
    <row r="1866">
      <c r="B1866" s="15"/>
      <c r="C1866" s="15"/>
      <c r="D1866" s="15"/>
      <c r="E1866" s="15"/>
    </row>
    <row r="1867">
      <c r="B1867" s="15"/>
      <c r="C1867" s="15"/>
      <c r="D1867" s="15"/>
      <c r="E1867" s="15"/>
    </row>
    <row r="1868">
      <c r="B1868" s="15"/>
      <c r="C1868" s="15"/>
      <c r="D1868" s="15"/>
      <c r="E1868" s="15"/>
    </row>
    <row r="1869">
      <c r="B1869" s="15"/>
      <c r="C1869" s="15"/>
      <c r="D1869" s="15"/>
      <c r="E1869" s="15"/>
    </row>
    <row r="1870">
      <c r="B1870" s="15"/>
      <c r="C1870" s="15"/>
      <c r="D1870" s="15"/>
      <c r="E1870" s="15"/>
    </row>
    <row r="1871">
      <c r="B1871" s="15"/>
      <c r="C1871" s="15"/>
      <c r="D1871" s="15"/>
      <c r="E1871" s="15"/>
    </row>
    <row r="1872">
      <c r="B1872" s="15"/>
      <c r="C1872" s="15"/>
      <c r="D1872" s="15"/>
      <c r="E1872" s="15"/>
    </row>
    <row r="1873">
      <c r="B1873" s="15"/>
      <c r="C1873" s="15"/>
      <c r="D1873" s="15"/>
      <c r="E1873" s="15"/>
    </row>
    <row r="1874">
      <c r="B1874" s="15"/>
      <c r="C1874" s="15"/>
      <c r="D1874" s="15"/>
      <c r="E1874" s="15"/>
    </row>
    <row r="1875">
      <c r="B1875" s="15"/>
      <c r="C1875" s="15"/>
      <c r="D1875" s="15"/>
      <c r="E1875" s="15"/>
    </row>
    <row r="1876">
      <c r="B1876" s="15"/>
      <c r="C1876" s="15"/>
      <c r="D1876" s="15"/>
      <c r="E1876" s="15"/>
    </row>
    <row r="1877">
      <c r="B1877" s="15"/>
      <c r="C1877" s="15"/>
      <c r="D1877" s="15"/>
      <c r="E1877" s="15"/>
    </row>
    <row r="1878">
      <c r="B1878" s="15"/>
      <c r="C1878" s="15"/>
      <c r="D1878" s="15"/>
      <c r="E1878" s="15"/>
    </row>
    <row r="1879">
      <c r="B1879" s="15"/>
      <c r="C1879" s="15"/>
      <c r="D1879" s="15"/>
      <c r="E1879" s="15"/>
    </row>
    <row r="1880">
      <c r="B1880" s="15"/>
      <c r="C1880" s="15"/>
      <c r="D1880" s="15"/>
      <c r="E1880" s="15"/>
    </row>
    <row r="1881">
      <c r="B1881" s="15"/>
      <c r="C1881" s="15"/>
      <c r="D1881" s="15"/>
      <c r="E1881" s="15"/>
    </row>
    <row r="1882">
      <c r="B1882" s="15"/>
      <c r="C1882" s="15"/>
      <c r="D1882" s="15"/>
      <c r="E1882" s="15"/>
    </row>
    <row r="1883">
      <c r="B1883" s="15"/>
      <c r="C1883" s="15"/>
      <c r="D1883" s="15"/>
      <c r="E1883" s="15"/>
    </row>
    <row r="1884">
      <c r="B1884" s="15"/>
      <c r="C1884" s="15"/>
      <c r="D1884" s="15"/>
      <c r="E1884" s="15"/>
    </row>
    <row r="1885">
      <c r="B1885" s="15"/>
      <c r="C1885" s="15"/>
      <c r="D1885" s="15"/>
      <c r="E1885" s="15"/>
    </row>
    <row r="1886">
      <c r="B1886" s="15"/>
      <c r="C1886" s="15"/>
      <c r="D1886" s="15"/>
      <c r="E1886" s="15"/>
    </row>
    <row r="1887">
      <c r="B1887" s="15"/>
      <c r="C1887" s="15"/>
      <c r="D1887" s="15"/>
      <c r="E1887" s="15"/>
    </row>
    <row r="1888">
      <c r="B1888" s="15"/>
      <c r="C1888" s="15"/>
      <c r="D1888" s="15"/>
      <c r="E1888" s="15"/>
    </row>
    <row r="1889">
      <c r="B1889" s="15"/>
      <c r="C1889" s="15"/>
      <c r="D1889" s="15"/>
      <c r="E1889" s="15"/>
    </row>
    <row r="1890">
      <c r="B1890" s="15"/>
      <c r="C1890" s="15"/>
      <c r="D1890" s="15"/>
      <c r="E1890" s="15"/>
    </row>
    <row r="1891">
      <c r="B1891" s="15"/>
      <c r="C1891" s="15"/>
      <c r="D1891" s="15"/>
      <c r="E1891" s="15"/>
    </row>
    <row r="1892">
      <c r="B1892" s="15"/>
      <c r="C1892" s="15"/>
      <c r="D1892" s="15"/>
      <c r="E1892" s="15"/>
    </row>
    <row r="1893">
      <c r="B1893" s="15"/>
      <c r="C1893" s="15"/>
      <c r="D1893" s="15"/>
      <c r="E1893" s="15"/>
    </row>
    <row r="1894">
      <c r="B1894" s="15"/>
      <c r="C1894" s="15"/>
      <c r="D1894" s="15"/>
      <c r="E1894" s="15"/>
    </row>
    <row r="1895">
      <c r="B1895" s="15"/>
      <c r="C1895" s="15"/>
      <c r="D1895" s="15"/>
      <c r="E1895" s="15"/>
    </row>
    <row r="1896">
      <c r="B1896" s="15"/>
      <c r="C1896" s="15"/>
      <c r="D1896" s="15"/>
      <c r="E1896" s="15"/>
    </row>
    <row r="1897">
      <c r="B1897" s="15"/>
      <c r="C1897" s="15"/>
      <c r="D1897" s="15"/>
      <c r="E1897" s="15"/>
    </row>
    <row r="1898">
      <c r="B1898" s="15"/>
      <c r="C1898" s="15"/>
      <c r="D1898" s="15"/>
      <c r="E1898" s="15"/>
    </row>
    <row r="1899">
      <c r="B1899" s="15"/>
      <c r="C1899" s="15"/>
      <c r="D1899" s="15"/>
      <c r="E1899" s="15"/>
    </row>
    <row r="1900">
      <c r="B1900" s="15"/>
      <c r="C1900" s="15"/>
      <c r="D1900" s="15"/>
      <c r="E1900" s="15"/>
    </row>
    <row r="1901">
      <c r="B1901" s="15"/>
      <c r="C1901" s="15"/>
      <c r="D1901" s="15"/>
      <c r="E1901" s="15"/>
    </row>
    <row r="1902">
      <c r="B1902" s="15"/>
      <c r="C1902" s="15"/>
      <c r="D1902" s="15"/>
      <c r="E1902" s="15"/>
    </row>
    <row r="1903">
      <c r="B1903" s="15"/>
      <c r="C1903" s="15"/>
      <c r="D1903" s="15"/>
      <c r="E1903" s="15"/>
    </row>
    <row r="1904">
      <c r="B1904" s="15"/>
      <c r="C1904" s="15"/>
      <c r="D1904" s="15"/>
      <c r="E1904" s="15"/>
    </row>
    <row r="1905">
      <c r="B1905" s="15"/>
      <c r="C1905" s="15"/>
      <c r="D1905" s="15"/>
      <c r="E1905" s="15"/>
    </row>
    <row r="1906">
      <c r="B1906" s="15"/>
      <c r="C1906" s="15"/>
      <c r="D1906" s="15"/>
      <c r="E1906" s="15"/>
    </row>
    <row r="1907">
      <c r="B1907" s="15"/>
      <c r="C1907" s="15"/>
      <c r="D1907" s="15"/>
      <c r="E1907" s="15"/>
    </row>
    <row r="1908">
      <c r="B1908" s="15"/>
      <c r="C1908" s="15"/>
      <c r="D1908" s="15"/>
      <c r="E1908" s="15"/>
    </row>
    <row r="1909">
      <c r="B1909" s="15"/>
      <c r="C1909" s="15"/>
      <c r="D1909" s="15"/>
      <c r="E1909" s="15"/>
    </row>
    <row r="1910">
      <c r="B1910" s="15"/>
      <c r="C1910" s="15"/>
      <c r="D1910" s="15"/>
      <c r="E1910" s="15"/>
    </row>
    <row r="1911">
      <c r="B1911" s="15"/>
      <c r="C1911" s="15"/>
      <c r="D1911" s="15"/>
      <c r="E1911" s="15"/>
    </row>
    <row r="1912">
      <c r="B1912" s="15"/>
      <c r="C1912" s="15"/>
      <c r="D1912" s="15"/>
      <c r="E1912" s="15"/>
    </row>
    <row r="1913">
      <c r="B1913" s="15"/>
      <c r="C1913" s="15"/>
      <c r="D1913" s="15"/>
      <c r="E1913" s="15"/>
    </row>
    <row r="1914">
      <c r="B1914" s="15"/>
      <c r="C1914" s="15"/>
      <c r="D1914" s="15"/>
      <c r="E1914" s="15"/>
    </row>
    <row r="1915">
      <c r="B1915" s="15"/>
      <c r="C1915" s="15"/>
      <c r="D1915" s="15"/>
      <c r="E1915" s="15"/>
    </row>
    <row r="1916">
      <c r="B1916" s="15"/>
      <c r="C1916" s="15"/>
      <c r="D1916" s="15"/>
      <c r="E1916" s="15"/>
    </row>
    <row r="1917">
      <c r="B1917" s="15"/>
      <c r="C1917" s="15"/>
      <c r="D1917" s="15"/>
      <c r="E1917" s="15"/>
    </row>
    <row r="1918">
      <c r="B1918" s="15"/>
      <c r="C1918" s="15"/>
      <c r="D1918" s="15"/>
      <c r="E1918" s="15"/>
    </row>
    <row r="1919">
      <c r="B1919" s="15"/>
      <c r="C1919" s="15"/>
      <c r="D1919" s="15"/>
      <c r="E1919" s="15"/>
    </row>
    <row r="1920">
      <c r="B1920" s="15"/>
      <c r="C1920" s="15"/>
      <c r="D1920" s="15"/>
      <c r="E1920" s="15"/>
    </row>
    <row r="1921">
      <c r="B1921" s="15"/>
      <c r="C1921" s="15"/>
      <c r="D1921" s="15"/>
      <c r="E1921" s="15"/>
    </row>
    <row r="1922">
      <c r="B1922" s="15"/>
      <c r="C1922" s="15"/>
      <c r="D1922" s="15"/>
      <c r="E1922" s="15"/>
    </row>
    <row r="1923">
      <c r="B1923" s="15"/>
      <c r="C1923" s="15"/>
      <c r="D1923" s="15"/>
      <c r="E1923" s="15"/>
    </row>
    <row r="1924">
      <c r="B1924" s="15"/>
      <c r="C1924" s="15"/>
      <c r="D1924" s="15"/>
      <c r="E1924" s="15"/>
    </row>
    <row r="1925">
      <c r="B1925" s="15"/>
      <c r="C1925" s="15"/>
      <c r="D1925" s="15"/>
      <c r="E1925" s="15"/>
    </row>
    <row r="1926">
      <c r="B1926" s="15"/>
      <c r="C1926" s="15"/>
      <c r="D1926" s="15"/>
      <c r="E1926" s="15"/>
    </row>
    <row r="1927">
      <c r="B1927" s="15"/>
      <c r="C1927" s="15"/>
      <c r="D1927" s="15"/>
      <c r="E1927" s="15"/>
    </row>
    <row r="1928">
      <c r="B1928" s="15"/>
      <c r="C1928" s="15"/>
      <c r="D1928" s="15"/>
      <c r="E1928" s="15"/>
    </row>
    <row r="1929">
      <c r="B1929" s="15"/>
      <c r="C1929" s="15"/>
      <c r="D1929" s="15"/>
      <c r="E1929" s="15"/>
    </row>
    <row r="1930">
      <c r="B1930" s="15"/>
      <c r="C1930" s="15"/>
      <c r="D1930" s="15"/>
      <c r="E1930" s="15"/>
    </row>
    <row r="1931">
      <c r="B1931" s="15"/>
      <c r="C1931" s="15"/>
      <c r="D1931" s="15"/>
      <c r="E1931" s="15"/>
    </row>
    <row r="1932">
      <c r="B1932" s="15"/>
      <c r="C1932" s="15"/>
      <c r="D1932" s="15"/>
      <c r="E1932" s="15"/>
    </row>
    <row r="1933">
      <c r="B1933" s="15"/>
      <c r="C1933" s="15"/>
      <c r="D1933" s="15"/>
      <c r="E1933" s="15"/>
    </row>
    <row r="1934">
      <c r="B1934" s="15"/>
      <c r="C1934" s="15"/>
      <c r="D1934" s="15"/>
      <c r="E1934" s="15"/>
    </row>
    <row r="1935">
      <c r="B1935" s="15"/>
      <c r="C1935" s="15"/>
      <c r="D1935" s="15"/>
      <c r="E1935" s="15"/>
    </row>
    <row r="1936">
      <c r="B1936" s="15"/>
      <c r="C1936" s="15"/>
      <c r="D1936" s="15"/>
      <c r="E1936" s="15"/>
    </row>
    <row r="1937">
      <c r="B1937" s="15"/>
      <c r="C1937" s="15"/>
      <c r="D1937" s="15"/>
      <c r="E1937" s="15"/>
    </row>
    <row r="1938">
      <c r="B1938" s="15"/>
      <c r="C1938" s="15"/>
      <c r="D1938" s="15"/>
      <c r="E1938" s="15"/>
    </row>
    <row r="1939">
      <c r="B1939" s="15"/>
      <c r="C1939" s="15"/>
      <c r="D1939" s="15"/>
      <c r="E1939" s="15"/>
    </row>
    <row r="1940">
      <c r="B1940" s="15"/>
      <c r="C1940" s="15"/>
      <c r="D1940" s="15"/>
      <c r="E1940" s="15"/>
    </row>
    <row r="1941">
      <c r="B1941" s="15"/>
      <c r="C1941" s="15"/>
      <c r="D1941" s="15"/>
      <c r="E1941" s="15"/>
    </row>
    <row r="1942">
      <c r="B1942" s="15"/>
      <c r="C1942" s="15"/>
      <c r="D1942" s="15"/>
      <c r="E1942" s="15"/>
    </row>
    <row r="1943">
      <c r="B1943" s="15"/>
      <c r="C1943" s="15"/>
      <c r="D1943" s="15"/>
      <c r="E1943" s="15"/>
    </row>
    <row r="1944">
      <c r="B1944" s="15"/>
      <c r="C1944" s="15"/>
      <c r="D1944" s="15"/>
      <c r="E1944" s="15"/>
    </row>
    <row r="1945">
      <c r="B1945" s="15"/>
      <c r="C1945" s="15"/>
      <c r="D1945" s="15"/>
      <c r="E1945" s="15"/>
    </row>
    <row r="1946">
      <c r="B1946" s="15"/>
      <c r="C1946" s="15"/>
      <c r="D1946" s="15"/>
      <c r="E1946" s="15"/>
    </row>
    <row r="1947">
      <c r="B1947" s="15"/>
      <c r="C1947" s="15"/>
      <c r="D1947" s="15"/>
      <c r="E1947" s="15"/>
    </row>
    <row r="1948">
      <c r="B1948" s="15"/>
      <c r="C1948" s="15"/>
      <c r="D1948" s="15"/>
      <c r="E1948" s="15"/>
    </row>
    <row r="1949">
      <c r="B1949" s="15"/>
      <c r="C1949" s="15"/>
      <c r="D1949" s="15"/>
      <c r="E1949" s="15"/>
    </row>
    <row r="1950">
      <c r="B1950" s="15"/>
      <c r="C1950" s="15"/>
      <c r="D1950" s="15"/>
      <c r="E1950" s="15"/>
    </row>
    <row r="1951">
      <c r="B1951" s="15"/>
      <c r="C1951" s="15"/>
      <c r="D1951" s="15"/>
      <c r="E1951" s="15"/>
    </row>
    <row r="1952">
      <c r="B1952" s="15"/>
      <c r="C1952" s="15"/>
      <c r="D1952" s="15"/>
      <c r="E1952" s="15"/>
    </row>
    <row r="1953">
      <c r="B1953" s="15"/>
      <c r="C1953" s="15"/>
      <c r="D1953" s="15"/>
      <c r="E1953" s="15"/>
    </row>
    <row r="1954">
      <c r="B1954" s="15"/>
      <c r="C1954" s="15"/>
      <c r="D1954" s="15"/>
      <c r="E1954" s="15"/>
    </row>
    <row r="1955">
      <c r="B1955" s="15"/>
      <c r="C1955" s="15"/>
      <c r="D1955" s="15"/>
      <c r="E1955" s="15"/>
    </row>
    <row r="1956">
      <c r="B1956" s="15"/>
      <c r="C1956" s="15"/>
      <c r="D1956" s="15"/>
      <c r="E1956" s="15"/>
    </row>
    <row r="1957">
      <c r="B1957" s="15"/>
      <c r="C1957" s="15"/>
      <c r="D1957" s="15"/>
      <c r="E1957" s="15"/>
    </row>
    <row r="1958">
      <c r="B1958" s="15"/>
      <c r="C1958" s="15"/>
      <c r="D1958" s="15"/>
      <c r="E1958" s="15"/>
    </row>
    <row r="1959">
      <c r="B1959" s="15"/>
      <c r="C1959" s="15"/>
      <c r="D1959" s="15"/>
      <c r="E1959" s="15"/>
    </row>
    <row r="1960">
      <c r="B1960" s="15"/>
      <c r="C1960" s="15"/>
      <c r="D1960" s="15"/>
      <c r="E1960" s="15"/>
    </row>
    <row r="1961">
      <c r="B1961" s="15"/>
      <c r="C1961" s="15"/>
      <c r="D1961" s="15"/>
      <c r="E1961" s="15"/>
    </row>
    <row r="1962">
      <c r="B1962" s="15"/>
      <c r="C1962" s="15"/>
      <c r="D1962" s="15"/>
      <c r="E1962" s="15"/>
    </row>
    <row r="1963">
      <c r="B1963" s="15"/>
      <c r="C1963" s="15"/>
      <c r="D1963" s="15"/>
      <c r="E1963" s="15"/>
    </row>
    <row r="1964">
      <c r="B1964" s="15"/>
      <c r="C1964" s="15"/>
      <c r="D1964" s="15"/>
      <c r="E1964" s="15"/>
    </row>
    <row r="1965">
      <c r="B1965" s="15"/>
      <c r="C1965" s="15"/>
      <c r="D1965" s="15"/>
      <c r="E1965" s="15"/>
    </row>
    <row r="1966">
      <c r="B1966" s="15"/>
      <c r="C1966" s="15"/>
      <c r="D1966" s="15"/>
      <c r="E1966" s="15"/>
    </row>
    <row r="1967">
      <c r="B1967" s="15"/>
      <c r="C1967" s="15"/>
      <c r="D1967" s="15"/>
      <c r="E1967" s="15"/>
    </row>
    <row r="1968">
      <c r="B1968" s="15"/>
      <c r="C1968" s="15"/>
      <c r="D1968" s="15"/>
      <c r="E1968" s="15"/>
    </row>
    <row r="1969">
      <c r="B1969" s="15"/>
      <c r="C1969" s="15"/>
      <c r="D1969" s="15"/>
      <c r="E1969" s="15"/>
    </row>
    <row r="1970">
      <c r="B1970" s="15"/>
      <c r="C1970" s="15"/>
      <c r="D1970" s="15"/>
      <c r="E1970" s="15"/>
    </row>
    <row r="1971">
      <c r="B1971" s="15"/>
      <c r="C1971" s="15"/>
      <c r="D1971" s="15"/>
      <c r="E1971" s="15"/>
    </row>
    <row r="1972">
      <c r="B1972" s="15"/>
      <c r="C1972" s="15"/>
      <c r="D1972" s="15"/>
      <c r="E1972" s="15"/>
    </row>
    <row r="1973">
      <c r="B1973" s="15"/>
      <c r="C1973" s="15"/>
      <c r="D1973" s="15"/>
      <c r="E1973" s="15"/>
    </row>
    <row r="1974">
      <c r="B1974" s="15"/>
      <c r="C1974" s="15"/>
      <c r="D1974" s="15"/>
      <c r="E1974" s="15"/>
    </row>
    <row r="1975">
      <c r="B1975" s="15"/>
      <c r="C1975" s="15"/>
      <c r="D1975" s="15"/>
      <c r="E1975" s="15"/>
    </row>
    <row r="1976">
      <c r="B1976" s="15"/>
      <c r="C1976" s="15"/>
      <c r="D1976" s="15"/>
      <c r="E1976" s="15"/>
    </row>
    <row r="1977">
      <c r="B1977" s="15"/>
      <c r="C1977" s="15"/>
      <c r="D1977" s="15"/>
      <c r="E1977" s="15"/>
    </row>
    <row r="1978">
      <c r="B1978" s="15"/>
      <c r="C1978" s="15"/>
      <c r="D1978" s="15"/>
      <c r="E1978" s="15"/>
    </row>
    <row r="1979">
      <c r="B1979" s="15"/>
      <c r="C1979" s="15"/>
      <c r="D1979" s="15"/>
      <c r="E1979" s="15"/>
    </row>
    <row r="1980">
      <c r="B1980" s="15"/>
      <c r="C1980" s="15"/>
      <c r="D1980" s="15"/>
      <c r="E1980" s="15"/>
    </row>
    <row r="1981">
      <c r="B1981" s="15"/>
      <c r="C1981" s="15"/>
      <c r="D1981" s="15"/>
      <c r="E1981" s="15"/>
    </row>
    <row r="1982">
      <c r="B1982" s="15"/>
      <c r="C1982" s="15"/>
      <c r="D1982" s="15"/>
      <c r="E1982" s="15"/>
    </row>
    <row r="1983">
      <c r="B1983" s="15"/>
      <c r="C1983" s="15"/>
      <c r="D1983" s="15"/>
      <c r="E1983" s="15"/>
    </row>
    <row r="1984">
      <c r="B1984" s="15"/>
      <c r="C1984" s="15"/>
      <c r="D1984" s="15"/>
      <c r="E1984" s="15"/>
    </row>
    <row r="1985">
      <c r="B1985" s="15"/>
      <c r="C1985" s="15"/>
      <c r="D1985" s="15"/>
      <c r="E1985" s="15"/>
    </row>
    <row r="1986">
      <c r="B1986" s="15"/>
      <c r="C1986" s="15"/>
      <c r="D1986" s="15"/>
      <c r="E1986" s="15"/>
    </row>
    <row r="1987">
      <c r="B1987" s="15"/>
      <c r="C1987" s="15"/>
      <c r="D1987" s="15"/>
      <c r="E1987" s="15"/>
    </row>
    <row r="1988">
      <c r="B1988" s="15"/>
      <c r="C1988" s="15"/>
      <c r="D1988" s="15"/>
      <c r="E1988" s="15"/>
    </row>
    <row r="1989">
      <c r="B1989" s="15"/>
      <c r="C1989" s="15"/>
      <c r="D1989" s="15"/>
      <c r="E1989" s="15"/>
    </row>
    <row r="1990">
      <c r="B1990" s="15"/>
      <c r="C1990" s="15"/>
      <c r="D1990" s="15"/>
      <c r="E1990" s="15"/>
    </row>
    <row r="1991">
      <c r="B1991" s="15"/>
      <c r="C1991" s="15"/>
      <c r="D1991" s="15"/>
      <c r="E1991" s="15"/>
    </row>
    <row r="1992">
      <c r="B1992" s="15"/>
      <c r="C1992" s="15"/>
      <c r="D1992" s="15"/>
      <c r="E1992" s="15"/>
    </row>
    <row r="1993">
      <c r="B1993" s="15"/>
      <c r="C1993" s="15"/>
      <c r="D1993" s="15"/>
      <c r="E1993" s="15"/>
    </row>
    <row r="1994">
      <c r="B1994" s="15"/>
      <c r="C1994" s="15"/>
      <c r="D1994" s="15"/>
      <c r="E1994" s="15"/>
    </row>
    <row r="1995">
      <c r="B1995" s="15"/>
      <c r="C1995" s="15"/>
      <c r="D1995" s="15"/>
      <c r="E1995" s="15"/>
    </row>
    <row r="1996">
      <c r="B1996" s="15"/>
      <c r="C1996" s="15"/>
      <c r="D1996" s="15"/>
      <c r="E1996" s="15"/>
    </row>
    <row r="1997">
      <c r="B1997" s="15"/>
      <c r="C1997" s="15"/>
      <c r="D1997" s="15"/>
      <c r="E1997" s="15"/>
    </row>
    <row r="1998">
      <c r="B1998" s="15"/>
      <c r="C1998" s="15"/>
      <c r="D1998" s="15"/>
      <c r="E1998" s="15"/>
    </row>
    <row r="1999">
      <c r="B1999" s="15"/>
      <c r="C1999" s="15"/>
      <c r="D1999" s="15"/>
      <c r="E1999" s="15"/>
    </row>
    <row r="2000">
      <c r="B2000" s="15"/>
      <c r="C2000" s="15"/>
      <c r="D2000" s="15"/>
      <c r="E2000" s="15"/>
    </row>
    <row r="2001">
      <c r="B2001" s="15"/>
      <c r="C2001" s="15"/>
      <c r="D2001" s="15"/>
      <c r="E2001" s="15"/>
    </row>
    <row r="2002">
      <c r="B2002" s="15"/>
      <c r="C2002" s="15"/>
      <c r="D2002" s="15"/>
      <c r="E2002" s="15"/>
    </row>
    <row r="2003">
      <c r="B2003" s="15"/>
      <c r="C2003" s="15"/>
      <c r="D2003" s="15"/>
      <c r="E2003" s="15"/>
    </row>
    <row r="2004">
      <c r="B2004" s="15"/>
      <c r="C2004" s="15"/>
      <c r="D2004" s="15"/>
      <c r="E2004" s="15"/>
    </row>
    <row r="2005">
      <c r="B2005" s="15"/>
      <c r="C2005" s="15"/>
      <c r="D2005" s="15"/>
      <c r="E2005" s="15"/>
    </row>
    <row r="2006">
      <c r="B2006" s="15"/>
      <c r="C2006" s="15"/>
      <c r="D2006" s="15"/>
      <c r="E2006" s="15"/>
    </row>
    <row r="2007">
      <c r="B2007" s="15"/>
      <c r="C2007" s="15"/>
      <c r="D2007" s="15"/>
      <c r="E2007" s="15"/>
    </row>
    <row r="2008">
      <c r="B2008" s="15"/>
      <c r="C2008" s="15"/>
      <c r="D2008" s="15"/>
      <c r="E2008" s="15"/>
    </row>
    <row r="2009">
      <c r="B2009" s="15"/>
      <c r="C2009" s="15"/>
      <c r="D2009" s="15"/>
      <c r="E2009" s="15"/>
    </row>
    <row r="2010">
      <c r="B2010" s="15"/>
      <c r="C2010" s="15"/>
      <c r="D2010" s="15"/>
      <c r="E2010" s="15"/>
    </row>
    <row r="2011">
      <c r="B2011" s="15"/>
      <c r="C2011" s="15"/>
      <c r="D2011" s="15"/>
      <c r="E2011" s="15"/>
    </row>
    <row r="2012">
      <c r="B2012" s="15"/>
      <c r="C2012" s="15"/>
      <c r="D2012" s="15"/>
      <c r="E2012" s="15"/>
    </row>
    <row r="2013">
      <c r="B2013" s="15"/>
      <c r="C2013" s="15"/>
      <c r="D2013" s="15"/>
      <c r="E2013" s="15"/>
    </row>
    <row r="2014">
      <c r="B2014" s="15"/>
      <c r="C2014" s="15"/>
      <c r="D2014" s="15"/>
      <c r="E2014" s="15"/>
    </row>
    <row r="2015">
      <c r="B2015" s="15"/>
      <c r="C2015" s="15"/>
      <c r="D2015" s="15"/>
      <c r="E2015" s="15"/>
    </row>
    <row r="2016">
      <c r="B2016" s="15"/>
      <c r="C2016" s="15"/>
      <c r="D2016" s="15"/>
      <c r="E2016" s="15"/>
    </row>
    <row r="2017">
      <c r="B2017" s="15"/>
      <c r="C2017" s="15"/>
      <c r="D2017" s="15"/>
      <c r="E2017" s="15"/>
    </row>
    <row r="2018">
      <c r="B2018" s="15"/>
      <c r="C2018" s="15"/>
      <c r="D2018" s="15"/>
      <c r="E2018" s="15"/>
    </row>
    <row r="2019">
      <c r="B2019" s="15"/>
      <c r="C2019" s="15"/>
      <c r="D2019" s="15"/>
      <c r="E2019" s="15"/>
    </row>
    <row r="2020">
      <c r="B2020" s="15"/>
      <c r="C2020" s="15"/>
      <c r="D2020" s="15"/>
      <c r="E2020" s="15"/>
    </row>
    <row r="2021">
      <c r="B2021" s="15"/>
      <c r="C2021" s="15"/>
      <c r="D2021" s="15"/>
      <c r="E2021" s="15"/>
    </row>
    <row r="2022">
      <c r="B2022" s="15"/>
      <c r="C2022" s="15"/>
      <c r="D2022" s="15"/>
      <c r="E2022" s="15"/>
    </row>
    <row r="2023">
      <c r="B2023" s="15"/>
      <c r="C2023" s="15"/>
      <c r="D2023" s="15"/>
      <c r="E2023" s="15"/>
    </row>
    <row r="2024">
      <c r="B2024" s="15"/>
      <c r="C2024" s="15"/>
      <c r="D2024" s="15"/>
      <c r="E2024" s="15"/>
    </row>
    <row r="2025">
      <c r="B2025" s="15"/>
      <c r="C2025" s="15"/>
      <c r="D2025" s="15"/>
      <c r="E2025" s="15"/>
    </row>
    <row r="2026">
      <c r="B2026" s="15"/>
      <c r="C2026" s="15"/>
      <c r="D2026" s="15"/>
      <c r="E2026" s="15"/>
    </row>
    <row r="2027">
      <c r="B2027" s="15"/>
      <c r="C2027" s="15"/>
      <c r="D2027" s="15"/>
      <c r="E2027" s="15"/>
    </row>
    <row r="2028">
      <c r="B2028" s="15"/>
      <c r="C2028" s="15"/>
      <c r="D2028" s="15"/>
      <c r="E2028" s="15"/>
    </row>
    <row r="2029">
      <c r="B2029" s="15"/>
      <c r="C2029" s="15"/>
      <c r="D2029" s="15"/>
      <c r="E2029" s="15"/>
    </row>
    <row r="2030">
      <c r="B2030" s="15"/>
      <c r="C2030" s="15"/>
      <c r="D2030" s="15"/>
      <c r="E2030" s="15"/>
    </row>
    <row r="2031">
      <c r="B2031" s="15"/>
      <c r="C2031" s="15"/>
      <c r="D2031" s="15"/>
      <c r="E2031" s="15"/>
    </row>
    <row r="2032">
      <c r="B2032" s="15"/>
      <c r="C2032" s="15"/>
      <c r="D2032" s="15"/>
      <c r="E2032" s="15"/>
    </row>
    <row r="2033">
      <c r="B2033" s="15"/>
      <c r="C2033" s="15"/>
      <c r="D2033" s="15"/>
      <c r="E2033" s="15"/>
    </row>
    <row r="2034">
      <c r="B2034" s="15"/>
      <c r="C2034" s="15"/>
      <c r="D2034" s="15"/>
      <c r="E2034" s="15"/>
    </row>
    <row r="2035">
      <c r="B2035" s="15"/>
      <c r="C2035" s="15"/>
      <c r="D2035" s="15"/>
      <c r="E2035" s="15"/>
    </row>
    <row r="2036">
      <c r="B2036" s="15"/>
      <c r="C2036" s="15"/>
      <c r="D2036" s="15"/>
      <c r="E2036" s="15"/>
    </row>
    <row r="2037">
      <c r="B2037" s="15"/>
      <c r="C2037" s="15"/>
      <c r="D2037" s="15"/>
      <c r="E2037" s="15"/>
    </row>
    <row r="2038">
      <c r="B2038" s="15"/>
      <c r="C2038" s="15"/>
      <c r="D2038" s="15"/>
      <c r="E2038" s="15"/>
    </row>
    <row r="2039">
      <c r="B2039" s="15"/>
      <c r="C2039" s="15"/>
      <c r="D2039" s="15"/>
      <c r="E2039" s="15"/>
    </row>
    <row r="2040">
      <c r="B2040" s="15"/>
      <c r="C2040" s="15"/>
      <c r="D2040" s="15"/>
      <c r="E2040" s="15"/>
    </row>
    <row r="2041">
      <c r="B2041" s="15"/>
      <c r="C2041" s="15"/>
      <c r="D2041" s="15"/>
      <c r="E2041" s="15"/>
    </row>
    <row r="2042">
      <c r="B2042" s="15"/>
      <c r="C2042" s="15"/>
      <c r="D2042" s="15"/>
      <c r="E2042" s="15"/>
    </row>
    <row r="2043">
      <c r="B2043" s="15"/>
      <c r="C2043" s="15"/>
      <c r="D2043" s="15"/>
      <c r="E2043" s="15"/>
    </row>
    <row r="2044">
      <c r="B2044" s="15"/>
      <c r="C2044" s="15"/>
      <c r="D2044" s="15"/>
      <c r="E2044" s="15"/>
    </row>
    <row r="2045">
      <c r="B2045" s="15"/>
      <c r="C2045" s="15"/>
      <c r="D2045" s="15"/>
      <c r="E2045" s="15"/>
    </row>
    <row r="2046">
      <c r="B2046" s="15"/>
      <c r="C2046" s="15"/>
      <c r="D2046" s="15"/>
      <c r="E2046" s="15"/>
    </row>
    <row r="2047">
      <c r="B2047" s="15"/>
      <c r="C2047" s="15"/>
      <c r="D2047" s="15"/>
      <c r="E2047" s="15"/>
    </row>
    <row r="2048">
      <c r="B2048" s="15"/>
      <c r="C2048" s="15"/>
      <c r="D2048" s="15"/>
      <c r="E2048" s="15"/>
    </row>
    <row r="2049">
      <c r="B2049" s="15"/>
      <c r="C2049" s="15"/>
      <c r="D2049" s="15"/>
      <c r="E2049" s="15"/>
    </row>
    <row r="2050">
      <c r="B2050" s="15"/>
      <c r="C2050" s="15"/>
      <c r="D2050" s="15"/>
      <c r="E2050" s="15"/>
    </row>
    <row r="2051">
      <c r="B2051" s="15"/>
      <c r="C2051" s="15"/>
      <c r="D2051" s="15"/>
      <c r="E2051" s="15"/>
    </row>
    <row r="2052">
      <c r="B2052" s="15"/>
      <c r="C2052" s="15"/>
      <c r="D2052" s="15"/>
      <c r="E2052" s="15"/>
    </row>
    <row r="2053">
      <c r="B2053" s="15"/>
      <c r="C2053" s="15"/>
      <c r="D2053" s="15"/>
      <c r="E2053" s="15"/>
    </row>
    <row r="2054">
      <c r="B2054" s="15"/>
      <c r="C2054" s="15"/>
      <c r="D2054" s="15"/>
      <c r="E2054" s="15"/>
    </row>
    <row r="2055">
      <c r="B2055" s="15"/>
      <c r="C2055" s="15"/>
      <c r="D2055" s="15"/>
      <c r="E2055" s="15"/>
    </row>
    <row r="2056">
      <c r="B2056" s="15"/>
      <c r="C2056" s="15"/>
      <c r="D2056" s="15"/>
      <c r="E2056" s="15"/>
    </row>
    <row r="2057">
      <c r="B2057" s="15"/>
      <c r="C2057" s="15"/>
      <c r="D2057" s="15"/>
      <c r="E2057" s="15"/>
    </row>
    <row r="2058">
      <c r="B2058" s="15"/>
      <c r="C2058" s="15"/>
      <c r="D2058" s="15"/>
      <c r="E2058" s="15"/>
    </row>
    <row r="2059">
      <c r="B2059" s="15"/>
      <c r="C2059" s="15"/>
      <c r="D2059" s="15"/>
      <c r="E2059" s="15"/>
    </row>
    <row r="2060">
      <c r="B2060" s="15"/>
      <c r="C2060" s="15"/>
      <c r="D2060" s="15"/>
      <c r="E2060" s="15"/>
    </row>
    <row r="2061">
      <c r="B2061" s="15"/>
      <c r="C2061" s="15"/>
      <c r="D2061" s="15"/>
      <c r="E2061" s="15"/>
    </row>
    <row r="2062">
      <c r="B2062" s="15"/>
      <c r="C2062" s="15"/>
      <c r="D2062" s="15"/>
      <c r="E2062" s="15"/>
    </row>
    <row r="2063">
      <c r="B2063" s="15"/>
      <c r="C2063" s="15"/>
      <c r="D2063" s="15"/>
      <c r="E2063" s="15"/>
    </row>
    <row r="2064">
      <c r="B2064" s="15"/>
      <c r="C2064" s="15"/>
      <c r="D2064" s="15"/>
      <c r="E2064" s="15"/>
    </row>
    <row r="2065">
      <c r="B2065" s="15"/>
      <c r="C2065" s="15"/>
      <c r="D2065" s="15"/>
      <c r="E2065" s="15"/>
    </row>
    <row r="2066">
      <c r="B2066" s="15"/>
      <c r="C2066" s="15"/>
      <c r="D2066" s="15"/>
      <c r="E2066" s="15"/>
    </row>
    <row r="2067">
      <c r="B2067" s="15"/>
      <c r="C2067" s="15"/>
      <c r="D2067" s="15"/>
      <c r="E2067" s="15"/>
    </row>
    <row r="2068">
      <c r="B2068" s="15"/>
      <c r="C2068" s="15"/>
      <c r="D2068" s="15"/>
      <c r="E2068" s="15"/>
    </row>
    <row r="2069">
      <c r="B2069" s="15"/>
      <c r="C2069" s="15"/>
      <c r="D2069" s="15"/>
      <c r="E2069" s="15"/>
    </row>
    <row r="2070">
      <c r="B2070" s="15"/>
      <c r="C2070" s="15"/>
      <c r="D2070" s="15"/>
      <c r="E2070" s="15"/>
    </row>
    <row r="2071">
      <c r="B2071" s="15"/>
      <c r="C2071" s="15"/>
      <c r="D2071" s="15"/>
      <c r="E2071" s="15"/>
    </row>
    <row r="2072">
      <c r="B2072" s="15"/>
      <c r="C2072" s="15"/>
      <c r="D2072" s="15"/>
      <c r="E2072" s="15"/>
    </row>
    <row r="2073">
      <c r="B2073" s="15"/>
      <c r="C2073" s="15"/>
      <c r="D2073" s="15"/>
      <c r="E2073" s="15"/>
    </row>
  </sheetData>
  <autoFilter ref="$A$1:$Z$2073"/>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 r:id="rId58" ref="A31"/>
    <hyperlink r:id="rId59" ref="B31"/>
    <hyperlink r:id="rId60" ref="A32"/>
    <hyperlink r:id="rId61" ref="B32"/>
    <hyperlink r:id="rId62" ref="A33"/>
    <hyperlink r:id="rId63" ref="B33"/>
    <hyperlink r:id="rId64" ref="A34"/>
    <hyperlink r:id="rId65" ref="B34"/>
    <hyperlink r:id="rId66" ref="A35"/>
    <hyperlink r:id="rId67" ref="B35"/>
    <hyperlink r:id="rId68" ref="A36"/>
    <hyperlink r:id="rId69" ref="B36"/>
    <hyperlink r:id="rId70" ref="A37"/>
    <hyperlink r:id="rId71" ref="B37"/>
    <hyperlink r:id="rId72" ref="A38"/>
    <hyperlink r:id="rId73" ref="B38"/>
    <hyperlink r:id="rId74" ref="A39"/>
    <hyperlink r:id="rId75" ref="B39"/>
    <hyperlink r:id="rId76" ref="A40"/>
    <hyperlink r:id="rId77" ref="B40"/>
    <hyperlink r:id="rId78" ref="A41"/>
    <hyperlink r:id="rId79" ref="B41"/>
    <hyperlink r:id="rId80" ref="A42"/>
    <hyperlink r:id="rId81" ref="B42"/>
    <hyperlink r:id="rId82" ref="A43"/>
    <hyperlink r:id="rId83" ref="B43"/>
    <hyperlink r:id="rId84" ref="A44"/>
    <hyperlink r:id="rId85" ref="B44"/>
    <hyperlink r:id="rId86" ref="A45"/>
    <hyperlink r:id="rId87" ref="B45"/>
    <hyperlink r:id="rId88" location=":~:text=2.%20Digital%20Gravity%20%E2%80%93%20Best%20for%20Performance,Ads%2C%20Meta%20performance%2C%20and%20landing%20page%20CRO." ref="A46"/>
    <hyperlink r:id="rId89" ref="B46"/>
    <hyperlink r:id="rId90" ref="A47"/>
    <hyperlink r:id="rId91" ref="B47"/>
    <hyperlink r:id="rId92" ref="A48"/>
    <hyperlink r:id="rId93" ref="B48"/>
    <hyperlink r:id="rId94" ref="A49"/>
    <hyperlink r:id="rId95" ref="A50"/>
    <hyperlink r:id="rId96" ref="B50"/>
    <hyperlink r:id="rId97" ref="A51"/>
    <hyperlink r:id="rId98" ref="B51"/>
    <hyperlink r:id="rId99" ref="A52"/>
    <hyperlink r:id="rId100" ref="B52"/>
    <hyperlink r:id="rId101" ref="A53"/>
    <hyperlink r:id="rId102" ref="B53"/>
    <hyperlink r:id="rId103" ref="A54"/>
    <hyperlink r:id="rId104" ref="B54"/>
    <hyperlink r:id="rId105" ref="A55"/>
    <hyperlink r:id="rId106" ref="B55"/>
    <hyperlink r:id="rId107" ref="A56"/>
    <hyperlink r:id="rId108" ref="B56"/>
    <hyperlink r:id="rId109" ref="A57"/>
    <hyperlink r:id="rId110" ref="B57"/>
    <hyperlink r:id="rId111" ref="A58"/>
    <hyperlink r:id="rId112" ref="B58"/>
    <hyperlink r:id="rId113" ref="A59"/>
    <hyperlink r:id="rId114" ref="B59"/>
    <hyperlink r:id="rId115" ref="A60"/>
    <hyperlink r:id="rId116" ref="B60"/>
    <hyperlink r:id="rId117" ref="A61"/>
    <hyperlink r:id="rId118" ref="B61"/>
    <hyperlink r:id="rId119" ref="A62"/>
    <hyperlink r:id="rId120" ref="B62"/>
    <hyperlink r:id="rId121" ref="A63"/>
    <hyperlink r:id="rId122" ref="B63"/>
    <hyperlink r:id="rId123" ref="A64"/>
    <hyperlink r:id="rId124" ref="B64"/>
    <hyperlink r:id="rId125" ref="A65"/>
    <hyperlink r:id="rId126" ref="B65"/>
    <hyperlink r:id="rId127" ref="A66"/>
    <hyperlink r:id="rId128" ref="B66"/>
    <hyperlink r:id="rId129" ref="A67"/>
    <hyperlink r:id="rId130" ref="B67"/>
    <hyperlink r:id="rId131" ref="A68"/>
    <hyperlink r:id="rId132" ref="B68"/>
    <hyperlink r:id="rId133" ref="A69"/>
    <hyperlink r:id="rId134" ref="B69"/>
    <hyperlink r:id="rId135" ref="A70"/>
    <hyperlink r:id="rId136" ref="B70"/>
    <hyperlink r:id="rId137" ref="A71"/>
    <hyperlink r:id="rId138" ref="B71"/>
    <hyperlink r:id="rId139" ref="A72"/>
    <hyperlink r:id="rId140" ref="B72"/>
    <hyperlink r:id="rId141" ref="A73"/>
    <hyperlink r:id="rId142" ref="B73"/>
    <hyperlink r:id="rId143" ref="A74"/>
    <hyperlink r:id="rId144" ref="A75"/>
    <hyperlink r:id="rId145" ref="B75"/>
    <hyperlink r:id="rId146" ref="A76"/>
    <hyperlink r:id="rId147" ref="B76"/>
    <hyperlink r:id="rId148" ref="A77"/>
    <hyperlink r:id="rId149" ref="B77"/>
    <hyperlink r:id="rId150" ref="A78"/>
    <hyperlink r:id="rId151" ref="B78"/>
    <hyperlink r:id="rId152" ref="A79"/>
    <hyperlink r:id="rId153" ref="B79"/>
    <hyperlink r:id="rId154" ref="A80"/>
    <hyperlink r:id="rId155" ref="B80"/>
    <hyperlink r:id="rId156" ref="A81"/>
    <hyperlink r:id="rId157" ref="B81"/>
    <hyperlink r:id="rId158" ref="A82"/>
    <hyperlink r:id="rId159" ref="B82"/>
    <hyperlink r:id="rId160" ref="A83"/>
    <hyperlink r:id="rId161" ref="B83"/>
    <hyperlink r:id="rId162" ref="A84"/>
    <hyperlink r:id="rId163" ref="B84"/>
    <hyperlink r:id="rId164" location=":~:text=That%20Delivers%20Results.%20Award%2Dwinning%20AI%20agency%20in,intelligence.%20Trusted%20by%20enterprises%20across%20the%20region." ref="A85"/>
    <hyperlink r:id="rId165" ref="B85"/>
    <hyperlink r:id="rId166" ref="A86"/>
    <hyperlink r:id="rId167" ref="B86"/>
    <hyperlink r:id="rId168" ref="A87"/>
    <hyperlink r:id="rId169" ref="B87"/>
    <hyperlink r:id="rId170" ref="A88"/>
    <hyperlink r:id="rId171" ref="B88"/>
    <hyperlink r:id="rId172" ref="A89"/>
    <hyperlink r:id="rId173" ref="B89"/>
    <hyperlink r:id="rId174" ref="A90"/>
    <hyperlink r:id="rId175" ref="B90"/>
    <hyperlink r:id="rId176" ref="A91"/>
    <hyperlink r:id="rId177" ref="B91"/>
    <hyperlink r:id="rId178" ref="A92"/>
    <hyperlink r:id="rId179" ref="B92"/>
    <hyperlink r:id="rId180" ref="A93"/>
    <hyperlink r:id="rId181" ref="B93"/>
    <hyperlink r:id="rId182" ref="A94"/>
    <hyperlink r:id="rId183" ref="B94"/>
    <hyperlink r:id="rId184" ref="A95"/>
    <hyperlink r:id="rId185" ref="B95"/>
    <hyperlink r:id="rId186" ref="A96"/>
    <hyperlink r:id="rId187" ref="B96"/>
    <hyperlink r:id="rId188" ref="A97"/>
    <hyperlink r:id="rId189" ref="B97"/>
    <hyperlink r:id="rId190" ref="A98"/>
    <hyperlink r:id="rId191" ref="B98"/>
    <hyperlink r:id="rId192" ref="A99"/>
    <hyperlink r:id="rId193" ref="B99"/>
    <hyperlink r:id="rId194" ref="A100"/>
    <hyperlink r:id="rId195" ref="B100"/>
    <hyperlink r:id="rId196" location=":~:text=They%20combine%20CRM%20strategy%20with%20content%20marketing,managing%20massive%20multi%2Dchannel%20media%20budgets%20across%20borders." ref="A101"/>
    <hyperlink r:id="rId197" ref="B101"/>
    <hyperlink r:id="rId198" ref="A102"/>
    <hyperlink r:id="rId199" ref="B102"/>
    <hyperlink r:id="rId200" ref="A103"/>
    <hyperlink r:id="rId201" ref="B103"/>
    <hyperlink r:id="rId202" ref="A104"/>
    <hyperlink r:id="rId203" ref="B104"/>
    <hyperlink r:id="rId204" ref="A105"/>
    <hyperlink r:id="rId205" ref="B105"/>
    <hyperlink r:id="rId206" ref="A106"/>
    <hyperlink r:id="rId207" ref="B106"/>
    <hyperlink r:id="rId208" ref="A107"/>
    <hyperlink r:id="rId209" ref="B107"/>
    <hyperlink r:id="rId210" ref="A108"/>
    <hyperlink r:id="rId211" ref="B108"/>
    <hyperlink r:id="rId212" ref="A109"/>
    <hyperlink r:id="rId213" ref="B109"/>
    <hyperlink r:id="rId214" ref="A110"/>
    <hyperlink r:id="rId215" ref="B110"/>
    <hyperlink r:id="rId216" ref="A111"/>
    <hyperlink r:id="rId217" ref="B111"/>
    <hyperlink r:id="rId218" ref="A112"/>
    <hyperlink r:id="rId219" ref="B112"/>
    <hyperlink r:id="rId220" location=":~:text=Our%20PPC%20and%20paid%20media%20team%20at,tracking%20accuracy%20in%20a%20post%2DiOS14%20measurement%20environment." ref="A113"/>
    <hyperlink r:id="rId221" ref="B113"/>
    <hyperlink r:id="rId222" ref="A114"/>
    <hyperlink r:id="rId223" ref="B114"/>
    <hyperlink r:id="rId224" ref="A115"/>
    <hyperlink r:id="rId225" ref="B115"/>
    <hyperlink r:id="rId226" ref="A116"/>
    <hyperlink r:id="rId227" ref="B116"/>
    <hyperlink r:id="rId228" ref="A117"/>
    <hyperlink r:id="rId229" ref="B117"/>
    <hyperlink r:id="rId230" ref="A118"/>
    <hyperlink r:id="rId231" ref="B118"/>
    <hyperlink r:id="rId232" ref="A119"/>
    <hyperlink r:id="rId233" ref="B119"/>
    <hyperlink r:id="rId234" ref="A120"/>
    <hyperlink r:id="rId235" ref="B120"/>
    <hyperlink r:id="rId236" ref="A121"/>
    <hyperlink r:id="rId237" ref="B121"/>
    <hyperlink r:id="rId238" ref="A122"/>
    <hyperlink r:id="rId239" ref="B122"/>
    <hyperlink r:id="rId240" ref="A123"/>
    <hyperlink r:id="rId241" ref="B123"/>
    <hyperlink r:id="rId242" ref="A124"/>
    <hyperlink r:id="rId243" ref="B124"/>
    <hyperlink r:id="rId244" ref="A125"/>
    <hyperlink r:id="rId245" ref="B125"/>
    <hyperlink r:id="rId246" ref="A126"/>
    <hyperlink r:id="rId247" ref="B126"/>
    <hyperlink r:id="rId248" ref="A127"/>
    <hyperlink r:id="rId249" ref="B127"/>
    <hyperlink r:id="rId250" ref="A128"/>
    <hyperlink r:id="rId251" ref="B128"/>
    <hyperlink r:id="rId252" ref="A129"/>
    <hyperlink r:id="rId253" ref="B129"/>
    <hyperlink r:id="rId254" ref="A130"/>
    <hyperlink r:id="rId255" ref="B130"/>
    <hyperlink r:id="rId256" ref="A131"/>
    <hyperlink r:id="rId257" ref="B131"/>
    <hyperlink r:id="rId258" ref="A132"/>
    <hyperlink r:id="rId259" ref="B132"/>
    <hyperlink r:id="rId260" ref="A133"/>
    <hyperlink r:id="rId261" ref="B133"/>
    <hyperlink r:id="rId262" ref="A134"/>
    <hyperlink r:id="rId263" ref="A135"/>
    <hyperlink r:id="rId264" ref="B135"/>
    <hyperlink r:id="rId265" ref="A136"/>
    <hyperlink r:id="rId266" ref="B136"/>
    <hyperlink r:id="rId267" ref="A137"/>
    <hyperlink r:id="rId268" ref="B137"/>
    <hyperlink r:id="rId269" ref="A138"/>
    <hyperlink r:id="rId270" ref="B138"/>
    <hyperlink r:id="rId271" location=":~:text=We%20implement%20comprehensive%20schema%20markup%20%E2%80%94%20including,must%20be%20published%20on%20the%20right%20channels." ref="A139"/>
    <hyperlink r:id="rId272" ref="B139"/>
    <hyperlink r:id="rId273" ref="A140"/>
    <hyperlink r:id="rId274" ref="B140"/>
    <hyperlink r:id="rId275" ref="A141"/>
    <hyperlink r:id="rId276" ref="B141"/>
    <hyperlink r:id="rId277" ref="A142"/>
    <hyperlink r:id="rId278" ref="B142"/>
    <hyperlink r:id="rId279" ref="A143"/>
    <hyperlink r:id="rId280" ref="B143"/>
    <hyperlink r:id="rId281" ref="A144"/>
    <hyperlink r:id="rId282" ref="B144"/>
    <hyperlink r:id="rId283" ref="A145"/>
    <hyperlink r:id="rId284" ref="B145"/>
    <hyperlink r:id="rId285" ref="A146"/>
    <hyperlink r:id="rId286" ref="B146"/>
    <hyperlink r:id="rId287" ref="A147"/>
    <hyperlink r:id="rId288" ref="A148"/>
    <hyperlink r:id="rId289" ref="A149"/>
    <hyperlink r:id="rId290" ref="B149"/>
    <hyperlink r:id="rId291" ref="A150"/>
    <hyperlink r:id="rId292" ref="B150"/>
    <hyperlink r:id="rId293" ref="A151"/>
    <hyperlink r:id="rId294" ref="B151"/>
    <hyperlink r:id="rId295" ref="A152"/>
    <hyperlink r:id="rId296" ref="B152"/>
    <hyperlink r:id="rId297" ref="A153"/>
    <hyperlink r:id="rId298" ref="B153"/>
    <hyperlink r:id="rId299" ref="A154"/>
    <hyperlink r:id="rId300" ref="B154"/>
    <hyperlink r:id="rId301" ref="A155"/>
    <hyperlink r:id="rId302" ref="B155"/>
    <hyperlink r:id="rId303" ref="A156"/>
    <hyperlink r:id="rId304" ref="B156"/>
    <hyperlink r:id="rId305" ref="A157"/>
    <hyperlink r:id="rId306" ref="B157"/>
    <hyperlink r:id="rId307" ref="A158"/>
    <hyperlink r:id="rId308" ref="B158"/>
    <hyperlink r:id="rId309" ref="A159"/>
    <hyperlink r:id="rId310" ref="B159"/>
    <hyperlink r:id="rId311" ref="A160"/>
    <hyperlink r:id="rId312" ref="B160"/>
    <hyperlink r:id="rId313" ref="A161"/>
    <hyperlink r:id="rId314" ref="B161"/>
    <hyperlink r:id="rId315" location=":~:text=Digital%20Qube%20%7C%20AI%20%26%20Digital%20Marketing,power%20of%20AI%2C%20digital%20transformation%2C%20and%20exceptional." ref="A162"/>
    <hyperlink r:id="rId316" ref="B162"/>
    <hyperlink r:id="rId317" ref="A163"/>
    <hyperlink r:id="rId318" ref="B163"/>
    <hyperlink r:id="rId319" ref="A164"/>
    <hyperlink r:id="rId320" ref="B164"/>
    <hyperlink r:id="rId321" ref="A165"/>
    <hyperlink r:id="rId322" ref="B165"/>
    <hyperlink r:id="rId323" ref="A166"/>
    <hyperlink r:id="rId324" ref="B166"/>
    <hyperlink r:id="rId325" location=":~:text=This%20makes%20HikeMyTraffic%C2%AE%20a%20reliable%20AI%20digital,AI%20email%20marketing%20helps%20businesses%3A%20Automate%20follow%2Dups." ref="A167"/>
    <hyperlink r:id="rId326" ref="B167"/>
    <hyperlink r:id="rId327" ref="A168"/>
    <hyperlink r:id="rId328" ref="B168"/>
    <hyperlink r:id="rId329" ref="A169"/>
    <hyperlink r:id="rId330" ref="B169"/>
    <hyperlink r:id="rId331" ref="A170"/>
    <hyperlink r:id="rId332" ref="B170"/>
    <hyperlink r:id="rId333" ref="A171"/>
    <hyperlink r:id="rId334" ref="B171"/>
    <hyperlink r:id="rId335" ref="A172"/>
    <hyperlink r:id="rId336" ref="B172"/>
    <hyperlink r:id="rId337" ref="A173"/>
    <hyperlink r:id="rId338" ref="B173"/>
    <hyperlink r:id="rId339" ref="A174"/>
    <hyperlink r:id="rId340" ref="B174"/>
    <hyperlink r:id="rId341" ref="A175"/>
    <hyperlink r:id="rId342" ref="B175"/>
    <hyperlink r:id="rId343" ref="A176"/>
    <hyperlink r:id="rId344" ref="B176"/>
    <hyperlink r:id="rId345" ref="A177"/>
    <hyperlink r:id="rId346" ref="B177"/>
    <hyperlink r:id="rId347" ref="A178"/>
    <hyperlink r:id="rId348" ref="B178"/>
    <hyperlink r:id="rId349" ref="A179"/>
    <hyperlink r:id="rId350" ref="B179"/>
    <hyperlink r:id="rId351" ref="A180"/>
    <hyperlink r:id="rId352" ref="B180"/>
    <hyperlink r:id="rId353" ref="A181"/>
    <hyperlink r:id="rId354" ref="B181"/>
    <hyperlink r:id="rId355" ref="A182"/>
    <hyperlink r:id="rId356" ref="B182"/>
    <hyperlink r:id="rId357" ref="A183"/>
    <hyperlink r:id="rId358" ref="B183"/>
    <hyperlink r:id="rId359" ref="A184"/>
    <hyperlink r:id="rId360" ref="A185"/>
    <hyperlink r:id="rId361" ref="B185"/>
    <hyperlink r:id="rId362" ref="A186"/>
    <hyperlink r:id="rId363" ref="A187"/>
    <hyperlink r:id="rId364" ref="A188"/>
    <hyperlink r:id="rId365" ref="B188"/>
    <hyperlink r:id="rId366" ref="A189"/>
    <hyperlink r:id="rId367" ref="B189"/>
    <hyperlink r:id="rId368" ref="A190"/>
    <hyperlink r:id="rId369" ref="B190"/>
    <hyperlink r:id="rId370" ref="A191"/>
    <hyperlink r:id="rId371" ref="A192"/>
    <hyperlink r:id="rId372" ref="B192"/>
    <hyperlink r:id="rId373" ref="A193"/>
    <hyperlink r:id="rId374" ref="A194"/>
    <hyperlink r:id="rId375" ref="B194"/>
    <hyperlink r:id="rId376" ref="A195"/>
    <hyperlink r:id="rId377" ref="B195"/>
    <hyperlink r:id="rId378" ref="A196"/>
    <hyperlink r:id="rId379" ref="B196"/>
    <hyperlink r:id="rId380" ref="A197"/>
    <hyperlink r:id="rId381" ref="B197"/>
    <hyperlink r:id="rId382" ref="A198"/>
    <hyperlink r:id="rId383" ref="B198"/>
    <hyperlink r:id="rId384" ref="A199"/>
    <hyperlink r:id="rId385" ref="B199"/>
    <hyperlink r:id="rId386" ref="A200"/>
    <hyperlink r:id="rId387" ref="B200"/>
    <hyperlink r:id="rId388" ref="A201"/>
    <hyperlink r:id="rId389" ref="B201"/>
    <hyperlink r:id="rId390" ref="A202"/>
    <hyperlink r:id="rId391" ref="B202"/>
    <hyperlink r:id="rId392" ref="A203"/>
    <hyperlink r:id="rId393" ref="B203"/>
    <hyperlink r:id="rId394" ref="A204"/>
    <hyperlink r:id="rId395" ref="B204"/>
    <hyperlink r:id="rId396" ref="A205"/>
    <hyperlink r:id="rId397" ref="B205"/>
    <hyperlink r:id="rId398" ref="A206"/>
    <hyperlink r:id="rId399" ref="B206"/>
    <hyperlink r:id="rId400" location=":~:text=Digital%20Nexa%20is%20a%20prominent%20digital%20marketing,businesses%20operating%20in%20the%20Middle%20East%20region." ref="A207"/>
    <hyperlink r:id="rId401" ref="B207"/>
    <hyperlink r:id="rId402" ref="A208"/>
    <hyperlink r:id="rId403" ref="B208"/>
    <hyperlink r:id="rId404" ref="A209"/>
    <hyperlink r:id="rId405" ref="B209"/>
    <hyperlink r:id="rId406" ref="A210"/>
    <hyperlink r:id="rId407" ref="B210"/>
    <hyperlink r:id="rId408" ref="A211"/>
    <hyperlink r:id="rId409" ref="B211"/>
    <hyperlink r:id="rId410" ref="A212"/>
    <hyperlink r:id="rId411" ref="A213"/>
    <hyperlink r:id="rId412" ref="B213"/>
    <hyperlink r:id="rId413" ref="A214"/>
    <hyperlink r:id="rId414" ref="B214"/>
    <hyperlink r:id="rId415" ref="A215"/>
    <hyperlink r:id="rId416" ref="B215"/>
    <hyperlink r:id="rId417" ref="A216"/>
    <hyperlink r:id="rId418" ref="B216"/>
    <hyperlink r:id="rId419" ref="A217"/>
    <hyperlink r:id="rId420" ref="B217"/>
    <hyperlink r:id="rId421" ref="A218"/>
    <hyperlink r:id="rId422" ref="A219"/>
    <hyperlink r:id="rId423" ref="B219"/>
    <hyperlink r:id="rId424" ref="A220"/>
    <hyperlink r:id="rId425" ref="B220"/>
    <hyperlink r:id="rId426" ref="A221"/>
    <hyperlink r:id="rId427" ref="B221"/>
    <hyperlink r:id="rId428" ref="A222"/>
    <hyperlink r:id="rId429" ref="B222"/>
    <hyperlink r:id="rId430" ref="A223"/>
    <hyperlink r:id="rId431" ref="B223"/>
    <hyperlink r:id="rId432" ref="A224"/>
    <hyperlink r:id="rId433" ref="B224"/>
    <hyperlink r:id="rId434" ref="A225"/>
    <hyperlink r:id="rId435" ref="B225"/>
    <hyperlink r:id="rId436" ref="A226"/>
    <hyperlink r:id="rId437" ref="B226"/>
    <hyperlink r:id="rId438" ref="A227"/>
    <hyperlink r:id="rId439" ref="B227"/>
    <hyperlink r:id="rId440" ref="A228"/>
    <hyperlink r:id="rId441" ref="B228"/>
    <hyperlink r:id="rId442" ref="A229"/>
    <hyperlink r:id="rId443" ref="B229"/>
    <hyperlink r:id="rId444" ref="A230"/>
    <hyperlink r:id="rId445" ref="B230"/>
    <hyperlink r:id="rId446" ref="A231"/>
    <hyperlink r:id="rId447" ref="B231"/>
    <hyperlink r:id="rId448" ref="A232"/>
    <hyperlink r:id="rId449" ref="B232"/>
    <hyperlink r:id="rId450" ref="A233"/>
    <hyperlink r:id="rId451" ref="B233"/>
    <hyperlink r:id="rId452" ref="A234"/>
    <hyperlink r:id="rId453" ref="B234"/>
    <hyperlink r:id="rId454" ref="A235"/>
    <hyperlink r:id="rId455" ref="B235"/>
    <hyperlink r:id="rId456" ref="A236"/>
    <hyperlink r:id="rId457" ref="B236"/>
    <hyperlink r:id="rId458" ref="A237"/>
    <hyperlink r:id="rId459" ref="B237"/>
    <hyperlink r:id="rId460" ref="A238"/>
    <hyperlink r:id="rId461" ref="B238"/>
    <hyperlink r:id="rId462" ref="A239"/>
    <hyperlink r:id="rId463" ref="B239"/>
    <hyperlink r:id="rId464" ref="A240"/>
    <hyperlink r:id="rId465" ref="B240"/>
    <hyperlink r:id="rId466" ref="A241"/>
    <hyperlink r:id="rId467" ref="B241"/>
    <hyperlink r:id="rId468" location=":~:text=Multi%2Dplatform%20expertise%20across%20Meta%2C%20LinkedIn%2C%20TikTok%2C%20YouTube%2C,Best%20for%20Paid%20Social%20ROAS%20at%20Scale." ref="A242"/>
    <hyperlink r:id="rId469" ref="B242"/>
    <hyperlink r:id="rId470" ref="A243"/>
    <hyperlink r:id="rId471" ref="B243"/>
    <hyperlink r:id="rId472" ref="A244"/>
    <hyperlink r:id="rId473" ref="B244"/>
    <hyperlink r:id="rId474" ref="A245"/>
    <hyperlink r:id="rId475" ref="B245"/>
    <hyperlink r:id="rId476" ref="A246"/>
    <hyperlink r:id="rId477" ref="B246"/>
    <hyperlink r:id="rId478" ref="A247"/>
    <hyperlink r:id="rId479" ref="B247"/>
    <hyperlink r:id="rId480" ref="A248"/>
    <hyperlink r:id="rId481" ref="B248"/>
    <hyperlink r:id="rId482" ref="A249"/>
    <hyperlink r:id="rId483" ref="B249"/>
    <hyperlink r:id="rId484" ref="A250"/>
    <hyperlink r:id="rId485" ref="B250"/>
    <hyperlink r:id="rId486" ref="A251"/>
    <hyperlink r:id="rId487" ref="B251"/>
    <hyperlink r:id="rId488" ref="A252"/>
    <hyperlink r:id="rId489" ref="B252"/>
    <hyperlink r:id="rId490" ref="A253"/>
    <hyperlink r:id="rId491" ref="B253"/>
    <hyperlink r:id="rId492" ref="A254"/>
    <hyperlink r:id="rId493" ref="B254"/>
    <hyperlink r:id="rId494" ref="A255"/>
    <hyperlink r:id="rId495" ref="B255"/>
    <hyperlink r:id="rId496" ref="A256"/>
    <hyperlink r:id="rId497" ref="B256"/>
    <hyperlink r:id="rId498" ref="A257"/>
    <hyperlink r:id="rId499" ref="B257"/>
    <hyperlink r:id="rId500" ref="A258"/>
    <hyperlink r:id="rId501" ref="B258"/>
    <hyperlink r:id="rId502" ref="A259"/>
    <hyperlink r:id="rId503" ref="B259"/>
    <hyperlink r:id="rId504" ref="A260"/>
    <hyperlink r:id="rId505" ref="B260"/>
    <hyperlink r:id="rId506" ref="A261"/>
    <hyperlink r:id="rId507" ref="B261"/>
    <hyperlink r:id="rId508" ref="A262"/>
    <hyperlink r:id="rId509" ref="B262"/>
    <hyperlink r:id="rId510" ref="A263"/>
    <hyperlink r:id="rId511" ref="B263"/>
    <hyperlink r:id="rId512" ref="A264"/>
    <hyperlink r:id="rId513" ref="B264"/>
    <hyperlink r:id="rId514" ref="A265"/>
    <hyperlink r:id="rId515" ref="B265"/>
    <hyperlink r:id="rId516" ref="A266"/>
    <hyperlink r:id="rId517" ref="B266"/>
    <hyperlink r:id="rId518" ref="A267"/>
    <hyperlink r:id="rId519" ref="B267"/>
    <hyperlink r:id="rId520" ref="A268"/>
    <hyperlink r:id="rId521" ref="A269"/>
    <hyperlink r:id="rId522" ref="B269"/>
    <hyperlink r:id="rId523" ref="A270"/>
    <hyperlink r:id="rId524" ref="B270"/>
    <hyperlink r:id="rId525" ref="A271"/>
    <hyperlink r:id="rId526" ref="B271"/>
    <hyperlink r:id="rId527" ref="A272"/>
    <hyperlink r:id="rId528" ref="B272"/>
    <hyperlink r:id="rId529" ref="A273"/>
    <hyperlink r:id="rId530" ref="B273"/>
    <hyperlink r:id="rId531" ref="A274"/>
    <hyperlink r:id="rId532" ref="B274"/>
    <hyperlink r:id="rId533" ref="A275"/>
    <hyperlink r:id="rId534" ref="B275"/>
    <hyperlink r:id="rId535" ref="A276"/>
    <hyperlink r:id="rId536" ref="B276"/>
    <hyperlink r:id="rId537" ref="A277"/>
    <hyperlink r:id="rId538" ref="B277"/>
    <hyperlink r:id="rId539" ref="A278"/>
    <hyperlink r:id="rId540" ref="B278"/>
    <hyperlink r:id="rId541" ref="A279"/>
    <hyperlink r:id="rId542" ref="B279"/>
    <hyperlink r:id="rId543" ref="A280"/>
    <hyperlink r:id="rId544" ref="A281"/>
    <hyperlink r:id="rId545" ref="B281"/>
    <hyperlink r:id="rId546" ref="A282"/>
    <hyperlink r:id="rId547" ref="B282"/>
    <hyperlink r:id="rId548" ref="A283"/>
    <hyperlink r:id="rId549" ref="B283"/>
    <hyperlink r:id="rId550" ref="A284"/>
    <hyperlink r:id="rId551" ref="B284"/>
    <hyperlink r:id="rId552" ref="A285"/>
    <hyperlink r:id="rId553" ref="B285"/>
    <hyperlink r:id="rId554" ref="A286"/>
    <hyperlink r:id="rId555" ref="B286"/>
    <hyperlink r:id="rId556" ref="A287"/>
    <hyperlink r:id="rId557" ref="B287"/>
    <hyperlink r:id="rId558" ref="A288"/>
    <hyperlink r:id="rId559" ref="B288"/>
    <hyperlink r:id="rId560" ref="A289"/>
    <hyperlink r:id="rId561" ref="B289"/>
    <hyperlink r:id="rId562" ref="A290"/>
    <hyperlink r:id="rId563" ref="B290"/>
    <hyperlink r:id="rId564" ref="A291"/>
    <hyperlink r:id="rId565" ref="B291"/>
    <hyperlink r:id="rId566" ref="A292"/>
    <hyperlink r:id="rId567" ref="B292"/>
    <hyperlink r:id="rId568" ref="A293"/>
    <hyperlink r:id="rId569" ref="B293"/>
    <hyperlink r:id="rId570" ref="A294"/>
    <hyperlink r:id="rId571" ref="B294"/>
    <hyperlink r:id="rId572" ref="A295"/>
    <hyperlink r:id="rId573" ref="A296"/>
    <hyperlink r:id="rId574" ref="B296"/>
    <hyperlink r:id="rId575" location=":~:text=Chain%20Reaction%20has%20strong%20technical%20SEO%20roots,begun%20building%20out%20AI%20content%20strategy%20services." ref="A297"/>
    <hyperlink r:id="rId576" ref="B297"/>
    <hyperlink r:id="rId577" ref="A298"/>
    <hyperlink r:id="rId578" ref="B298"/>
    <hyperlink r:id="rId579" ref="A299"/>
    <hyperlink r:id="rId580" ref="B299"/>
    <hyperlink r:id="rId581" ref="A300"/>
    <hyperlink r:id="rId582" ref="A301"/>
    <hyperlink r:id="rId583" ref="B301"/>
    <hyperlink r:id="rId584" ref="A302"/>
    <hyperlink r:id="rId585" ref="B302"/>
    <hyperlink r:id="rId586" ref="A303"/>
    <hyperlink r:id="rId587" ref="B303"/>
    <hyperlink r:id="rId588" ref="A304"/>
    <hyperlink r:id="rId589" ref="B304"/>
    <hyperlink r:id="rId590" ref="A305"/>
    <hyperlink r:id="rId591" ref="B305"/>
    <hyperlink r:id="rId592" ref="A306"/>
    <hyperlink r:id="rId593" ref="B306"/>
    <hyperlink r:id="rId594" ref="A307"/>
    <hyperlink r:id="rId595" ref="B307"/>
    <hyperlink r:id="rId596" ref="A308"/>
    <hyperlink r:id="rId597" ref="B308"/>
    <hyperlink r:id="rId598" ref="A309"/>
    <hyperlink r:id="rId599" ref="B309"/>
    <hyperlink r:id="rId600" ref="A310"/>
    <hyperlink r:id="rId601" ref="B310"/>
    <hyperlink r:id="rId602" ref="A311"/>
    <hyperlink r:id="rId603" ref="B311"/>
    <hyperlink r:id="rId604" ref="A312"/>
    <hyperlink r:id="rId605" ref="B312"/>
    <hyperlink r:id="rId606" ref="A313"/>
    <hyperlink r:id="rId607" ref="B313"/>
    <hyperlink r:id="rId608" ref="A314"/>
    <hyperlink r:id="rId609" ref="B314"/>
    <hyperlink r:id="rId610" ref="A315"/>
    <hyperlink r:id="rId611" ref="B315"/>
    <hyperlink r:id="rId612" ref="A316"/>
    <hyperlink r:id="rId613" ref="A317"/>
    <hyperlink r:id="rId614" ref="B317"/>
    <hyperlink r:id="rId615" ref="A318"/>
    <hyperlink r:id="rId616" ref="B318"/>
    <hyperlink r:id="rId617" ref="A319"/>
    <hyperlink r:id="rId618" ref="B319"/>
    <hyperlink r:id="rId619" ref="A320"/>
    <hyperlink r:id="rId620" ref="A321"/>
    <hyperlink r:id="rId621" ref="B321"/>
    <hyperlink r:id="rId622" ref="A322"/>
    <hyperlink r:id="rId623" ref="B322"/>
    <hyperlink r:id="rId624" ref="A323"/>
    <hyperlink r:id="rId625" ref="B323"/>
    <hyperlink r:id="rId626" ref="A324"/>
    <hyperlink r:id="rId627" ref="B324"/>
    <hyperlink r:id="rId628" ref="A325"/>
    <hyperlink r:id="rId629" ref="A326"/>
    <hyperlink r:id="rId630" ref="B326"/>
    <hyperlink r:id="rId631" ref="A327"/>
    <hyperlink r:id="rId632" ref="B327"/>
    <hyperlink r:id="rId633" ref="A328"/>
    <hyperlink r:id="rId634" ref="B328"/>
    <hyperlink r:id="rId635" ref="A329"/>
    <hyperlink r:id="rId636" ref="B329"/>
    <hyperlink r:id="rId637" ref="A330"/>
    <hyperlink r:id="rId638" ref="B330"/>
    <hyperlink r:id="rId639" ref="A331"/>
    <hyperlink r:id="rId640" ref="B331"/>
    <hyperlink r:id="rId641" ref="A332"/>
    <hyperlink r:id="rId642" ref="B332"/>
    <hyperlink r:id="rId643" ref="A333"/>
    <hyperlink r:id="rId644" ref="B333"/>
    <hyperlink r:id="rId645" ref="A334"/>
    <hyperlink r:id="rId646" ref="B334"/>
    <hyperlink r:id="rId647" ref="A335"/>
    <hyperlink r:id="rId648" ref="B335"/>
    <hyperlink r:id="rId649" ref="A336"/>
    <hyperlink r:id="rId650" ref="B336"/>
    <hyperlink r:id="rId651" ref="A337"/>
    <hyperlink r:id="rId652" ref="B337"/>
    <hyperlink r:id="rId653" ref="A338"/>
    <hyperlink r:id="rId654" ref="B338"/>
    <hyperlink r:id="rId655" ref="A339"/>
    <hyperlink r:id="rId656" ref="B339"/>
    <hyperlink r:id="rId657" ref="A340"/>
    <hyperlink r:id="rId658" ref="B340"/>
    <hyperlink r:id="rId659" ref="A341"/>
    <hyperlink r:id="rId660" ref="B341"/>
    <hyperlink r:id="rId661" ref="A342"/>
    <hyperlink r:id="rId662" ref="B342"/>
    <hyperlink r:id="rId663" ref="A343"/>
    <hyperlink r:id="rId664" ref="B343"/>
    <hyperlink r:id="rId665" ref="A344"/>
    <hyperlink r:id="rId666" ref="B344"/>
    <hyperlink r:id="rId667" ref="A345"/>
    <hyperlink r:id="rId668" ref="B345"/>
    <hyperlink r:id="rId669" ref="A346"/>
    <hyperlink r:id="rId670" ref="B346"/>
    <hyperlink r:id="rId671" ref="A347"/>
    <hyperlink r:id="rId672" ref="B347"/>
    <hyperlink r:id="rId673" ref="A348"/>
    <hyperlink r:id="rId674" ref="B348"/>
    <hyperlink r:id="rId675" ref="A349"/>
    <hyperlink r:id="rId676" ref="B349"/>
    <hyperlink r:id="rId677" ref="A350"/>
    <hyperlink r:id="rId678" ref="B350"/>
    <hyperlink r:id="rId679" ref="A351"/>
    <hyperlink r:id="rId680" ref="B351"/>
    <hyperlink r:id="rId681" ref="A352"/>
    <hyperlink r:id="rId682" ref="B352"/>
    <hyperlink r:id="rId683" ref="A353"/>
    <hyperlink r:id="rId684" ref="B353"/>
    <hyperlink r:id="rId685" ref="A354"/>
    <hyperlink r:id="rId686" ref="B354"/>
    <hyperlink r:id="rId687" ref="A355"/>
    <hyperlink r:id="rId688" ref="A356"/>
    <hyperlink r:id="rId689" ref="A357"/>
    <hyperlink r:id="rId690" ref="B357"/>
    <hyperlink r:id="rId691" ref="A358"/>
    <hyperlink r:id="rId692" ref="B358"/>
    <hyperlink r:id="rId693" ref="A359"/>
    <hyperlink r:id="rId694" ref="B359"/>
    <hyperlink r:id="rId695" location=":~:text=They%20are%20convinced%20that%20a%20great%20interface,a%20focus%20on%20short%2D%20and%20long%2Dterm%20outcomes." ref="A360"/>
    <hyperlink r:id="rId696" ref="B360"/>
    <hyperlink r:id="rId697" ref="A361"/>
    <hyperlink r:id="rId698" ref="B361"/>
    <hyperlink r:id="rId699" ref="A362"/>
    <hyperlink r:id="rId700" ref="B362"/>
    <hyperlink r:id="rId701" ref="A363"/>
    <hyperlink r:id="rId702" ref="B363"/>
    <hyperlink r:id="rId703" ref="A364"/>
    <hyperlink r:id="rId704" ref="B364"/>
    <hyperlink r:id="rId705" ref="A365"/>
    <hyperlink r:id="rId706" ref="B365"/>
    <hyperlink r:id="rId707" ref="A366"/>
    <hyperlink r:id="rId708" ref="B366"/>
    <hyperlink r:id="rId709" ref="A367"/>
    <hyperlink r:id="rId710" ref="B367"/>
    <hyperlink r:id="rId711" ref="A368"/>
    <hyperlink r:id="rId712" ref="B368"/>
    <hyperlink r:id="rId713" ref="A369"/>
    <hyperlink r:id="rId714" ref="B369"/>
    <hyperlink r:id="rId715" ref="A370"/>
    <hyperlink r:id="rId716" ref="B370"/>
    <hyperlink r:id="rId717" ref="A371"/>
    <hyperlink r:id="rId718" ref="B371"/>
    <hyperlink r:id="rId719" ref="A372"/>
    <hyperlink r:id="rId720" ref="B372"/>
    <hyperlink r:id="rId721" ref="A373"/>
    <hyperlink r:id="rId722" ref="B373"/>
    <hyperlink r:id="rId723" ref="A374"/>
    <hyperlink r:id="rId724" ref="B374"/>
    <hyperlink r:id="rId725" ref="A375"/>
    <hyperlink r:id="rId726" ref="B375"/>
    <hyperlink r:id="rId727" ref="A376"/>
    <hyperlink r:id="rId728" ref="B376"/>
    <hyperlink r:id="rId729" ref="A377"/>
    <hyperlink r:id="rId730" ref="B377"/>
    <hyperlink r:id="rId731" ref="A378"/>
    <hyperlink r:id="rId732" ref="B378"/>
    <hyperlink r:id="rId733" ref="A379"/>
    <hyperlink r:id="rId734" ref="B379"/>
    <hyperlink r:id="rId735" ref="A380"/>
    <hyperlink r:id="rId736" ref="B380"/>
    <hyperlink r:id="rId737" ref="A381"/>
    <hyperlink r:id="rId738" ref="B381"/>
    <hyperlink r:id="rId739" ref="A382"/>
    <hyperlink r:id="rId740" ref="B382"/>
    <hyperlink r:id="rId741" ref="A383"/>
    <hyperlink r:id="rId742" ref="B383"/>
    <hyperlink r:id="rId743" ref="A384"/>
    <hyperlink r:id="rId744" ref="B384"/>
    <hyperlink r:id="rId745" ref="A385"/>
    <hyperlink r:id="rId746" ref="B385"/>
    <hyperlink r:id="rId747" ref="A386"/>
    <hyperlink r:id="rId748" ref="B386"/>
    <hyperlink r:id="rId749" ref="A387"/>
    <hyperlink r:id="rId750" ref="B387"/>
    <hyperlink r:id="rId751" ref="A388"/>
    <hyperlink r:id="rId752" ref="B388"/>
    <hyperlink r:id="rId753" ref="A389"/>
    <hyperlink r:id="rId754" ref="B389"/>
    <hyperlink r:id="rId755" ref="A390"/>
    <hyperlink r:id="rId756" ref="B390"/>
    <hyperlink r:id="rId757" ref="A391"/>
    <hyperlink r:id="rId758" ref="B391"/>
    <hyperlink r:id="rId759" ref="A392"/>
    <hyperlink r:id="rId760" ref="B392"/>
    <hyperlink r:id="rId761" ref="A393"/>
    <hyperlink r:id="rId762" ref="B393"/>
    <hyperlink r:id="rId763" ref="A394"/>
    <hyperlink r:id="rId764" ref="B394"/>
    <hyperlink r:id="rId765" ref="A395"/>
    <hyperlink r:id="rId766" ref="B395"/>
    <hyperlink r:id="rId767" ref="A396"/>
    <hyperlink r:id="rId768" ref="B396"/>
    <hyperlink r:id="rId769" ref="A397"/>
    <hyperlink r:id="rId770" ref="B397"/>
    <hyperlink r:id="rId771" ref="A398"/>
    <hyperlink r:id="rId772" ref="B398"/>
    <hyperlink r:id="rId773" ref="A399"/>
    <hyperlink r:id="rId774" ref="B399"/>
    <hyperlink r:id="rId775" ref="A400"/>
    <hyperlink r:id="rId776" ref="B400"/>
    <hyperlink r:id="rId777" ref="A401"/>
    <hyperlink r:id="rId778" ref="B401"/>
    <hyperlink r:id="rId779" ref="A402"/>
    <hyperlink r:id="rId780" ref="B402"/>
    <hyperlink r:id="rId781" ref="A403"/>
    <hyperlink r:id="rId782" ref="B403"/>
    <hyperlink r:id="rId783" ref="A404"/>
    <hyperlink r:id="rId784" ref="B404"/>
    <hyperlink r:id="rId785" ref="A405"/>
    <hyperlink r:id="rId786" ref="B405"/>
    <hyperlink r:id="rId787" ref="A406"/>
    <hyperlink r:id="rId788" ref="B406"/>
    <hyperlink r:id="rId789" ref="A407"/>
    <hyperlink r:id="rId790" ref="B407"/>
    <hyperlink r:id="rId791" ref="A408"/>
    <hyperlink r:id="rId792" ref="B408"/>
    <hyperlink r:id="rId793" ref="A409"/>
    <hyperlink r:id="rId794" ref="B409"/>
    <hyperlink r:id="rId795" ref="A410"/>
    <hyperlink r:id="rId796" ref="B410"/>
    <hyperlink r:id="rId797" ref="A411"/>
    <hyperlink r:id="rId798" ref="B411"/>
    <hyperlink r:id="rId799" ref="A412"/>
    <hyperlink r:id="rId800" ref="B412"/>
    <hyperlink r:id="rId801" ref="A413"/>
    <hyperlink r:id="rId802" ref="B413"/>
    <hyperlink r:id="rId803" ref="A414"/>
    <hyperlink r:id="rId804" ref="B414"/>
    <hyperlink r:id="rId805" ref="A415"/>
    <hyperlink r:id="rId806" ref="B415"/>
    <hyperlink r:id="rId807" ref="A416"/>
    <hyperlink r:id="rId808" ref="B416"/>
    <hyperlink r:id="rId809" ref="A417"/>
    <hyperlink r:id="rId810" ref="B417"/>
    <hyperlink r:id="rId811" ref="A418"/>
    <hyperlink r:id="rId812" ref="B418"/>
    <hyperlink r:id="rId813" ref="A419"/>
    <hyperlink r:id="rId814" ref="B419"/>
    <hyperlink r:id="rId815" location=":~:text=End%2Dto%2DEnd%20Service%3A%20Bird%20oversees%20every%20phase%2C%20from,of%20work%20with%20advanced%2C%20efficient%20AI%20automation." ref="A420"/>
    <hyperlink r:id="rId816" ref="B420"/>
    <hyperlink r:id="rId817" ref="A421"/>
    <hyperlink r:id="rId818" ref="B421"/>
    <hyperlink r:id="rId819" ref="A422"/>
    <hyperlink r:id="rId820" ref="B422"/>
    <hyperlink r:id="rId821" ref="A423"/>
    <hyperlink r:id="rId822" ref="B423"/>
    <hyperlink r:id="rId823" ref="A424"/>
    <hyperlink r:id="rId824" ref="B424"/>
    <hyperlink r:id="rId825" ref="A425"/>
    <hyperlink r:id="rId826" ref="B425"/>
    <hyperlink r:id="rId827" ref="A426"/>
    <hyperlink r:id="rId828" ref="B426"/>
    <hyperlink r:id="rId829" ref="A427"/>
    <hyperlink r:id="rId830" ref="B427"/>
    <hyperlink r:id="rId831" ref="A428"/>
    <hyperlink r:id="rId832" ref="B428"/>
    <hyperlink r:id="rId833" ref="A429"/>
    <hyperlink r:id="rId834" ref="B429"/>
    <hyperlink r:id="rId835" ref="A430"/>
    <hyperlink r:id="rId836" ref="B430"/>
    <hyperlink r:id="rId837" ref="A431"/>
    <hyperlink r:id="rId838" ref="B431"/>
    <hyperlink r:id="rId839" ref="A432"/>
    <hyperlink r:id="rId840" ref="B432"/>
    <hyperlink r:id="rId841" ref="A433"/>
    <hyperlink r:id="rId842" ref="B433"/>
    <hyperlink r:id="rId843" ref="A434"/>
    <hyperlink r:id="rId844" ref="B434"/>
    <hyperlink r:id="rId845" ref="A435"/>
    <hyperlink r:id="rId846" ref="B435"/>
    <hyperlink r:id="rId847" ref="A436"/>
    <hyperlink r:id="rId848" ref="B436"/>
    <hyperlink r:id="rId849" ref="A437"/>
    <hyperlink r:id="rId850" ref="B437"/>
    <hyperlink r:id="rId851" ref="A438"/>
    <hyperlink r:id="rId852" ref="B438"/>
    <hyperlink r:id="rId853" ref="A439"/>
    <hyperlink r:id="rId854" ref="B439"/>
    <hyperlink r:id="rId855" ref="A440"/>
    <hyperlink r:id="rId856" ref="B440"/>
    <hyperlink r:id="rId857" ref="A441"/>
    <hyperlink r:id="rId858" ref="B441"/>
    <hyperlink r:id="rId859" ref="A442"/>
    <hyperlink r:id="rId860" ref="B442"/>
    <hyperlink r:id="rId861" ref="A443"/>
    <hyperlink r:id="rId862" ref="B443"/>
    <hyperlink r:id="rId863" ref="A444"/>
    <hyperlink r:id="rId864" ref="B444"/>
    <hyperlink r:id="rId865" location=":~:text=We%20do%20this%20through%20borderless%20creativity.%20We,for%20your%20business%20and%20your%20growth%20objectives." ref="A445"/>
    <hyperlink r:id="rId866" ref="B445"/>
    <hyperlink r:id="rId867" ref="A446"/>
    <hyperlink r:id="rId868" ref="B446"/>
    <hyperlink r:id="rId869" ref="A447"/>
    <hyperlink r:id="rId870" ref="B447"/>
    <hyperlink r:id="rId871" ref="A448"/>
    <hyperlink r:id="rId872" ref="B448"/>
    <hyperlink r:id="rId873" ref="A449"/>
    <hyperlink r:id="rId874" ref="B449"/>
    <hyperlink r:id="rId875" ref="A450"/>
    <hyperlink r:id="rId876" ref="B450"/>
    <hyperlink r:id="rId877" ref="A451"/>
    <hyperlink r:id="rId878" ref="B451"/>
    <hyperlink r:id="rId879" ref="A452"/>
    <hyperlink r:id="rId880" ref="B452"/>
    <hyperlink r:id="rId881" ref="A453"/>
    <hyperlink r:id="rId882" ref="B453"/>
    <hyperlink r:id="rId883" ref="A454"/>
    <hyperlink r:id="rId884" ref="B454"/>
    <hyperlink r:id="rId885" ref="A455"/>
    <hyperlink r:id="rId886" ref="B455"/>
    <hyperlink r:id="rId887" ref="A456"/>
    <hyperlink r:id="rId888" ref="B456"/>
    <hyperlink r:id="rId889" ref="A457"/>
    <hyperlink r:id="rId890" ref="B457"/>
    <hyperlink r:id="rId891" ref="A458"/>
    <hyperlink r:id="rId892" ref="B458"/>
    <hyperlink r:id="rId893" ref="A459"/>
    <hyperlink r:id="rId894" ref="B459"/>
    <hyperlink r:id="rId895" ref="A460"/>
    <hyperlink r:id="rId896" ref="B460"/>
    <hyperlink r:id="rId897" ref="A461"/>
    <hyperlink r:id="rId898" ref="B461"/>
    <hyperlink r:id="rId899" location=":~:text=What%20Are%20the%20Best%20Marketing%20Agencies%20in,growth%20strategies%20for%20mid%2Dmarket%20to%20enterprise%20clients." ref="A462"/>
    <hyperlink r:id="rId900" ref="B462"/>
    <hyperlink r:id="rId901" ref="A463"/>
    <hyperlink r:id="rId902" ref="B463"/>
    <hyperlink r:id="rId903" ref="A464"/>
    <hyperlink r:id="rId904" ref="B464"/>
    <hyperlink r:id="rId905" ref="A465"/>
    <hyperlink r:id="rId906" ref="B465"/>
    <hyperlink r:id="rId907" ref="A466"/>
    <hyperlink r:id="rId908" ref="B466"/>
    <hyperlink r:id="rId909" ref="A467"/>
    <hyperlink r:id="rId910" ref="B467"/>
    <hyperlink r:id="rId911" ref="A468"/>
    <hyperlink r:id="rId912" ref="B468"/>
    <hyperlink r:id="rId913" ref="A469"/>
    <hyperlink r:id="rId914" ref="A470"/>
    <hyperlink r:id="rId915" ref="B470"/>
    <hyperlink r:id="rId916" ref="A471"/>
    <hyperlink r:id="rId917" ref="B471"/>
    <hyperlink r:id="rId918" ref="A472"/>
    <hyperlink r:id="rId919" ref="B472"/>
    <hyperlink r:id="rId920" ref="A473"/>
    <hyperlink r:id="rId921" ref="B473"/>
    <hyperlink r:id="rId922" ref="A474"/>
    <hyperlink r:id="rId923" ref="B474"/>
    <hyperlink r:id="rId924" ref="A475"/>
    <hyperlink r:id="rId925" ref="B475"/>
    <hyperlink r:id="rId926" ref="A476"/>
    <hyperlink r:id="rId927" ref="B476"/>
    <hyperlink r:id="rId928" ref="A477"/>
    <hyperlink r:id="rId929" ref="B477"/>
    <hyperlink r:id="rId930" ref="A478"/>
    <hyperlink r:id="rId931" ref="B478"/>
    <hyperlink r:id="rId932" ref="A479"/>
    <hyperlink r:id="rId933" ref="B479"/>
    <hyperlink r:id="rId934" ref="A480"/>
    <hyperlink r:id="rId935" ref="B480"/>
    <hyperlink r:id="rId936" ref="A481"/>
    <hyperlink r:id="rId937" ref="B481"/>
    <hyperlink r:id="rId938" ref="A482"/>
    <hyperlink r:id="rId939" ref="B482"/>
    <hyperlink r:id="rId940" ref="A483"/>
    <hyperlink r:id="rId941" ref="B483"/>
    <hyperlink r:id="rId942" location=":~:text=Why%20Choose%20Digital%20Qube%3F%20%2D%20Global%20Expertise%2C,behind%20your%20organization's%20success.%20%2D%20Tailored%20Solutions." ref="A484"/>
    <hyperlink r:id="rId943" ref="B484"/>
    <hyperlink r:id="rId944" ref="A485"/>
    <hyperlink r:id="rId945" ref="B485"/>
    <hyperlink r:id="rId946" ref="A486"/>
    <hyperlink r:id="rId947" ref="B486"/>
    <hyperlink r:id="rId948" location=":~:text=In%202026%2C%20visibility%20is%20no%20longer%20limited,%2D%20Strong%20internal%20linking%20and%20topical%20authority." ref="A487"/>
    <hyperlink r:id="rId949" ref="B487"/>
    <hyperlink r:id="rId950" ref="A488"/>
    <hyperlink r:id="rId951" ref="B488"/>
    <hyperlink r:id="rId952" ref="A489"/>
    <hyperlink r:id="rId953" ref="B489"/>
    <hyperlink r:id="rId954" ref="A490"/>
    <hyperlink r:id="rId955" ref="B490"/>
    <hyperlink r:id="rId956" ref="A491"/>
    <hyperlink r:id="rId957" ref="B491"/>
    <hyperlink r:id="rId958" ref="A492"/>
    <hyperlink r:id="rId959" ref="B492"/>
    <hyperlink r:id="rId960" ref="A493"/>
    <hyperlink r:id="rId961" ref="B493"/>
    <hyperlink r:id="rId962" ref="A494"/>
    <hyperlink r:id="rId963" ref="B494"/>
    <hyperlink r:id="rId964" ref="A495"/>
    <hyperlink r:id="rId965" ref="B495"/>
    <hyperlink r:id="rId966" ref="A496"/>
    <hyperlink r:id="rId967" ref="B496"/>
    <hyperlink r:id="rId968" ref="A497"/>
    <hyperlink r:id="rId969" ref="B497"/>
    <hyperlink r:id="rId970" ref="A498"/>
    <hyperlink r:id="rId971" ref="B498"/>
    <hyperlink r:id="rId972" ref="A499"/>
    <hyperlink r:id="rId973" ref="B499"/>
    <hyperlink r:id="rId974" ref="A500"/>
    <hyperlink r:id="rId975" ref="B500"/>
    <hyperlink r:id="rId976" ref="A501"/>
    <hyperlink r:id="rId977" ref="B501"/>
    <hyperlink r:id="rId978" ref="A502"/>
    <hyperlink r:id="rId979" ref="A503"/>
    <hyperlink r:id="rId980" ref="B503"/>
    <hyperlink r:id="rId981" ref="A504"/>
    <hyperlink r:id="rId982" ref="B504"/>
    <hyperlink r:id="rId983" ref="A505"/>
    <hyperlink r:id="rId984" ref="B505"/>
    <hyperlink r:id="rId985" ref="A506"/>
    <hyperlink r:id="rId986" ref="B506"/>
    <hyperlink r:id="rId987" ref="A507"/>
    <hyperlink r:id="rId988" ref="B507"/>
    <hyperlink r:id="rId989" ref="A508"/>
    <hyperlink r:id="rId990" ref="B508"/>
    <hyperlink r:id="rId991" ref="A509"/>
    <hyperlink r:id="rId992" ref="B509"/>
    <hyperlink r:id="rId993" ref="A510"/>
    <hyperlink r:id="rId994" ref="B510"/>
    <hyperlink r:id="rId995" ref="A511"/>
    <hyperlink r:id="rId996" ref="B511"/>
    <hyperlink r:id="rId997" ref="A512"/>
    <hyperlink r:id="rId998" ref="B512"/>
    <hyperlink r:id="rId999" ref="A513"/>
    <hyperlink r:id="rId1000" ref="B513"/>
    <hyperlink r:id="rId1001" location=":~:text=An%20effective%20AI%20strategy%20starts%20with%20a,ecosystems%20to%20process%20efficiency%20and%20team%20capabilities." ref="A514"/>
    <hyperlink r:id="rId1002" ref="A515"/>
    <hyperlink r:id="rId1003" ref="A516"/>
    <hyperlink r:id="rId1004" ref="A517"/>
    <hyperlink r:id="rId1005" ref="B517"/>
    <hyperlink r:id="rId1006" ref="A518"/>
    <hyperlink r:id="rId1007" ref="A519"/>
    <hyperlink r:id="rId1008" ref="B519"/>
    <hyperlink r:id="rId1009" ref="A520"/>
    <hyperlink r:id="rId1010" ref="B520"/>
    <hyperlink r:id="rId1011" ref="A521"/>
    <hyperlink r:id="rId1012" ref="B521"/>
    <hyperlink r:id="rId1013" ref="A522"/>
    <hyperlink r:id="rId1014" ref="B522"/>
    <hyperlink r:id="rId1015" ref="A523"/>
    <hyperlink r:id="rId1016" ref="B523"/>
    <hyperlink r:id="rId1017" location=":~:text=Chain%20Reaction%20is%20a%20well,8." ref="A524"/>
    <hyperlink r:id="rId1018" ref="B524"/>
    <hyperlink r:id="rId1019" ref="A525"/>
    <hyperlink r:id="rId1020" ref="B525"/>
    <hyperlink r:id="rId1021" ref="A526"/>
    <hyperlink r:id="rId1022" ref="B526"/>
    <hyperlink r:id="rId1023" ref="A527"/>
    <hyperlink r:id="rId1024" ref="B527"/>
    <hyperlink r:id="rId1025" ref="A528"/>
    <hyperlink r:id="rId1026" ref="B528"/>
    <hyperlink r:id="rId1027" ref="A529"/>
    <hyperlink r:id="rId1028" ref="B529"/>
    <hyperlink r:id="rId1029" ref="A530"/>
    <hyperlink r:id="rId1030" ref="B530"/>
    <hyperlink r:id="rId1031" ref="A531"/>
    <hyperlink r:id="rId1032" ref="B531"/>
    <hyperlink r:id="rId1033" ref="A532"/>
    <hyperlink r:id="rId1034" ref="B532"/>
    <hyperlink r:id="rId1035" ref="A533"/>
    <hyperlink r:id="rId1036" ref="B533"/>
    <hyperlink r:id="rId1037" ref="A534"/>
    <hyperlink r:id="rId1038" ref="B534"/>
    <hyperlink r:id="rId1039" ref="A535"/>
    <hyperlink r:id="rId1040" ref="B535"/>
    <hyperlink r:id="rId1041" ref="A536"/>
    <hyperlink r:id="rId1042" ref="B536"/>
    <hyperlink r:id="rId1043" ref="A537"/>
    <hyperlink r:id="rId1044" ref="B537"/>
    <hyperlink r:id="rId1045" ref="A538"/>
    <hyperlink r:id="rId1046" ref="B538"/>
    <hyperlink r:id="rId1047" ref="A539"/>
    <hyperlink r:id="rId1048" ref="B539"/>
    <hyperlink r:id="rId1049" ref="A540"/>
    <hyperlink r:id="rId1050" ref="B540"/>
    <hyperlink r:id="rId1051" ref="A541"/>
    <hyperlink r:id="rId1052" ref="B541"/>
    <hyperlink r:id="rId1053" ref="A542"/>
    <hyperlink r:id="rId1054" ref="B542"/>
    <hyperlink r:id="rId1055" ref="A543"/>
    <hyperlink r:id="rId1056" ref="B543"/>
    <hyperlink r:id="rId1057" ref="A544"/>
    <hyperlink r:id="rId1058" ref="B544"/>
    <hyperlink r:id="rId1059" ref="A545"/>
    <hyperlink r:id="rId1060" ref="B545"/>
    <hyperlink r:id="rId1061" ref="A546"/>
    <hyperlink r:id="rId1062" ref="B546"/>
    <hyperlink r:id="rId1063" ref="A547"/>
    <hyperlink r:id="rId1064" ref="B547"/>
    <hyperlink r:id="rId1065" ref="A548"/>
    <hyperlink r:id="rId1066" ref="B548"/>
    <hyperlink r:id="rId1067" ref="A549"/>
    <hyperlink r:id="rId1068" ref="B549"/>
    <hyperlink r:id="rId1069" ref="A550"/>
    <hyperlink r:id="rId1070" ref="B550"/>
    <hyperlink r:id="rId1071" ref="A551"/>
    <hyperlink r:id="rId1072" ref="B551"/>
    <hyperlink r:id="rId1073" ref="A552"/>
    <hyperlink r:id="rId1074" ref="A553"/>
    <hyperlink r:id="rId1075" ref="B553"/>
    <hyperlink r:id="rId1076" ref="A554"/>
    <hyperlink r:id="rId1077" ref="B554"/>
    <hyperlink r:id="rId1078" ref="A555"/>
    <hyperlink r:id="rId1079" ref="B555"/>
    <hyperlink r:id="rId1080" ref="A556"/>
    <hyperlink r:id="rId1081" ref="B556"/>
    <hyperlink r:id="rId1082" ref="A557"/>
    <hyperlink r:id="rId1083" ref="B557"/>
    <hyperlink r:id="rId1084" ref="A558"/>
    <hyperlink r:id="rId1085" ref="B558"/>
    <hyperlink r:id="rId1086" ref="A559"/>
    <hyperlink r:id="rId1087" ref="B559"/>
    <hyperlink r:id="rId1088" ref="A560"/>
    <hyperlink r:id="rId1089" ref="B560"/>
    <hyperlink r:id="rId1090" ref="A561"/>
    <hyperlink r:id="rId1091" ref="B561"/>
    <hyperlink r:id="rId1092" ref="A562"/>
    <hyperlink r:id="rId1093" ref="B562"/>
    <hyperlink r:id="rId1094" ref="A563"/>
    <hyperlink r:id="rId1095" ref="B563"/>
    <hyperlink r:id="rId1096" ref="A564"/>
    <hyperlink r:id="rId1097" ref="B564"/>
    <hyperlink r:id="rId1098" ref="A565"/>
    <hyperlink r:id="rId1099" ref="B565"/>
    <hyperlink r:id="rId1100" ref="A566"/>
    <hyperlink r:id="rId1101" ref="B566"/>
    <hyperlink r:id="rId1102" ref="A567"/>
    <hyperlink r:id="rId1103" ref="B567"/>
    <hyperlink r:id="rId1104" ref="A568"/>
    <hyperlink r:id="rId1105" ref="A569"/>
    <hyperlink r:id="rId1106" ref="B569"/>
    <hyperlink r:id="rId1107" ref="A570"/>
    <hyperlink r:id="rId1108" ref="B570"/>
    <hyperlink r:id="rId1109" ref="A571"/>
    <hyperlink r:id="rId1110" ref="B571"/>
    <hyperlink r:id="rId1111" ref="A572"/>
    <hyperlink r:id="rId1112" ref="B572"/>
    <hyperlink r:id="rId1113" ref="A573"/>
    <hyperlink r:id="rId1114" ref="B573"/>
    <hyperlink r:id="rId1115" ref="A574"/>
    <hyperlink r:id="rId1116" ref="B574"/>
    <hyperlink r:id="rId1117" ref="A575"/>
    <hyperlink r:id="rId1118" ref="B575"/>
    <hyperlink r:id="rId1119" ref="A576"/>
    <hyperlink r:id="rId1120" ref="B576"/>
    <hyperlink r:id="rId1121" ref="A577"/>
    <hyperlink r:id="rId1122" ref="B577"/>
    <hyperlink r:id="rId1123" ref="A578"/>
    <hyperlink r:id="rId1124" ref="B578"/>
    <hyperlink r:id="rId1125" ref="A579"/>
    <hyperlink r:id="rId1126" ref="B579"/>
    <hyperlink r:id="rId1127" ref="A580"/>
    <hyperlink r:id="rId1128" ref="B580"/>
    <hyperlink r:id="rId1129" ref="A581"/>
    <hyperlink r:id="rId1130" ref="B581"/>
    <hyperlink r:id="rId1131" ref="A582"/>
    <hyperlink r:id="rId1132" ref="B582"/>
    <hyperlink r:id="rId1133" ref="A583"/>
    <hyperlink r:id="rId1134" ref="B583"/>
    <hyperlink r:id="rId1135" ref="A584"/>
    <hyperlink r:id="rId1136" ref="B584"/>
    <hyperlink r:id="rId1137" ref="A585"/>
    <hyperlink r:id="rId1138" ref="B585"/>
    <hyperlink r:id="rId1139" ref="A586"/>
    <hyperlink r:id="rId1140" ref="B586"/>
    <hyperlink r:id="rId1141" ref="A587"/>
    <hyperlink r:id="rId1142" ref="B587"/>
    <hyperlink r:id="rId1143" ref="A588"/>
    <hyperlink r:id="rId1144" ref="B588"/>
    <hyperlink r:id="rId1145" ref="A589"/>
    <hyperlink r:id="rId1146" ref="B589"/>
    <hyperlink r:id="rId1147" ref="A590"/>
    <hyperlink r:id="rId1148" ref="B590"/>
    <hyperlink r:id="rId1149" ref="A591"/>
    <hyperlink r:id="rId1150" ref="B591"/>
    <hyperlink r:id="rId1151" ref="A592"/>
    <hyperlink r:id="rId1152" ref="B592"/>
    <hyperlink r:id="rId1153" ref="A593"/>
    <hyperlink r:id="rId1154" ref="B593"/>
    <hyperlink r:id="rId1155" ref="A594"/>
    <hyperlink r:id="rId1156" ref="B594"/>
    <hyperlink r:id="rId1157" ref="A595"/>
    <hyperlink r:id="rId1158" ref="B595"/>
    <hyperlink r:id="rId1159" ref="A596"/>
    <hyperlink r:id="rId1160" ref="B596"/>
    <hyperlink r:id="rId1161" location=":~:text=The%20UAE%2Dbased%20brand%20looking,and%20analytics%20for%20their%20operations." ref="A597"/>
    <hyperlink r:id="rId1162" ref="B597"/>
    <hyperlink r:id="rId1163" ref="A598"/>
    <hyperlink r:id="rId1164" ref="B598"/>
    <hyperlink r:id="rId1165" ref="A599"/>
    <hyperlink r:id="rId1166" ref="B599"/>
    <hyperlink r:id="rId1167" ref="A600"/>
    <hyperlink r:id="rId1168" ref="B600"/>
    <hyperlink r:id="rId1169" ref="A601"/>
    <hyperlink r:id="rId1170" ref="B601"/>
    <hyperlink r:id="rId1171" ref="A602"/>
    <hyperlink r:id="rId1172" ref="B602"/>
    <hyperlink r:id="rId1173" ref="A603"/>
    <hyperlink r:id="rId1174" ref="B603"/>
    <hyperlink r:id="rId1175" ref="A604"/>
    <hyperlink r:id="rId1176" location=":~:text=At%20SEMA%20Brands%2C%20a%20leading%20GEO%20agency,your%20brand%20at%20the%20forefront%20of%20search." ref="A605"/>
    <hyperlink r:id="rId1177" ref="B605"/>
    <hyperlink r:id="rId1178" ref="A606"/>
    <hyperlink r:id="rId1179" ref="B606"/>
    <hyperlink r:id="rId1180" location=":~:text=Behavioral%20Economics%20Expertise,profitable%20component%20of%20Market%20Research." ref="A607"/>
    <hyperlink r:id="rId1181" ref="B607"/>
    <hyperlink r:id="rId1182" ref="A608"/>
    <hyperlink r:id="rId1183" ref="B608"/>
    <hyperlink r:id="rId1184" ref="A609"/>
    <hyperlink r:id="rId1185" ref="A610"/>
    <hyperlink r:id="rId1186" ref="B610"/>
    <hyperlink r:id="rId1187" ref="A611"/>
    <hyperlink r:id="rId1188" ref="B611"/>
    <hyperlink r:id="rId1189" ref="A612"/>
    <hyperlink r:id="rId1190" ref="B612"/>
    <hyperlink r:id="rId1191" ref="A613"/>
    <hyperlink r:id="rId1192" ref="B613"/>
    <hyperlink r:id="rId1193" ref="A614"/>
    <hyperlink r:id="rId1194" ref="B614"/>
    <hyperlink r:id="rId1195" ref="A615"/>
    <hyperlink r:id="rId1196" ref="A616"/>
    <hyperlink r:id="rId1197" ref="A617"/>
    <hyperlink r:id="rId1198" ref="B617"/>
    <hyperlink r:id="rId1199" ref="A618"/>
    <hyperlink r:id="rId1200" ref="B618"/>
    <hyperlink r:id="rId1201" location=":~:text=%E2%9C%85%20Why%20choose%20them%3A%20Best%20for%20large%2Dscale%2C,Known%20for%20technical%20depth%20and%20ROI%2Dfocused%20execution." ref="A619"/>
    <hyperlink r:id="rId1202" ref="B619"/>
    <hyperlink r:id="rId1203" ref="A620"/>
    <hyperlink r:id="rId1204" ref="B620"/>
    <hyperlink r:id="rId1205" location=":~:text=Published%20benchmarks%20include%20a%204.2x%20average%20ROAS,an%20initial%2090%2Dday%20period%20no%20long%20lock%2Dins." ref="A621"/>
    <hyperlink r:id="rId1206" ref="B621"/>
    <hyperlink r:id="rId1207" location=":~:text=The%20agency%20delivers%20campaigns%20that%20are%20not,Pepsi%2C%20UAE%20Government%20Media%20Office%2C%20UN%20Women." ref="A622"/>
    <hyperlink r:id="rId1208" ref="B622"/>
    <hyperlink r:id="rId1209" ref="A623"/>
    <hyperlink r:id="rId1210" ref="B623"/>
    <hyperlink r:id="rId1211" ref="A624"/>
    <hyperlink r:id="rId1212" ref="B624"/>
    <hyperlink r:id="rId1213" ref="A625"/>
    <hyperlink r:id="rId1214" ref="B625"/>
    <hyperlink r:id="rId1215" ref="A626"/>
    <hyperlink r:id="rId1216" ref="B626"/>
    <hyperlink r:id="rId1217" ref="A627"/>
    <hyperlink r:id="rId1218" ref="B627"/>
    <hyperlink r:id="rId1219" ref="A628"/>
    <hyperlink r:id="rId1220" ref="B628"/>
    <hyperlink r:id="rId1221" ref="A629"/>
    <hyperlink r:id="rId1222" ref="B629"/>
    <hyperlink r:id="rId1223" ref="A630"/>
    <hyperlink r:id="rId1224" ref="A631"/>
    <hyperlink r:id="rId1225" ref="B631"/>
    <hyperlink r:id="rId1226" ref="A632"/>
    <hyperlink r:id="rId1227" ref="B632"/>
    <hyperlink r:id="rId1228" ref="A633"/>
    <hyperlink r:id="rId1229" ref="B633"/>
    <hyperlink r:id="rId1230" ref="A634"/>
    <hyperlink r:id="rId1231" ref="B634"/>
    <hyperlink r:id="rId1232" ref="A635"/>
    <hyperlink r:id="rId1233" ref="B635"/>
    <hyperlink r:id="rId1234" ref="A636"/>
    <hyperlink r:id="rId1235" ref="B636"/>
    <hyperlink r:id="rId1236" ref="A637"/>
    <hyperlink r:id="rId1237" ref="B637"/>
    <hyperlink r:id="rId1238" ref="A638"/>
    <hyperlink r:id="rId1239" ref="B638"/>
    <hyperlink r:id="rId1240" ref="A639"/>
    <hyperlink r:id="rId1241" ref="B639"/>
    <hyperlink r:id="rId1242" ref="A640"/>
    <hyperlink r:id="rId1243" ref="B640"/>
    <hyperlink r:id="rId1244" ref="A641"/>
    <hyperlink r:id="rId1245" ref="B641"/>
    <hyperlink r:id="rId1246" ref="A642"/>
    <hyperlink r:id="rId1247" ref="B642"/>
    <hyperlink r:id="rId1248" location=":~:text=Nexa%20(Digital%20Nexa)%20%E2%80%94%20Full%2DService%20Digital%20Marketing,social%20advertising%2C%20influencer%2Ddriven%20campaigns%2C%20and%20community%20management." ref="A643"/>
    <hyperlink r:id="rId1249" ref="B643"/>
    <hyperlink r:id="rId1250" ref="A644"/>
    <hyperlink r:id="rId1251" ref="B644"/>
    <hyperlink r:id="rId1252" location=":~:text=At%20Bird%2C%20we%20specialise%20in%20delivering%20end%2Dto%2Dend,the%20right%20audience%20at%20the%20optimal%20time." ref="A645"/>
    <hyperlink r:id="rId1253" ref="B645"/>
    <hyperlink r:id="rId1254" ref="A646"/>
    <hyperlink r:id="rId1255" ref="B646"/>
    <hyperlink r:id="rId1256" ref="A647"/>
    <hyperlink r:id="rId1257" ref="B647"/>
    <hyperlink r:id="rId1258" ref="A648"/>
    <hyperlink r:id="rId1259" ref="B648"/>
    <hyperlink r:id="rId1260" ref="A649"/>
    <hyperlink r:id="rId1261" ref="B649"/>
    <hyperlink r:id="rId1262" ref="A650"/>
    <hyperlink r:id="rId1263" ref="B650"/>
    <hyperlink r:id="rId1264" ref="A651"/>
    <hyperlink r:id="rId1265" ref="B651"/>
    <hyperlink r:id="rId1266" ref="A652"/>
    <hyperlink r:id="rId1267" ref="B652"/>
    <hyperlink r:id="rId1268" ref="A653"/>
    <hyperlink r:id="rId1269" ref="B653"/>
    <hyperlink r:id="rId1270" ref="A654"/>
    <hyperlink r:id="rId1271" ref="B654"/>
    <hyperlink r:id="rId1272" ref="A655"/>
    <hyperlink r:id="rId1273" ref="B655"/>
    <hyperlink r:id="rId1274" ref="A656"/>
    <hyperlink r:id="rId1275" ref="B656"/>
    <hyperlink r:id="rId1276" ref="A657"/>
    <hyperlink r:id="rId1277" ref="B657"/>
    <hyperlink r:id="rId1278" ref="A658"/>
    <hyperlink r:id="rId1279" ref="B658"/>
    <hyperlink r:id="rId1280" location=":~:text=FedEx%20operates%20one%20of%20the,%2C%20Abu%20Dhabi%2C%20and%20Sharjah." ref="A659"/>
    <hyperlink r:id="rId1281" ref="B659"/>
    <hyperlink r:id="rId1282" ref="A660"/>
    <hyperlink r:id="rId1283" ref="B660"/>
    <hyperlink r:id="rId1284" ref="A661"/>
    <hyperlink r:id="rId1285" ref="B661"/>
    <hyperlink r:id="rId1286" ref="A662"/>
    <hyperlink r:id="rId1287" ref="B662"/>
    <hyperlink r:id="rId1288" ref="A663"/>
    <hyperlink r:id="rId1289" ref="B663"/>
    <hyperlink r:id="rId1290" location=":~:text=Their%20service%20positioning%20spans%20SEO%2C%20PPC%2C%20social,a%20traditional%20agency%20in%20the%20classic%20sense." ref="A664"/>
    <hyperlink r:id="rId1291" ref="B664"/>
    <hyperlink r:id="rId1292" ref="A665"/>
    <hyperlink r:id="rId1293" ref="B665"/>
    <hyperlink r:id="rId1294" ref="A666"/>
    <hyperlink r:id="rId1295" ref="B666"/>
    <hyperlink r:id="rId1296" ref="A667"/>
    <hyperlink r:id="rId1297" ref="B667"/>
    <hyperlink r:id="rId1298" ref="A668"/>
    <hyperlink r:id="rId1299" ref="B668"/>
    <hyperlink r:id="rId1300" ref="A669"/>
    <hyperlink r:id="rId1301" ref="B669"/>
    <hyperlink r:id="rId1302" location=":~:text=Bird%20Marketing's%20data%2Ddriven%20approach%20to%20PPC%20and,designed%20around%20results%20rather%20than%20vanity%20metrics." ref="A670"/>
    <hyperlink r:id="rId1303" ref="B670"/>
    <hyperlink r:id="rId1304" ref="A671"/>
    <hyperlink r:id="rId1305" ref="B671"/>
    <hyperlink r:id="rId1306" ref="A672"/>
    <hyperlink r:id="rId1307" ref="B672"/>
    <hyperlink r:id="rId1308" ref="A673"/>
    <hyperlink r:id="rId1309" ref="B673"/>
    <hyperlink r:id="rId1310" ref="A674"/>
    <hyperlink r:id="rId1311" ref="B674"/>
    <hyperlink r:id="rId1312" ref="A675"/>
    <hyperlink r:id="rId1313" ref="B675"/>
    <hyperlink r:id="rId1314" ref="A676"/>
    <hyperlink r:id="rId1315" ref="B676"/>
    <hyperlink r:id="rId1316" ref="A677"/>
    <hyperlink r:id="rId1317" ref="B677"/>
    <hyperlink r:id="rId1318" location=":~:text=The%20Google%20Marketing%20Platform%20(GMP)%20provides%20marketers,laptop.%20google_analytics.%20Google%20Analytics%20360.%20Google%20Analytics" ref="A678"/>
    <hyperlink r:id="rId1319" ref="B678"/>
    <hyperlink r:id="rId1320" ref="A679"/>
    <hyperlink r:id="rId1321" ref="B679"/>
    <hyperlink r:id="rId1322" ref="A680"/>
    <hyperlink r:id="rId1323" ref="B680"/>
    <hyperlink r:id="rId1324" ref="A681"/>
    <hyperlink r:id="rId1325" ref="B681"/>
    <hyperlink r:id="rId1326" ref="A682"/>
    <hyperlink r:id="rId1327" ref="B682"/>
    <hyperlink r:id="rId1328" ref="A683"/>
    <hyperlink r:id="rId1329" ref="A684"/>
    <hyperlink r:id="rId1330" ref="B684"/>
    <hyperlink r:id="rId1331" ref="A685"/>
    <hyperlink r:id="rId1332" ref="B685"/>
    <hyperlink r:id="rId1333" ref="A686"/>
    <hyperlink r:id="rId1334" ref="B686"/>
    <hyperlink r:id="rId1335" ref="A687"/>
    <hyperlink r:id="rId1336" ref="B687"/>
    <hyperlink r:id="rId1337" ref="A688"/>
    <hyperlink r:id="rId1338" ref="B688"/>
    <hyperlink r:id="rId1339" ref="A689"/>
    <hyperlink r:id="rId1340" ref="B689"/>
    <hyperlink r:id="rId1341" ref="A690"/>
    <hyperlink r:id="rId1342" ref="B690"/>
    <hyperlink r:id="rId1343" location=":~:text=When%20a%20person%20searches%20online%20for%20a,the%20value%20and%20benefits%20of%20geo%2Dtargeted%20SEO." ref="A691"/>
    <hyperlink r:id="rId1344" ref="B691"/>
    <hyperlink r:id="rId1345" ref="A692"/>
    <hyperlink r:id="rId1346" ref="B692"/>
    <hyperlink r:id="rId1347" ref="A693"/>
    <hyperlink r:id="rId1348" ref="B693"/>
    <hyperlink r:id="rId1349" ref="A694"/>
    <hyperlink r:id="rId1350" ref="B694"/>
    <hyperlink r:id="rId1351" ref="A695"/>
    <hyperlink r:id="rId1352" ref="B695"/>
    <hyperlink r:id="rId1353" ref="A696"/>
    <hyperlink r:id="rId1354" ref="B696"/>
    <hyperlink r:id="rId1355" ref="A697"/>
    <hyperlink r:id="rId1356" ref="B697"/>
    <hyperlink r:id="rId1357" ref="A698"/>
    <hyperlink r:id="rId1358" ref="B698"/>
    <hyperlink r:id="rId1359" location=":~:text=and%20service%20approaches%3A-,Agency,Enh%20Media" ref="A699"/>
    <hyperlink r:id="rId1360" ref="B699"/>
    <hyperlink r:id="rId1361" ref="A700"/>
    <hyperlink r:id="rId1362" ref="A701"/>
    <hyperlink r:id="rId1363" ref="B701"/>
    <hyperlink r:id="rId1364" ref="A702"/>
    <hyperlink r:id="rId1365" ref="B702"/>
    <hyperlink r:id="rId1366" ref="A703"/>
    <hyperlink r:id="rId1367" ref="A704"/>
    <hyperlink r:id="rId1368" ref="B704"/>
    <hyperlink r:id="rId1369" ref="A705"/>
    <hyperlink r:id="rId1370" ref="B705"/>
    <hyperlink r:id="rId1371" ref="A706"/>
    <hyperlink r:id="rId1372" ref="B706"/>
    <hyperlink r:id="rId1373" ref="A707"/>
    <hyperlink r:id="rId1374" ref="B707"/>
    <hyperlink r:id="rId1375" ref="A708"/>
    <hyperlink r:id="rId1376" ref="B708"/>
    <hyperlink r:id="rId1377" ref="A709"/>
    <hyperlink r:id="rId1378" ref="B709"/>
    <hyperlink r:id="rId1379" ref="A710"/>
    <hyperlink r:id="rId1380" ref="B710"/>
    <hyperlink r:id="rId1381" ref="A711"/>
    <hyperlink r:id="rId1382" ref="B711"/>
    <hyperlink r:id="rId1383" ref="A712"/>
    <hyperlink r:id="rId1384" ref="B712"/>
    <hyperlink r:id="rId1385" ref="A713"/>
    <hyperlink r:id="rId1386" ref="B713"/>
    <hyperlink r:id="rId1387" ref="A714"/>
    <hyperlink r:id="rId1388" ref="B714"/>
    <hyperlink r:id="rId1389" ref="A715"/>
    <hyperlink r:id="rId1390" ref="B715"/>
    <hyperlink r:id="rId1391" ref="A716"/>
    <hyperlink r:id="rId1392" ref="B716"/>
    <hyperlink r:id="rId1393" ref="A717"/>
    <hyperlink r:id="rId1394" ref="B717"/>
    <hyperlink r:id="rId1395" ref="A718"/>
    <hyperlink r:id="rId1396" ref="B718"/>
    <hyperlink r:id="rId1397" ref="A719"/>
    <hyperlink r:id="rId1398" ref="B719"/>
    <hyperlink r:id="rId1399" ref="A720"/>
    <hyperlink r:id="rId1400" ref="B720"/>
    <hyperlink r:id="rId1401" ref="A721"/>
    <hyperlink r:id="rId1402" ref="B721"/>
    <hyperlink r:id="rId1403" ref="A722"/>
    <hyperlink r:id="rId1404" ref="B722"/>
    <hyperlink r:id="rId1405" ref="A723"/>
    <hyperlink r:id="rId1406" ref="B723"/>
    <hyperlink r:id="rId1407" ref="A724"/>
    <hyperlink r:id="rId1408" ref="B724"/>
    <hyperlink r:id="rId1409" ref="A725"/>
    <hyperlink r:id="rId1410" ref="B725"/>
    <hyperlink r:id="rId1411" ref="A726"/>
    <hyperlink r:id="rId1412" ref="B726"/>
    <hyperlink r:id="rId1413" ref="A727"/>
    <hyperlink r:id="rId1414" ref="B727"/>
    <hyperlink r:id="rId1415" ref="A728"/>
    <hyperlink r:id="rId1416" ref="B728"/>
    <hyperlink r:id="rId1417" ref="A729"/>
    <hyperlink r:id="rId1418" ref="B729"/>
    <hyperlink r:id="rId1419" ref="A730"/>
    <hyperlink r:id="rId1420" ref="B730"/>
    <hyperlink r:id="rId1421" ref="A731"/>
    <hyperlink r:id="rId1422" ref="B731"/>
    <hyperlink r:id="rId1423" ref="A732"/>
    <hyperlink r:id="rId1424" ref="B732"/>
    <hyperlink r:id="rId1425" ref="A733"/>
    <hyperlink r:id="rId1426" ref="B733"/>
    <hyperlink r:id="rId1427" ref="A734"/>
    <hyperlink r:id="rId1428" ref="A735"/>
    <hyperlink r:id="rId1429" ref="B735"/>
    <hyperlink r:id="rId1430" ref="A736"/>
    <hyperlink r:id="rId1431" ref="A737"/>
    <hyperlink r:id="rId1432" ref="B737"/>
    <hyperlink r:id="rId1433" location=":~:text=Governance%2C%20risk%20management%2C%20and%20architectural%20controls%20are,42001%2C%20and%20the%20NIST%20Risk%20Management%20Framework." ref="A738"/>
    <hyperlink r:id="rId1434" ref="B738"/>
    <hyperlink r:id="rId1435" ref="A739"/>
    <hyperlink r:id="rId1436" ref="B739"/>
    <hyperlink r:id="rId1437" ref="A740"/>
    <hyperlink r:id="rId1438" ref="B740"/>
    <hyperlink r:id="rId1439" ref="A741"/>
    <hyperlink r:id="rId1440" ref="B741"/>
    <hyperlink r:id="rId1441" ref="A742"/>
    <hyperlink r:id="rId1442" ref="B742"/>
    <hyperlink r:id="rId1443" ref="A743"/>
    <hyperlink r:id="rId1444" ref="B743"/>
    <hyperlink r:id="rId1445" ref="A744"/>
    <hyperlink r:id="rId1446" ref="B744"/>
    <hyperlink r:id="rId1447" ref="A745"/>
    <hyperlink r:id="rId1448" ref="B745"/>
    <hyperlink r:id="rId1449" ref="A746"/>
    <hyperlink r:id="rId1450" ref="B746"/>
    <hyperlink r:id="rId1451" ref="A747"/>
    <hyperlink r:id="rId1452" ref="B747"/>
    <hyperlink r:id="rId1453" ref="A748"/>
    <hyperlink r:id="rId1454" ref="B748"/>
    <hyperlink r:id="rId1455" ref="A749"/>
    <hyperlink r:id="rId1456" ref="B749"/>
    <hyperlink r:id="rId1457" ref="A750"/>
    <hyperlink r:id="rId1458" ref="B750"/>
    <hyperlink r:id="rId1459" ref="A751"/>
    <hyperlink r:id="rId1460" ref="B751"/>
    <hyperlink r:id="rId1461" ref="A752"/>
    <hyperlink r:id="rId1462" ref="B752"/>
    <hyperlink r:id="rId1463" ref="A753"/>
    <hyperlink r:id="rId1464" ref="B753"/>
    <hyperlink r:id="rId1465" ref="A754"/>
    <hyperlink r:id="rId1466" ref="B754"/>
    <hyperlink r:id="rId1467" ref="A755"/>
    <hyperlink r:id="rId1468" ref="B755"/>
    <hyperlink r:id="rId1469" ref="A756"/>
    <hyperlink r:id="rId1470" ref="B756"/>
    <hyperlink r:id="rId1471" ref="A757"/>
    <hyperlink r:id="rId1472" ref="B757"/>
    <hyperlink r:id="rId1473" ref="A758"/>
    <hyperlink r:id="rId1474" ref="B758"/>
    <hyperlink r:id="rId1475" ref="A759"/>
    <hyperlink r:id="rId1476" ref="B759"/>
    <hyperlink r:id="rId1477" ref="A760"/>
    <hyperlink r:id="rId1478" ref="B760"/>
    <hyperlink r:id="rId1479" ref="A761"/>
    <hyperlink r:id="rId1480" ref="B761"/>
    <hyperlink r:id="rId1481" ref="A762"/>
    <hyperlink r:id="rId1482" ref="B762"/>
    <hyperlink r:id="rId1483" ref="A763"/>
    <hyperlink r:id="rId1484" ref="B763"/>
    <hyperlink r:id="rId1485" location=":~:text=AI%20SEO%20Dubai%20%7C%20AEO%20%26%20GEO,engines%3B%20we%20optimize%20for%20the%20Generative%20Era." ref="A764"/>
    <hyperlink r:id="rId1486" ref="B764"/>
    <hyperlink r:id="rId1487" ref="A765"/>
    <hyperlink r:id="rId1488" ref="B765"/>
    <hyperlink r:id="rId1489" ref="A766"/>
    <hyperlink r:id="rId1490" ref="B766"/>
    <hyperlink r:id="rId1491" ref="A767"/>
    <hyperlink r:id="rId1492" ref="B767"/>
    <hyperlink r:id="rId1493" ref="A768"/>
    <hyperlink r:id="rId1494" ref="B768"/>
    <hyperlink r:id="rId1495" ref="A769"/>
    <hyperlink r:id="rId1496" ref="B769"/>
    <hyperlink r:id="rId1497" location=":~:text=They%20have%20strong%20digital%20marketing%20services%20across,may%20outgrow%20the%20platform%20as%20they%20scale." ref="A770"/>
    <hyperlink r:id="rId1498" ref="B770"/>
    <hyperlink r:id="rId1499" ref="A771"/>
    <hyperlink r:id="rId1500" ref="B771"/>
    <hyperlink r:id="rId1501" ref="A772"/>
    <hyperlink r:id="rId1502" ref="B772"/>
    <hyperlink r:id="rId1503" ref="A773"/>
    <hyperlink r:id="rId1504" ref="A774"/>
    <hyperlink r:id="rId1505" ref="B774"/>
    <hyperlink r:id="rId1506" ref="A775"/>
    <hyperlink r:id="rId1507" ref="A776"/>
    <hyperlink r:id="rId1508" ref="B776"/>
    <hyperlink r:id="rId1509" ref="A777"/>
    <hyperlink r:id="rId1510" ref="B777"/>
    <hyperlink r:id="rId1511" ref="A778"/>
    <hyperlink r:id="rId1512" ref="B778"/>
    <hyperlink r:id="rId1513" ref="A779"/>
    <hyperlink r:id="rId1514" ref="B779"/>
    <hyperlink r:id="rId1515" ref="A780"/>
    <hyperlink r:id="rId1516" ref="B780"/>
    <hyperlink r:id="rId1517" ref="A781"/>
    <hyperlink r:id="rId1518" ref="B781"/>
    <hyperlink r:id="rId1519" ref="A782"/>
    <hyperlink r:id="rId1520" ref="B782"/>
    <hyperlink r:id="rId1521" location=":~:text=Great%20For%3A%20Mid%2Dmarket%20to%20enterprise%2Dlevel%20businesses%20requiring,and%20advanced%20analytics%20to%20drive%20measurable%20results." ref="A783"/>
    <hyperlink r:id="rId1522" ref="B783"/>
    <hyperlink r:id="rId1523" ref="A784"/>
    <hyperlink r:id="rId1524" ref="B784"/>
    <hyperlink r:id="rId1525" ref="A785"/>
    <hyperlink r:id="rId1526" ref="B785"/>
    <hyperlink r:id="rId1527" ref="A786"/>
    <hyperlink r:id="rId1528" ref="B786"/>
    <hyperlink r:id="rId1529" ref="A787"/>
    <hyperlink r:id="rId1530" ref="B787"/>
    <hyperlink r:id="rId1531" ref="A788"/>
    <hyperlink r:id="rId1532" ref="B788"/>
    <hyperlink r:id="rId1533" ref="A789"/>
    <hyperlink r:id="rId1534" ref="B789"/>
    <hyperlink r:id="rId1535" ref="A790"/>
    <hyperlink r:id="rId1536" ref="B790"/>
    <hyperlink r:id="rId1537" ref="A791"/>
    <hyperlink r:id="rId1538" ref="B791"/>
    <hyperlink r:id="rId1539" ref="A792"/>
    <hyperlink r:id="rId1540" ref="B792"/>
    <hyperlink r:id="rId1541" ref="A793"/>
    <hyperlink r:id="rId1542" ref="B793"/>
    <hyperlink r:id="rId1543" ref="A794"/>
    <hyperlink r:id="rId1544" ref="B794"/>
    <hyperlink r:id="rId1545" ref="A795"/>
    <hyperlink r:id="rId1546" ref="B795"/>
    <hyperlink r:id="rId1547" ref="A796"/>
    <hyperlink r:id="rId1548" ref="B796"/>
    <hyperlink r:id="rId1549" ref="A797"/>
    <hyperlink r:id="rId1550" ref="B797"/>
    <hyperlink r:id="rId1551" ref="A798"/>
    <hyperlink r:id="rId1552" ref="B798"/>
    <hyperlink r:id="rId1553" ref="A799"/>
    <hyperlink r:id="rId1554" ref="B799"/>
    <hyperlink r:id="rId1555" ref="A800"/>
    <hyperlink r:id="rId1556" ref="B800"/>
    <hyperlink r:id="rId1557" ref="A801"/>
    <hyperlink r:id="rId1558" ref="B801"/>
    <hyperlink r:id="rId1559" ref="A802"/>
    <hyperlink r:id="rId1560" ref="B802"/>
    <hyperlink r:id="rId1561" ref="A803"/>
    <hyperlink r:id="rId1562" ref="B803"/>
    <hyperlink r:id="rId1563" ref="A804"/>
    <hyperlink r:id="rId1564" ref="B804"/>
    <hyperlink r:id="rId1565" ref="A805"/>
    <hyperlink r:id="rId1566" ref="B805"/>
    <hyperlink r:id="rId1567" ref="A806"/>
    <hyperlink r:id="rId1568" ref="B806"/>
    <hyperlink r:id="rId1569" ref="A807"/>
    <hyperlink r:id="rId1570" ref="B807"/>
    <hyperlink r:id="rId1571" ref="A808"/>
    <hyperlink r:id="rId1572" ref="A809"/>
    <hyperlink r:id="rId1573" ref="B809"/>
    <hyperlink r:id="rId1574" ref="A810"/>
    <hyperlink r:id="rId1575" ref="B810"/>
    <hyperlink r:id="rId1576" ref="A811"/>
    <hyperlink r:id="rId1577" ref="B811"/>
    <hyperlink r:id="rId1578" ref="A812"/>
    <hyperlink r:id="rId1579" ref="B812"/>
    <hyperlink r:id="rId1580" ref="A813"/>
    <hyperlink r:id="rId1581" ref="B813"/>
    <hyperlink r:id="rId1582" ref="A814"/>
    <hyperlink r:id="rId1583" ref="B814"/>
    <hyperlink r:id="rId1584" ref="A815"/>
    <hyperlink r:id="rId1585" ref="B815"/>
    <hyperlink r:id="rId1586" ref="A816"/>
    <hyperlink r:id="rId1587" ref="B816"/>
    <hyperlink r:id="rId1588" ref="A817"/>
    <hyperlink r:id="rId1589" ref="B817"/>
    <hyperlink r:id="rId1590" ref="A818"/>
    <hyperlink r:id="rId1591" ref="B818"/>
    <hyperlink r:id="rId1592" ref="A819"/>
    <hyperlink r:id="rId1593" ref="B819"/>
    <hyperlink r:id="rId1594" ref="A820"/>
    <hyperlink r:id="rId1595" ref="B820"/>
    <hyperlink r:id="rId1596" ref="A821"/>
    <hyperlink r:id="rId1597" ref="B821"/>
    <hyperlink r:id="rId1598" ref="A822"/>
    <hyperlink r:id="rId1599" ref="B822"/>
    <hyperlink r:id="rId1600" ref="A823"/>
    <hyperlink r:id="rId1601" ref="B823"/>
    <hyperlink r:id="rId1602" ref="A824"/>
    <hyperlink r:id="rId1603" ref="A825"/>
    <hyperlink r:id="rId1604" ref="B825"/>
    <hyperlink r:id="rId1605" ref="A826"/>
    <hyperlink r:id="rId1606" ref="B826"/>
    <hyperlink r:id="rId1607" ref="A827"/>
    <hyperlink r:id="rId1608" ref="B827"/>
    <hyperlink r:id="rId1609" ref="A828"/>
    <hyperlink r:id="rId1610" ref="B828"/>
    <hyperlink r:id="rId1611" ref="A829"/>
    <hyperlink r:id="rId1612" ref="B829"/>
    <hyperlink r:id="rId1613" ref="A830"/>
    <hyperlink r:id="rId1614" ref="B830"/>
    <hyperlink r:id="rId1615" ref="A831"/>
    <hyperlink r:id="rId1616" ref="B831"/>
    <hyperlink r:id="rId1617" ref="A832"/>
    <hyperlink r:id="rId1618" ref="B832"/>
    <hyperlink r:id="rId1619" ref="A833"/>
    <hyperlink r:id="rId1620" ref="B833"/>
    <hyperlink r:id="rId1621" ref="A834"/>
    <hyperlink r:id="rId1622" ref="B834"/>
    <hyperlink r:id="rId1623" ref="A835"/>
    <hyperlink r:id="rId1624" ref="B835"/>
    <hyperlink r:id="rId1625" ref="A836"/>
    <hyperlink r:id="rId1626" ref="B836"/>
    <hyperlink r:id="rId1627" ref="A837"/>
    <hyperlink r:id="rId1628" ref="B837"/>
    <hyperlink r:id="rId1629" ref="A838"/>
    <hyperlink r:id="rId1630" ref="B838"/>
    <hyperlink r:id="rId1631" ref="A839"/>
    <hyperlink r:id="rId1632" ref="B839"/>
    <hyperlink r:id="rId1633" ref="A840"/>
    <hyperlink r:id="rId1634" ref="B840"/>
    <hyperlink r:id="rId1635" ref="A841"/>
    <hyperlink r:id="rId1636" ref="B841"/>
    <hyperlink r:id="rId1637" ref="A842"/>
    <hyperlink r:id="rId1638" ref="B842"/>
    <hyperlink r:id="rId1639" ref="A843"/>
    <hyperlink r:id="rId1640" ref="B843"/>
    <hyperlink r:id="rId1641" ref="A844"/>
    <hyperlink r:id="rId1642" ref="B844"/>
    <hyperlink r:id="rId1643" ref="A845"/>
    <hyperlink r:id="rId1644" ref="B845"/>
    <hyperlink r:id="rId1645" ref="A846"/>
    <hyperlink r:id="rId1646" ref="B846"/>
    <hyperlink r:id="rId1647" ref="A847"/>
    <hyperlink r:id="rId1648" ref="B847"/>
    <hyperlink r:id="rId1649" ref="A848"/>
    <hyperlink r:id="rId1650" ref="B848"/>
    <hyperlink r:id="rId1651" location=":~:text=AI%2Dpowered%20launch%20roadmaps%20with%20channel%20strategy%2C%20campaign,every%20scale%2C%20every%20challenge.%20%2D%20AI%2Dpowered%20intelligence." ref="A849"/>
    <hyperlink r:id="rId1652" ref="B849"/>
    <hyperlink r:id="rId1653" ref="A850"/>
    <hyperlink r:id="rId1654" ref="B850"/>
    <hyperlink r:id="rId1655" ref="A851"/>
    <hyperlink r:id="rId1656" ref="B851"/>
    <hyperlink r:id="rId1657" ref="A852"/>
    <hyperlink r:id="rId1658" ref="B852"/>
    <hyperlink r:id="rId1659" ref="A853"/>
    <hyperlink r:id="rId1660" ref="A854"/>
    <hyperlink r:id="rId1661" ref="B854"/>
    <hyperlink r:id="rId1662" ref="A855"/>
    <hyperlink r:id="rId1663" ref="B855"/>
    <hyperlink r:id="rId1664" ref="A856"/>
    <hyperlink r:id="rId1665" ref="B856"/>
    <hyperlink r:id="rId1666" ref="A857"/>
    <hyperlink r:id="rId1667" ref="B857"/>
    <hyperlink r:id="rId1668" location=":~:text=While%20many%20agencies%20concentrate%20on%20a%20single,that%20continue%20to%20convert%20long%20after%20launch." ref="A858"/>
    <hyperlink r:id="rId1669" ref="B858"/>
    <hyperlink r:id="rId1670" ref="A859"/>
    <hyperlink r:id="rId1671" ref="B859"/>
    <hyperlink r:id="rId1672" ref="A860"/>
    <hyperlink r:id="rId1673" ref="B860"/>
    <hyperlink r:id="rId1674" ref="A861"/>
    <hyperlink r:id="rId1675" ref="B861"/>
    <hyperlink r:id="rId1676" ref="A862"/>
    <hyperlink r:id="rId1677" ref="B862"/>
    <hyperlink r:id="rId1678" ref="A863"/>
    <hyperlink r:id="rId1679" ref="B863"/>
    <hyperlink r:id="rId1680" ref="A864"/>
    <hyperlink r:id="rId1681" ref="B864"/>
    <hyperlink r:id="rId1682" ref="A865"/>
    <hyperlink r:id="rId1683" ref="B865"/>
    <hyperlink r:id="rId1684" ref="A866"/>
    <hyperlink r:id="rId1685" ref="B866"/>
    <hyperlink r:id="rId1686" location=":~:text=They%20saw%20the%20future%20written%20in%20data%3A,to%20create%20Artefact%3A%20data%2Ddriven%2C%20customer%2Dcentric%2C%20business%2Doriented%2C%20unique." ref="A867"/>
    <hyperlink r:id="rId1687" ref="B867"/>
    <hyperlink r:id="rId1688" location=":~:text=Artefact%20is%20a%20global%20leader%20in%20consulting,innovation%20(Art)%20and%20cutting%2Dedge%20AI%20technologies%20(Fact)." ref="A868"/>
    <hyperlink r:id="rId1689" ref="B868"/>
    <hyperlink r:id="rId1690" ref="A869"/>
    <hyperlink r:id="rId1691" ref="B869"/>
    <hyperlink r:id="rId1692" ref="A870"/>
    <hyperlink r:id="rId1693" ref="B870"/>
    <hyperlink r:id="rId1694" ref="A871"/>
    <hyperlink r:id="rId1695" ref="B871"/>
    <hyperlink r:id="rId1696" ref="A872"/>
    <hyperlink r:id="rId1697" ref="B872"/>
    <hyperlink r:id="rId1698" ref="A873"/>
    <hyperlink r:id="rId1699" ref="B873"/>
    <hyperlink r:id="rId1700" ref="A874"/>
    <hyperlink r:id="rId1701" ref="B874"/>
    <hyperlink r:id="rId1702" ref="A875"/>
    <hyperlink r:id="rId1703" ref="B875"/>
    <hyperlink r:id="rId1704" ref="A876"/>
    <hyperlink r:id="rId1705" ref="B876"/>
    <hyperlink r:id="rId1706" ref="A877"/>
    <hyperlink r:id="rId1707" ref="B877"/>
    <hyperlink r:id="rId1708" ref="A878"/>
    <hyperlink r:id="rId1709" ref="B878"/>
    <hyperlink r:id="rId1710" ref="A879"/>
    <hyperlink r:id="rId1711" ref="B879"/>
    <hyperlink r:id="rId1712" location=":~:text=Phable%20%7C%20Tech%20startup%20branding%20%7C%20Brand,%7C%20Mid%2Dmarket%2C%20enterprise%20%7C%20Custom%20%7C%20%E2%AD%90%E2%AD%90%E2%AD%90%E2%AD%90" ref="A880"/>
    <hyperlink r:id="rId1713" ref="B880"/>
    <hyperlink r:id="rId1714" ref="A881"/>
    <hyperlink r:id="rId1715" ref="B881"/>
    <hyperlink r:id="rId1716" ref="A882"/>
    <hyperlink r:id="rId1717" ref="B882"/>
    <hyperlink r:id="rId1718" ref="A883"/>
    <hyperlink r:id="rId1719" ref="B883"/>
    <hyperlink r:id="rId1720" ref="A884"/>
    <hyperlink r:id="rId1721" ref="B884"/>
    <hyperlink r:id="rId1722" ref="A885"/>
    <hyperlink r:id="rId1723" ref="B885"/>
    <hyperlink r:id="rId1724" ref="A886"/>
    <hyperlink r:id="rId1725" ref="B886"/>
    <hyperlink r:id="rId1726" ref="A887"/>
    <hyperlink r:id="rId1727" ref="B887"/>
    <hyperlink r:id="rId1728" ref="A888"/>
    <hyperlink r:id="rId1729" ref="B888"/>
    <hyperlink r:id="rId1730" ref="A889"/>
    <hyperlink r:id="rId1731" ref="B889"/>
    <hyperlink r:id="rId1732" ref="A890"/>
    <hyperlink r:id="rId1733" ref="B890"/>
    <hyperlink r:id="rId1734" ref="A891"/>
    <hyperlink r:id="rId1735" ref="B891"/>
    <hyperlink r:id="rId1736" ref="A892"/>
    <hyperlink r:id="rId1737" ref="B892"/>
    <hyperlink r:id="rId1738" ref="A893"/>
    <hyperlink r:id="rId1739" ref="B893"/>
    <hyperlink r:id="rId1740" ref="A894"/>
    <hyperlink r:id="rId1741" ref="B894"/>
    <hyperlink r:id="rId1742" ref="A895"/>
    <hyperlink r:id="rId1743" ref="B895"/>
    <hyperlink r:id="rId1744" ref="A896"/>
    <hyperlink r:id="rId1745" ref="B896"/>
    <hyperlink r:id="rId1746" ref="A897"/>
    <hyperlink r:id="rId1747" ref="B897"/>
    <hyperlink r:id="rId1748" ref="A898"/>
    <hyperlink r:id="rId1749" ref="B898"/>
    <hyperlink r:id="rId1750" ref="A899"/>
    <hyperlink r:id="rId1751" ref="B899"/>
    <hyperlink r:id="rId1752" location=":~:text=Key%20Capabilities%3A%20%2D%20AI%20strategy%2C%20consulting%2C%20and,ecosystems.%20%2D%20Cloud%2Dbased%20AI%20development%20and%20deployment." ref="A900"/>
    <hyperlink r:id="rId1753" ref="B900"/>
    <hyperlink r:id="rId1754" ref="A901"/>
    <hyperlink r:id="rId1755" ref="B901"/>
    <hyperlink r:id="rId1756" ref="A902"/>
    <hyperlink r:id="rId1757" ref="B902"/>
    <hyperlink r:id="rId1758" ref="A903"/>
    <hyperlink r:id="rId1759" ref="A904"/>
    <hyperlink r:id="rId1760" ref="B904"/>
    <hyperlink r:id="rId1761" ref="A905"/>
    <hyperlink r:id="rId1762" ref="B905"/>
    <hyperlink r:id="rId1763" ref="A906"/>
    <hyperlink r:id="rId1764" ref="B906"/>
    <hyperlink r:id="rId1765" ref="A907"/>
    <hyperlink r:id="rId1766" ref="B907"/>
    <hyperlink r:id="rId1767" ref="A908"/>
    <hyperlink r:id="rId1768" ref="B908"/>
    <hyperlink r:id="rId1769" ref="A909"/>
    <hyperlink r:id="rId1770" ref="B909"/>
    <hyperlink r:id="rId1771" ref="A910"/>
    <hyperlink r:id="rId1772" ref="B910"/>
    <hyperlink r:id="rId1773" ref="A911"/>
    <hyperlink r:id="rId1774" ref="B911"/>
    <hyperlink r:id="rId1775" ref="A912"/>
    <hyperlink r:id="rId1776" ref="B912"/>
    <hyperlink r:id="rId1777" ref="A913"/>
    <hyperlink r:id="rId1778" ref="B913"/>
    <hyperlink r:id="rId1779" ref="A914"/>
    <hyperlink r:id="rId1780" ref="B914"/>
    <hyperlink r:id="rId1781" ref="A915"/>
    <hyperlink r:id="rId1782" ref="B915"/>
    <hyperlink r:id="rId1783" ref="A916"/>
    <hyperlink r:id="rId1784" ref="B916"/>
    <hyperlink r:id="rId1785" ref="A917"/>
    <hyperlink r:id="rId1786" ref="B917"/>
    <hyperlink r:id="rId1787" ref="A918"/>
    <hyperlink r:id="rId1788" ref="B918"/>
    <hyperlink r:id="rId1789" ref="A919"/>
    <hyperlink r:id="rId1790" ref="B919"/>
    <hyperlink r:id="rId1791" ref="A920"/>
    <hyperlink r:id="rId1792" ref="B920"/>
    <hyperlink r:id="rId1793" ref="A921"/>
    <hyperlink r:id="rId1794" ref="B921"/>
    <hyperlink r:id="rId1795" ref="A922"/>
    <hyperlink r:id="rId1796" ref="B922"/>
    <hyperlink r:id="rId1797" location=":~:text=Fifty%2Dfour%20per%20cent%20of%20UAE%20shoppers%20are,persuade%20people.%20When%20AI%20agents%20sit%20between" ref="A923"/>
    <hyperlink r:id="rId1798" ref="B923"/>
    <hyperlink r:id="rId1799" ref="A924"/>
    <hyperlink r:id="rId1800" ref="B924"/>
    <hyperlink r:id="rId1801" ref="A925"/>
    <hyperlink r:id="rId1802" ref="A926"/>
    <hyperlink r:id="rId1803" ref="B926"/>
    <hyperlink r:id="rId1804" ref="A927"/>
    <hyperlink r:id="rId1805" ref="A928"/>
    <hyperlink r:id="rId1806" ref="B928"/>
    <hyperlink r:id="rId1807" ref="A929"/>
    <hyperlink r:id="rId1808" ref="B929"/>
    <hyperlink r:id="rId1809" ref="A930"/>
    <hyperlink r:id="rId1810" ref="B930"/>
    <hyperlink r:id="rId1811" ref="A931"/>
    <hyperlink r:id="rId1812" ref="B931"/>
    <hyperlink r:id="rId1813" ref="A932"/>
    <hyperlink r:id="rId1814" ref="B932"/>
    <hyperlink r:id="rId1815" ref="A933"/>
    <hyperlink r:id="rId1816" ref="B933"/>
    <hyperlink r:id="rId1817" ref="A934"/>
    <hyperlink r:id="rId1818" ref="B934"/>
    <hyperlink r:id="rId1819" ref="A935"/>
    <hyperlink r:id="rId1820" ref="B935"/>
    <hyperlink r:id="rId1821" ref="A936"/>
    <hyperlink r:id="rId1822" ref="B936"/>
    <hyperlink r:id="rId1823" location=":~:text=Nowadays%20businesses%20require%20Answer%20Engine%20Optimization%20AEO,generative%20intelligence%20to%20replace%20traditional%20search%20methods." ref="A937"/>
    <hyperlink r:id="rId1824" ref="B937"/>
    <hyperlink r:id="rId1825" ref="A938"/>
    <hyperlink r:id="rId1826" ref="B938"/>
    <hyperlink r:id="rId1827" ref="A939"/>
    <hyperlink r:id="rId1828" ref="B939"/>
    <hyperlink r:id="rId1829" ref="A940"/>
    <hyperlink r:id="rId1830" ref="B940"/>
    <hyperlink r:id="rId1831" ref="A941"/>
    <hyperlink r:id="rId1832" ref="B941"/>
    <hyperlink r:id="rId1833" ref="A942"/>
    <hyperlink r:id="rId1834" ref="B942"/>
    <hyperlink r:id="rId1835" ref="A943"/>
    <hyperlink r:id="rId1836" ref="B943"/>
    <hyperlink r:id="rId1837" ref="A944"/>
    <hyperlink r:id="rId1838" ref="B944"/>
    <hyperlink r:id="rId1839" ref="A945"/>
    <hyperlink r:id="rId1840" ref="B945"/>
    <hyperlink r:id="rId1841" ref="A946"/>
    <hyperlink r:id="rId1842" ref="B946"/>
    <hyperlink r:id="rId1843" ref="A947"/>
    <hyperlink r:id="rId1844" ref="B947"/>
    <hyperlink r:id="rId1845" ref="A948"/>
    <hyperlink r:id="rId1846" ref="B948"/>
    <hyperlink r:id="rId1847" ref="A949"/>
    <hyperlink r:id="rId1848" ref="B949"/>
    <hyperlink r:id="rId1849" ref="A950"/>
    <hyperlink r:id="rId1850" ref="B950"/>
    <hyperlink r:id="rId1851" ref="A951"/>
    <hyperlink r:id="rId1852" ref="B951"/>
    <hyperlink r:id="rId1853" ref="A952"/>
    <hyperlink r:id="rId1854" ref="B952"/>
    <hyperlink r:id="rId1855" ref="A953"/>
    <hyperlink r:id="rId1856" ref="B953"/>
    <hyperlink r:id="rId1857" ref="A954"/>
    <hyperlink r:id="rId1858" ref="B954"/>
    <hyperlink r:id="rId1859" ref="A955"/>
    <hyperlink r:id="rId1860" ref="B955"/>
    <hyperlink r:id="rId1861" ref="A956"/>
    <hyperlink r:id="rId1862" ref="B956"/>
    <hyperlink r:id="rId1863" ref="A957"/>
    <hyperlink r:id="rId1864" ref="B957"/>
    <hyperlink r:id="rId1865" ref="A958"/>
    <hyperlink r:id="rId1866" ref="B958"/>
    <hyperlink r:id="rId1867" ref="A959"/>
    <hyperlink r:id="rId1868" ref="B959"/>
    <hyperlink r:id="rId1869" location=":~:text=Generative%20Engine%20Optimization%20(GEO)%20ensures%20your%20brand,ChatGPT%2C%20Gemini%2C%20Bing%20AI%2C%20Perplexity%20and%20more." ref="A960"/>
    <hyperlink r:id="rId1870" ref="B960"/>
    <hyperlink r:id="rId1871" ref="A961"/>
    <hyperlink r:id="rId1872" ref="B961"/>
    <hyperlink r:id="rId1873" ref="A962"/>
    <hyperlink r:id="rId1874" ref="B962"/>
    <hyperlink r:id="rId1875" ref="A963"/>
    <hyperlink r:id="rId1876" ref="B963"/>
    <hyperlink r:id="rId1877" ref="A964"/>
    <hyperlink r:id="rId1878" ref="B964"/>
    <hyperlink r:id="rId1879" ref="A965"/>
    <hyperlink r:id="rId1880" ref="B965"/>
    <hyperlink r:id="rId1881" ref="A966"/>
    <hyperlink r:id="rId1882" ref="B966"/>
    <hyperlink r:id="rId1883" ref="A967"/>
    <hyperlink r:id="rId1884" ref="B967"/>
    <hyperlink r:id="rId1885" ref="A968"/>
    <hyperlink r:id="rId1886" ref="B968"/>
    <hyperlink r:id="rId1887" location=":~:text=%23%20Media%20Buying%20Services%20Market%3A%20Segment%20Comparison,enterprises%2C%20data%2Ddriven%20brands%20%7C%20Automotive%2C%20BFSI%2C%20healthcare" ref="A969"/>
    <hyperlink r:id="rId1888" ref="B969"/>
    <hyperlink r:id="rId1889" ref="A970"/>
    <hyperlink r:id="rId1890" ref="B970"/>
    <hyperlink r:id="rId1891" ref="A971"/>
    <hyperlink r:id="rId1892" ref="B971"/>
    <hyperlink r:id="rId1893" ref="A972"/>
    <hyperlink r:id="rId1894" ref="A973"/>
    <hyperlink r:id="rId1895" ref="B973"/>
    <hyperlink r:id="rId1896" ref="A974"/>
    <hyperlink r:id="rId1897" ref="B974"/>
    <hyperlink r:id="rId1898" ref="A975"/>
    <hyperlink r:id="rId1899" ref="B975"/>
    <hyperlink r:id="rId1900" ref="A976"/>
    <hyperlink r:id="rId1901" ref="B976"/>
    <hyperlink r:id="rId1902" ref="A977"/>
    <hyperlink r:id="rId1903" ref="B977"/>
    <hyperlink r:id="rId1904" ref="A978"/>
    <hyperlink r:id="rId1905" ref="B978"/>
    <hyperlink r:id="rId1906" ref="A979"/>
    <hyperlink r:id="rId1907" ref="B979"/>
    <hyperlink r:id="rId1908" ref="A980"/>
    <hyperlink r:id="rId1909" ref="B980"/>
    <hyperlink r:id="rId1910" location=":~:text=At%20Dhruva%20Consultants%2C%20our%20team%20can%20help,periodic%20compliance%20and%20the%20maintenance%20of%20records." ref="A981"/>
    <hyperlink r:id="rId1911" ref="B981"/>
    <hyperlink r:id="rId1912" ref="A982"/>
    <hyperlink r:id="rId1913" ref="B982"/>
    <hyperlink r:id="rId1914" ref="A983"/>
    <hyperlink r:id="rId1915" ref="B983"/>
    <hyperlink r:id="rId1916" location=":~:text=Digidot%20also%20offers%20ranking%20visibility,optimizing%20for%20that%20channel%20yet." ref="A984"/>
    <hyperlink r:id="rId1917" ref="B984"/>
    <hyperlink r:id="rId1918" ref="A985"/>
    <hyperlink r:id="rId1919" ref="B985"/>
    <hyperlink r:id="rId1920" ref="A986"/>
    <hyperlink r:id="rId1921" ref="B986"/>
    <hyperlink r:id="rId1922" ref="A987"/>
    <hyperlink r:id="rId1923" ref="B987"/>
    <hyperlink r:id="rId1924" ref="A988"/>
    <hyperlink r:id="rId1925" ref="B988"/>
    <hyperlink r:id="rId1926" ref="A989"/>
    <hyperlink r:id="rId1927" ref="B989"/>
    <hyperlink r:id="rId1928" ref="A990"/>
    <hyperlink r:id="rId1929" ref="B990"/>
    <hyperlink r:id="rId1930" ref="A991"/>
    <hyperlink r:id="rId1931" ref="B991"/>
    <hyperlink r:id="rId1932" ref="A992"/>
    <hyperlink r:id="rId1933" ref="B992"/>
    <hyperlink r:id="rId1934" ref="A993"/>
    <hyperlink r:id="rId1935" ref="B993"/>
    <hyperlink r:id="rId1936" ref="A994"/>
    <hyperlink r:id="rId1937" ref="B994"/>
    <hyperlink r:id="rId1938" ref="A995"/>
    <hyperlink r:id="rId1939" ref="B995"/>
    <hyperlink r:id="rId1940" ref="A996"/>
    <hyperlink r:id="rId1941" ref="B996"/>
    <hyperlink r:id="rId1942" ref="A997"/>
    <hyperlink r:id="rId1943" ref="B997"/>
    <hyperlink r:id="rId1944" location=":~:text=Trusted%20by%20Leading%20Brands%20Who%20Value%20Growth%2C,that%20match%20your%20audience's%20preferences.%20%7C%20Data%2DDriven." ref="A998"/>
    <hyperlink r:id="rId1945" ref="B998"/>
    <hyperlink r:id="rId1946" ref="A999"/>
    <hyperlink r:id="rId1947" ref="B999"/>
    <hyperlink r:id="rId1948" ref="A1000"/>
    <hyperlink r:id="rId1949" ref="B1000"/>
    <hyperlink r:id="rId1950" location=":~:text=We%20deploy%20data%20science%2C%20advanced%20analytics%2C%20and,achieve%20competitive%20advantage%20and%20successful%20business%20outcomes." ref="A1001"/>
    <hyperlink r:id="rId1951" ref="B1001"/>
    <hyperlink r:id="rId1952" ref="A1002"/>
    <hyperlink r:id="rId1953" ref="B1002"/>
    <hyperlink r:id="rId1954" ref="A1003"/>
    <hyperlink r:id="rId1955" ref="B1003"/>
    <hyperlink r:id="rId1956" ref="A1004"/>
    <hyperlink r:id="rId1957" ref="B1004"/>
    <hyperlink r:id="rId1958" ref="A1005"/>
    <hyperlink r:id="rId1959" ref="A1006"/>
    <hyperlink r:id="rId1960" ref="B1006"/>
    <hyperlink r:id="rId1961" ref="A1007"/>
    <hyperlink r:id="rId1962" ref="B1007"/>
    <hyperlink r:id="rId1963" ref="A1008"/>
    <hyperlink r:id="rId1964" ref="B1008"/>
    <hyperlink r:id="rId1965" ref="A1009"/>
    <hyperlink r:id="rId1966" ref="B1009"/>
    <hyperlink r:id="rId1967" ref="A1010"/>
    <hyperlink r:id="rId1968" ref="B1010"/>
    <hyperlink r:id="rId1969" ref="A1011"/>
    <hyperlink r:id="rId1970" ref="B1011"/>
    <hyperlink r:id="rId1971" ref="A1012"/>
    <hyperlink r:id="rId1972" ref="B1012"/>
    <hyperlink r:id="rId1973" ref="A1013"/>
    <hyperlink r:id="rId1974" ref="A1014"/>
    <hyperlink r:id="rId1975" ref="B1014"/>
    <hyperlink r:id="rId1976" ref="A1015"/>
    <hyperlink r:id="rId1977" ref="B1015"/>
    <hyperlink r:id="rId1978" ref="A1016"/>
    <hyperlink r:id="rId1979" ref="B1016"/>
    <hyperlink r:id="rId1980" ref="A1017"/>
    <hyperlink r:id="rId1981" ref="B1017"/>
    <hyperlink r:id="rId1982" ref="A1018"/>
    <hyperlink r:id="rId1983" ref="B1018"/>
    <hyperlink r:id="rId1984" ref="A1019"/>
    <hyperlink r:id="rId1985" ref="B1019"/>
    <hyperlink r:id="rId1986" ref="A1020"/>
    <hyperlink r:id="rId1987" ref="B1020"/>
    <hyperlink r:id="rId1988" ref="A1021"/>
    <hyperlink r:id="rId1989" ref="B1021"/>
    <hyperlink r:id="rId1990" ref="A1022"/>
    <hyperlink r:id="rId1991" ref="B1022"/>
    <hyperlink r:id="rId1992" ref="A1023"/>
    <hyperlink r:id="rId1993" ref="B1023"/>
    <hyperlink r:id="rId1994" ref="A1024"/>
    <hyperlink r:id="rId1995" ref="B1024"/>
    <hyperlink r:id="rId1996" ref="A1025"/>
    <hyperlink r:id="rId1997" ref="B1025"/>
    <hyperlink r:id="rId1998" ref="A1026"/>
    <hyperlink r:id="rId1999" ref="B1026"/>
    <hyperlink r:id="rId2000" location=":~:text=GPT%2D5%20for%20campaign%20planning%2C%20competitive%20synthesis%2C%20and,analysis.%20Best%20depth%2Dof%2Dreasoning%20in%20the%20stack.%20Gemini." ref="A1027"/>
    <hyperlink r:id="rId2001" ref="B1027"/>
    <hyperlink r:id="rId2002" ref="A1028"/>
    <hyperlink r:id="rId2003" ref="B1028"/>
    <hyperlink r:id="rId2004" ref="A1029"/>
    <hyperlink r:id="rId2005" ref="B1029"/>
    <hyperlink r:id="rId2006" ref="A1030"/>
    <hyperlink r:id="rId2007" ref="B1030"/>
    <hyperlink r:id="rId2008" ref="A1031"/>
    <hyperlink r:id="rId2009" ref="B1031"/>
    <hyperlink r:id="rId2010" ref="A1032"/>
    <hyperlink r:id="rId2011" ref="B1032"/>
    <hyperlink r:id="rId2012" ref="A1033"/>
    <hyperlink r:id="rId2013" ref="B1033"/>
    <hyperlink r:id="rId2014" ref="A1034"/>
    <hyperlink r:id="rId2015" ref="B1034"/>
    <hyperlink r:id="rId2016" ref="A1035"/>
    <hyperlink r:id="rId2017" ref="B1035"/>
    <hyperlink r:id="rId2018" ref="A1036"/>
    <hyperlink r:id="rId2019" ref="B1036"/>
    <hyperlink r:id="rId2020" ref="A1037"/>
    <hyperlink r:id="rId2021" ref="B1037"/>
    <hyperlink r:id="rId2022" ref="A1038"/>
    <hyperlink r:id="rId2023" ref="B1038"/>
    <hyperlink r:id="rId2024" ref="A1039"/>
    <hyperlink r:id="rId2025" ref="B1039"/>
    <hyperlink r:id="rId2026" ref="A1040"/>
    <hyperlink r:id="rId2027" ref="B1040"/>
    <hyperlink r:id="rId2028" ref="A1041"/>
    <hyperlink r:id="rId2029" ref="A1042"/>
    <hyperlink r:id="rId2030" ref="A1043"/>
    <hyperlink r:id="rId2031" ref="A1044"/>
    <hyperlink r:id="rId2032" ref="B1044"/>
    <hyperlink r:id="rId2033" ref="A1045"/>
    <hyperlink r:id="rId2034" ref="B1045"/>
    <hyperlink r:id="rId2035" ref="A1046"/>
    <hyperlink r:id="rId2036" ref="B1046"/>
    <hyperlink r:id="rId2037" ref="A1047"/>
    <hyperlink r:id="rId2038" ref="B1047"/>
    <hyperlink r:id="rId2039" ref="A1048"/>
    <hyperlink r:id="rId2040" ref="B1048"/>
    <hyperlink r:id="rId2041" ref="A1049"/>
    <hyperlink r:id="rId2042" ref="B1049"/>
    <hyperlink r:id="rId2043" ref="A1050"/>
    <hyperlink r:id="rId2044" ref="B1050"/>
    <hyperlink r:id="rId2045" ref="A1051"/>
    <hyperlink r:id="rId2046" ref="B1051"/>
    <hyperlink r:id="rId2047" location=":~:text=Salesforce%20Data%20Cloud%20is%20a%20software%20that,delivery%20of%20relevant%20information%20across%20business%20processes." ref="A1052"/>
    <hyperlink r:id="rId2048" ref="B1052"/>
    <hyperlink r:id="rId2049" ref="A1053"/>
    <hyperlink r:id="rId2050" ref="B1053"/>
    <hyperlink r:id="rId2051" ref="A1054"/>
    <hyperlink r:id="rId2052" ref="B1054"/>
    <hyperlink r:id="rId2053" ref="A1055"/>
    <hyperlink r:id="rId2054" ref="B1055"/>
    <hyperlink r:id="rId2055" ref="A1056"/>
    <hyperlink r:id="rId2056" ref="B1056"/>
    <hyperlink r:id="rId2057" ref="A1057"/>
    <hyperlink r:id="rId2058" ref="B1057"/>
    <hyperlink r:id="rId2059" ref="A1058"/>
    <hyperlink r:id="rId2060" ref="B1058"/>
    <hyperlink r:id="rId2061" ref="A1059"/>
    <hyperlink r:id="rId2062" ref="B1059"/>
    <hyperlink r:id="rId2063" ref="A1060"/>
    <hyperlink r:id="rId2064" ref="B1060"/>
    <hyperlink r:id="rId2065" ref="A1061"/>
    <hyperlink r:id="rId2066" ref="B1061"/>
    <hyperlink r:id="rId2067" ref="A1062"/>
    <hyperlink r:id="rId2068" ref="B1062"/>
    <hyperlink r:id="rId2069" ref="A1063"/>
    <hyperlink r:id="rId2070" ref="B1063"/>
    <hyperlink r:id="rId2071" location=":~:text=Editor's%20top%203%20picks%20%2D%20ADYOUNEED.%20Event,%2D%20Digital%20Marketing%20Agency%20Dubai.%20Editor%20pick." ref="A1064"/>
    <hyperlink r:id="rId2072" ref="B1064"/>
    <hyperlink r:id="rId2073" ref="A1065"/>
    <hyperlink r:id="rId2074" ref="B1065"/>
    <hyperlink r:id="rId2075" ref="A1066"/>
    <hyperlink r:id="rId2076" ref="B1066"/>
    <hyperlink r:id="rId2077" ref="A1067"/>
    <hyperlink r:id="rId2078" ref="B1067"/>
    <hyperlink r:id="rId2079" location=":~:text=Making%20your%20content%20clearer%20for%20AI%20to,%2D%20AI%20browser%20%26%20LLM%20appearance%20monitoring." ref="A1068"/>
    <hyperlink r:id="rId2080" ref="B1068"/>
    <hyperlink r:id="rId2081" location=":~:text=Digital%20Nexa%20combines%20AI%20tools,AEO%20services%20under%20one%20roof." ref="A1069"/>
    <hyperlink r:id="rId2082" ref="B1069"/>
    <hyperlink r:id="rId2083" ref="A1070"/>
    <hyperlink r:id="rId2084" ref="B1070"/>
    <hyperlink r:id="rId2085" ref="A1071"/>
    <hyperlink r:id="rId2086" ref="B1071"/>
    <hyperlink r:id="rId2087" ref="A1072"/>
    <hyperlink r:id="rId2088" ref="B1072"/>
    <hyperlink r:id="rId2089" ref="A1073"/>
    <hyperlink r:id="rId2090" ref="B1073"/>
    <hyperlink r:id="rId2091" ref="A1074"/>
    <hyperlink r:id="rId2092" ref="B1074"/>
    <hyperlink r:id="rId2093" ref="A1075"/>
    <hyperlink r:id="rId2094" ref="B1075"/>
    <hyperlink r:id="rId2095" ref="A1076"/>
    <hyperlink r:id="rId2096" ref="B1076"/>
    <hyperlink r:id="rId2097" ref="A1077"/>
    <hyperlink r:id="rId2098" ref="B1077"/>
    <hyperlink r:id="rId2099" ref="A1078"/>
    <hyperlink r:id="rId2100" ref="B1078"/>
    <hyperlink r:id="rId2101" ref="A1079"/>
    <hyperlink r:id="rId2102" ref="B1079"/>
    <hyperlink r:id="rId2103" ref="A1080"/>
    <hyperlink r:id="rId2104" ref="B1080"/>
    <hyperlink r:id="rId2105" ref="A1081"/>
    <hyperlink r:id="rId2106" ref="B1081"/>
    <hyperlink r:id="rId2107" ref="A1082"/>
    <hyperlink r:id="rId2108" ref="B1082"/>
    <hyperlink r:id="rId2109" ref="A1083"/>
    <hyperlink r:id="rId2110" ref="B1083"/>
    <hyperlink r:id="rId2111" ref="A1084"/>
    <hyperlink r:id="rId2112" ref="B1084"/>
    <hyperlink r:id="rId2113" ref="A1085"/>
    <hyperlink r:id="rId2114" ref="B1085"/>
    <hyperlink r:id="rId2115" ref="A1086"/>
    <hyperlink r:id="rId2116" ref="B1086"/>
    <hyperlink r:id="rId2117" ref="A1087"/>
    <hyperlink r:id="rId2118" ref="B1087"/>
    <hyperlink r:id="rId2119" ref="A1088"/>
    <hyperlink r:id="rId2120" ref="B1088"/>
    <hyperlink r:id="rId2121" ref="A1089"/>
    <hyperlink r:id="rId2122" ref="B1089"/>
    <hyperlink r:id="rId2123" ref="A1090"/>
    <hyperlink r:id="rId2124" ref="B1090"/>
    <hyperlink r:id="rId2125" ref="A1091"/>
    <hyperlink r:id="rId2126" ref="B1091"/>
    <hyperlink r:id="rId2127" ref="A1092"/>
    <hyperlink r:id="rId2128" ref="B1092"/>
    <hyperlink r:id="rId2129" ref="A1093"/>
    <hyperlink r:id="rId2130" ref="B1093"/>
    <hyperlink r:id="rId2131" ref="A1094"/>
    <hyperlink r:id="rId2132" ref="B1094"/>
    <hyperlink r:id="rId2133" ref="A1095"/>
    <hyperlink r:id="rId2134" ref="A1096"/>
    <hyperlink r:id="rId2135" ref="A1097"/>
    <hyperlink r:id="rId2136" ref="A1098"/>
    <hyperlink r:id="rId2137" ref="B1098"/>
    <hyperlink r:id="rId2138" ref="A1099"/>
    <hyperlink r:id="rId2139" ref="B1099"/>
    <hyperlink r:id="rId2140" ref="A1100"/>
    <hyperlink r:id="rId2141" ref="B1100"/>
    <hyperlink r:id="rId2142" ref="A1101"/>
    <hyperlink r:id="rId2143" ref="B1101"/>
    <hyperlink r:id="rId2144" ref="A1102"/>
    <hyperlink r:id="rId2145" ref="B1102"/>
    <hyperlink r:id="rId2146" ref="A1103"/>
    <hyperlink r:id="rId2147" ref="B1103"/>
    <hyperlink r:id="rId2148" ref="A1104"/>
    <hyperlink r:id="rId2149" ref="B1104"/>
    <hyperlink r:id="rId2150" ref="A1105"/>
    <hyperlink r:id="rId2151" ref="B1105"/>
    <hyperlink r:id="rId2152" ref="A1106"/>
    <hyperlink r:id="rId2153" ref="B1106"/>
    <hyperlink r:id="rId2154" ref="A1107"/>
    <hyperlink r:id="rId2155" ref="B1107"/>
    <hyperlink r:id="rId2156" ref="A1108"/>
    <hyperlink r:id="rId2157" ref="B1108"/>
    <hyperlink r:id="rId2158" ref="A1109"/>
    <hyperlink r:id="rId2159" ref="B1109"/>
    <hyperlink r:id="rId2160" ref="A1110"/>
    <hyperlink r:id="rId2161" ref="B1110"/>
    <hyperlink r:id="rId2162" ref="A1111"/>
    <hyperlink r:id="rId2163" ref="B1111"/>
    <hyperlink r:id="rId2164" ref="A1112"/>
    <hyperlink r:id="rId2165" ref="B1112"/>
    <hyperlink r:id="rId2166" ref="A1113"/>
    <hyperlink r:id="rId2167" ref="B1113"/>
    <hyperlink r:id="rId2168" ref="A1114"/>
    <hyperlink r:id="rId2169" ref="B1114"/>
    <hyperlink r:id="rId2170" ref="A1115"/>
    <hyperlink r:id="rId2171" ref="B1115"/>
    <hyperlink r:id="rId2172" ref="A1116"/>
    <hyperlink r:id="rId2173" ref="B1116"/>
    <hyperlink r:id="rId2174" ref="A1117"/>
    <hyperlink r:id="rId2175" ref="B1117"/>
    <hyperlink r:id="rId2176" ref="A1118"/>
    <hyperlink r:id="rId2177" ref="B1118"/>
    <hyperlink r:id="rId2178" ref="A1119"/>
    <hyperlink r:id="rId2179" ref="B1119"/>
    <hyperlink r:id="rId2180" ref="A1120"/>
    <hyperlink r:id="rId2181" ref="B1120"/>
    <hyperlink r:id="rId2182" ref="A1121"/>
    <hyperlink r:id="rId2183" ref="B1121"/>
    <hyperlink r:id="rId2184" ref="A1122"/>
    <hyperlink r:id="rId2185" ref="B1122"/>
    <hyperlink r:id="rId2186" ref="A1123"/>
    <hyperlink r:id="rId2187" ref="B1123"/>
    <hyperlink r:id="rId2188" ref="A1124"/>
    <hyperlink r:id="rId2189" ref="B1124"/>
    <hyperlink r:id="rId2190" ref="A1125"/>
    <hyperlink r:id="rId2191" ref="B1125"/>
    <hyperlink r:id="rId2192" ref="A1126"/>
    <hyperlink r:id="rId2193" ref="B1126"/>
    <hyperlink r:id="rId2194" ref="A1127"/>
    <hyperlink r:id="rId2195" ref="B1127"/>
    <hyperlink r:id="rId2196" ref="A1128"/>
    <hyperlink r:id="rId2197" ref="B1128"/>
    <hyperlink r:id="rId2198" ref="A1129"/>
    <hyperlink r:id="rId2199" ref="B1129"/>
    <hyperlink r:id="rId2200" ref="A1130"/>
    <hyperlink r:id="rId2201" ref="A1131"/>
    <hyperlink r:id="rId2202" ref="B1131"/>
    <hyperlink r:id="rId2203" ref="A1132"/>
    <hyperlink r:id="rId2204" ref="B1132"/>
    <hyperlink r:id="rId2205" ref="A1133"/>
    <hyperlink r:id="rId2206" ref="A1134"/>
    <hyperlink r:id="rId2207" ref="B1134"/>
    <hyperlink r:id="rId2208" ref="A1135"/>
    <hyperlink r:id="rId2209" ref="B1135"/>
    <hyperlink r:id="rId2210" ref="A1136"/>
    <hyperlink r:id="rId2211" ref="B1136"/>
    <hyperlink r:id="rId2212" ref="A1137"/>
    <hyperlink r:id="rId2213" ref="B1137"/>
    <hyperlink r:id="rId2214" ref="A1138"/>
    <hyperlink r:id="rId2215" ref="B1138"/>
    <hyperlink r:id="rId2216" ref="A1139"/>
    <hyperlink r:id="rId2217" ref="B1139"/>
    <hyperlink r:id="rId2218" ref="A1140"/>
    <hyperlink r:id="rId2219" ref="B1140"/>
    <hyperlink r:id="rId2220" ref="A1141"/>
    <hyperlink r:id="rId2221" ref="B1141"/>
    <hyperlink r:id="rId2222" ref="A1142"/>
    <hyperlink r:id="rId2223" ref="B1142"/>
    <hyperlink r:id="rId2224" ref="A1143"/>
    <hyperlink r:id="rId2225" ref="B1143"/>
    <hyperlink r:id="rId2226" ref="A1144"/>
    <hyperlink r:id="rId2227" ref="B1144"/>
    <hyperlink r:id="rId2228" ref="A1145"/>
    <hyperlink r:id="rId2229" ref="B1145"/>
    <hyperlink r:id="rId2230" ref="A1146"/>
    <hyperlink r:id="rId2231" ref="B1146"/>
    <hyperlink r:id="rId2232" ref="A1147"/>
    <hyperlink r:id="rId2233" ref="B1147"/>
    <hyperlink r:id="rId2234" ref="A1148"/>
    <hyperlink r:id="rId2235" ref="B1148"/>
    <hyperlink r:id="rId2236" ref="A1149"/>
    <hyperlink r:id="rId2237" ref="B1149"/>
    <hyperlink r:id="rId2238" ref="A1150"/>
    <hyperlink r:id="rId2239" ref="B1150"/>
    <hyperlink r:id="rId2240" ref="A1151"/>
    <hyperlink r:id="rId2241" ref="B1151"/>
    <hyperlink r:id="rId2242" ref="A1152"/>
    <hyperlink r:id="rId2243" ref="B1152"/>
    <hyperlink r:id="rId2244" ref="A1153"/>
    <hyperlink r:id="rId2245" ref="A1154"/>
    <hyperlink r:id="rId2246" ref="A1155"/>
    <hyperlink r:id="rId2247" ref="A1156"/>
    <hyperlink r:id="rId2248" ref="A1157"/>
    <hyperlink r:id="rId2249" ref="A1158"/>
    <hyperlink r:id="rId2250" ref="B1158"/>
    <hyperlink r:id="rId2251" ref="A1159"/>
    <hyperlink r:id="rId2252" ref="B1159"/>
    <hyperlink r:id="rId2253" ref="A1160"/>
    <hyperlink r:id="rId2254" ref="B1160"/>
    <hyperlink r:id="rId2255" ref="A1161"/>
    <hyperlink r:id="rId2256" ref="B1161"/>
    <hyperlink r:id="rId2257" ref="A1162"/>
    <hyperlink r:id="rId2258" ref="B1162"/>
    <hyperlink r:id="rId2259" ref="A1163"/>
    <hyperlink r:id="rId2260" ref="B1163"/>
    <hyperlink r:id="rId2261" ref="A1164"/>
    <hyperlink r:id="rId2262" ref="B1164"/>
    <hyperlink r:id="rId2263" ref="A1165"/>
    <hyperlink r:id="rId2264" ref="B1165"/>
    <hyperlink r:id="rId2265" ref="A1166"/>
    <hyperlink r:id="rId2266" ref="B1166"/>
    <hyperlink r:id="rId2267" ref="A1167"/>
    <hyperlink r:id="rId2268" ref="B1167"/>
    <hyperlink r:id="rId2269" ref="A1168"/>
    <hyperlink r:id="rId2270" ref="B1168"/>
    <hyperlink r:id="rId2271" ref="A1169"/>
    <hyperlink r:id="rId2272" ref="B1169"/>
    <hyperlink r:id="rId2273" ref="A1170"/>
    <hyperlink r:id="rId2274" ref="B1170"/>
    <hyperlink r:id="rId2275" ref="A1171"/>
    <hyperlink r:id="rId2276" ref="B1171"/>
    <hyperlink r:id="rId2277" ref="A1172"/>
    <hyperlink r:id="rId2278" ref="B1172"/>
    <hyperlink r:id="rId2279" ref="A1173"/>
    <hyperlink r:id="rId2280" ref="B1173"/>
    <hyperlink r:id="rId2281" ref="A1174"/>
    <hyperlink r:id="rId2282" ref="B1174"/>
    <hyperlink r:id="rId2283" ref="A1175"/>
    <hyperlink r:id="rId2284" ref="B1175"/>
    <hyperlink r:id="rId2285" ref="A1176"/>
    <hyperlink r:id="rId2286" ref="B1176"/>
    <hyperlink r:id="rId2287" ref="A1177"/>
    <hyperlink r:id="rId2288" ref="B1177"/>
    <hyperlink r:id="rId2289" ref="A1178"/>
    <hyperlink r:id="rId2290" ref="B1178"/>
    <hyperlink r:id="rId2291" ref="A1179"/>
    <hyperlink r:id="rId2292" ref="B1179"/>
    <hyperlink r:id="rId2293" ref="A1180"/>
    <hyperlink r:id="rId2294" ref="B1180"/>
    <hyperlink r:id="rId2295" ref="A1181"/>
    <hyperlink r:id="rId2296" ref="B1181"/>
    <hyperlink r:id="rId2297" location=":~:text=Dubai%2C%20UAE.%20Business%20Central%20Towers%20Tower%20B,43rd%20Floor%20Media%20City%20Dubai%2C%20UAE%20%2B971" ref="A1182"/>
    <hyperlink r:id="rId2298" ref="B1182"/>
    <hyperlink r:id="rId2299" ref="A1183"/>
    <hyperlink r:id="rId2300" ref="B1183"/>
    <hyperlink r:id="rId2301" location=":~:text=Grow%20Your%20Company%20With%20an,Dubai%20by%20UAE%20Business%20Elite." ref="A1184"/>
    <hyperlink r:id="rId2302" ref="B1184"/>
    <hyperlink r:id="rId2303" ref="A1185"/>
    <hyperlink r:id="rId2304" ref="B1185"/>
    <hyperlink r:id="rId2305" ref="A1186"/>
    <hyperlink r:id="rId2306" ref="B1186"/>
    <hyperlink r:id="rId2307" ref="A1187"/>
    <hyperlink r:id="rId2308" ref="B1187"/>
    <hyperlink r:id="rId2309" ref="A1188"/>
    <hyperlink r:id="rId2310" ref="B1188"/>
    <hyperlink r:id="rId2311" ref="A1189"/>
    <hyperlink r:id="rId2312" ref="B1189"/>
    <hyperlink r:id="rId2313" ref="A1190"/>
    <hyperlink r:id="rId2314" ref="B1190"/>
    <hyperlink r:id="rId2315" ref="A1191"/>
    <hyperlink r:id="rId2316" ref="B1191"/>
    <hyperlink r:id="rId2317" ref="A1192"/>
    <hyperlink r:id="rId2318" ref="B1192"/>
    <hyperlink r:id="rId2319" ref="A1193"/>
    <hyperlink r:id="rId2320" ref="B1193"/>
    <hyperlink r:id="rId2321" ref="A1194"/>
    <hyperlink r:id="rId2322" ref="B1194"/>
    <hyperlink r:id="rId2323" ref="A1195"/>
    <hyperlink r:id="rId2324" ref="B1195"/>
    <hyperlink r:id="rId2325" ref="A1196"/>
    <hyperlink r:id="rId2326" ref="B1196"/>
    <hyperlink r:id="rId2327" ref="A1197"/>
    <hyperlink r:id="rId2328" ref="B1197"/>
    <hyperlink r:id="rId2329" ref="A1198"/>
    <hyperlink r:id="rId2330" ref="B1198"/>
    <hyperlink r:id="rId2331" ref="A1199"/>
    <hyperlink r:id="rId2332" ref="B1199"/>
    <hyperlink r:id="rId2333" ref="A1200"/>
    <hyperlink r:id="rId2334" ref="B1200"/>
    <hyperlink r:id="rId2335" ref="A1201"/>
    <hyperlink r:id="rId2336" ref="B1201"/>
    <hyperlink r:id="rId2337" ref="A1202"/>
    <hyperlink r:id="rId2338" ref="B1202"/>
    <hyperlink r:id="rId2339" ref="A1203"/>
    <hyperlink r:id="rId2340" ref="B1203"/>
    <hyperlink r:id="rId2341" ref="A1204"/>
    <hyperlink r:id="rId2342" ref="B1204"/>
    <hyperlink r:id="rId2343" ref="A1205"/>
    <hyperlink r:id="rId2344" ref="B1205"/>
    <hyperlink r:id="rId2345" ref="A1206"/>
    <hyperlink r:id="rId2346" ref="B1206"/>
    <hyperlink r:id="rId2347" ref="A1207"/>
    <hyperlink r:id="rId2348" ref="B1207"/>
    <hyperlink r:id="rId2349" ref="A1208"/>
    <hyperlink r:id="rId2350" ref="B1208"/>
    <hyperlink r:id="rId2351" ref="A1209"/>
    <hyperlink r:id="rId2352" ref="B1209"/>
    <hyperlink r:id="rId2353" ref="A1210"/>
    <hyperlink r:id="rId2354" ref="B1210"/>
    <hyperlink r:id="rId2355" ref="A1211"/>
    <hyperlink r:id="rId2356" ref="B1211"/>
    <hyperlink r:id="rId2357" ref="A1212"/>
    <hyperlink r:id="rId2358" ref="B1212"/>
    <hyperlink r:id="rId2359" ref="A1213"/>
    <hyperlink r:id="rId2360" ref="B1213"/>
    <hyperlink r:id="rId2361" ref="A1214"/>
    <hyperlink r:id="rId2362" ref="B1214"/>
    <hyperlink r:id="rId2363" ref="A1215"/>
    <hyperlink r:id="rId2364" ref="B1215"/>
    <hyperlink r:id="rId2365" ref="A1216"/>
    <hyperlink r:id="rId2366" ref="B1216"/>
    <hyperlink r:id="rId2367" ref="A1217"/>
    <hyperlink r:id="rId2368" ref="B1217"/>
    <hyperlink r:id="rId2369" ref="A1218"/>
    <hyperlink r:id="rId2370" ref="B1218"/>
    <hyperlink r:id="rId2371" ref="A1219"/>
    <hyperlink r:id="rId2372" ref="B1219"/>
    <hyperlink r:id="rId2373" ref="A1220"/>
    <hyperlink r:id="rId2374" ref="B1220"/>
    <hyperlink r:id="rId2375" ref="A1221"/>
    <hyperlink r:id="rId2376" ref="B1221"/>
    <hyperlink r:id="rId2377" ref="A1222"/>
    <hyperlink r:id="rId2378" ref="B1222"/>
    <hyperlink r:id="rId2379" ref="A1223"/>
    <hyperlink r:id="rId2380" ref="B1223"/>
    <hyperlink r:id="rId2381" ref="A1224"/>
    <hyperlink r:id="rId2382" ref="B1224"/>
    <hyperlink r:id="rId2383" ref="A1225"/>
    <hyperlink r:id="rId2384" ref="B1225"/>
    <hyperlink r:id="rId2385" ref="A1226"/>
    <hyperlink r:id="rId2386" ref="A1227"/>
    <hyperlink r:id="rId2387" ref="B1227"/>
    <hyperlink r:id="rId2388" ref="A1228"/>
    <hyperlink r:id="rId2389" ref="B1228"/>
    <hyperlink r:id="rId2390" ref="A1229"/>
    <hyperlink r:id="rId2391" ref="B1229"/>
    <hyperlink r:id="rId2392" ref="A1230"/>
    <hyperlink r:id="rId2393" ref="B1230"/>
    <hyperlink r:id="rId2394" ref="A1231"/>
    <hyperlink r:id="rId2395" ref="B1231"/>
    <hyperlink r:id="rId2396" ref="A1232"/>
    <hyperlink r:id="rId2397" ref="B1232"/>
    <hyperlink r:id="rId2398" ref="A1233"/>
    <hyperlink r:id="rId2399" ref="B1233"/>
    <hyperlink r:id="rId2400" ref="A1234"/>
    <hyperlink r:id="rId2401" ref="B1234"/>
    <hyperlink r:id="rId2402" ref="A1235"/>
    <hyperlink r:id="rId2403" ref="B1235"/>
    <hyperlink r:id="rId2404" ref="A1236"/>
    <hyperlink r:id="rId2405" ref="B1236"/>
    <hyperlink r:id="rId2406" ref="A1237"/>
    <hyperlink r:id="rId2407" ref="B1237"/>
    <hyperlink r:id="rId2408" ref="A1238"/>
    <hyperlink r:id="rId2409" ref="B1238"/>
    <hyperlink r:id="rId2410" ref="A1239"/>
    <hyperlink r:id="rId2411" ref="B1239"/>
    <hyperlink r:id="rId2412" ref="A1240"/>
    <hyperlink r:id="rId2413" ref="B1240"/>
    <hyperlink r:id="rId2414" ref="A1241"/>
    <hyperlink r:id="rId2415" ref="B1241"/>
    <hyperlink r:id="rId2416" ref="A1242"/>
    <hyperlink r:id="rId2417" ref="B1242"/>
    <hyperlink r:id="rId2418" ref="A1243"/>
    <hyperlink r:id="rId2419" ref="B1243"/>
    <hyperlink r:id="rId2420" ref="A1244"/>
    <hyperlink r:id="rId2421" ref="B1244"/>
    <hyperlink r:id="rId2422" ref="A1245"/>
    <hyperlink r:id="rId2423" ref="B1245"/>
    <hyperlink r:id="rId2424" ref="A1246"/>
    <hyperlink r:id="rId2425" ref="B1246"/>
    <hyperlink r:id="rId2426" ref="A1247"/>
    <hyperlink r:id="rId2427" ref="B1247"/>
    <hyperlink r:id="rId2428" ref="A1248"/>
    <hyperlink r:id="rId2429" ref="B1248"/>
    <hyperlink r:id="rId2430" ref="A1249"/>
    <hyperlink r:id="rId2431" ref="B1249"/>
    <hyperlink r:id="rId2432" ref="A1250"/>
    <hyperlink r:id="rId2433" ref="B1250"/>
    <hyperlink r:id="rId2434" ref="A1251"/>
    <hyperlink r:id="rId2435" ref="B1251"/>
    <hyperlink r:id="rId2436" ref="A1252"/>
    <hyperlink r:id="rId2437" ref="B1252"/>
    <hyperlink r:id="rId2438" ref="A1253"/>
    <hyperlink r:id="rId2439" ref="B1253"/>
    <hyperlink r:id="rId2440" ref="A1254"/>
    <hyperlink r:id="rId2441" ref="B1254"/>
    <hyperlink r:id="rId2442" ref="A1255"/>
    <hyperlink r:id="rId2443" ref="B1255"/>
    <hyperlink r:id="rId2444" ref="A1256"/>
    <hyperlink r:id="rId2445" ref="B1256"/>
    <hyperlink r:id="rId2446" ref="A1257"/>
    <hyperlink r:id="rId2447" ref="B1257"/>
    <hyperlink r:id="rId2448" ref="A1258"/>
    <hyperlink r:id="rId2449" ref="B1258"/>
    <hyperlink r:id="rId2450" location=":~:text=Strengths%20%2D%20Algorithm%20driven%20media%20execution.%20%2D%20Structured%20performance%20analytics.%20%2D%20Established%20regional%20operations." ref="A1259"/>
    <hyperlink r:id="rId2451" ref="B1259"/>
    <hyperlink r:id="rId2452" ref="A1260"/>
    <hyperlink r:id="rId2453" ref="B1260"/>
    <hyperlink r:id="rId2454" ref="A1261"/>
    <hyperlink r:id="rId2455" ref="B1261"/>
    <hyperlink r:id="rId2456" ref="A1262"/>
    <hyperlink r:id="rId2457" ref="A1263"/>
    <hyperlink r:id="rId2458" ref="B1263"/>
    <hyperlink r:id="rId2459" location=":~:text=GAC%20is%20the%20only%20international,do%20not%20hold%20the%20certification." ref="A1264"/>
    <hyperlink r:id="rId2460" ref="B1264"/>
    <hyperlink r:id="rId2461" ref="A1265"/>
    <hyperlink r:id="rId2462" ref="A1266"/>
    <hyperlink r:id="rId2463" ref="A1267"/>
    <hyperlink r:id="rId2464" ref="B1267"/>
    <hyperlink r:id="rId2465" ref="A1268"/>
    <hyperlink r:id="rId2466" ref="B1268"/>
    <hyperlink r:id="rId2467" ref="A1269"/>
    <hyperlink r:id="rId2468" ref="B1269"/>
    <hyperlink r:id="rId2469" ref="A1270"/>
    <hyperlink r:id="rId2470" ref="B1270"/>
    <hyperlink r:id="rId2471" location=":~:text=Enterprise%20AI%20strategy%20and%20roadmap%20design.%20Generative,AI%20solutions%20for%20productivity%20and%20business%20growth." ref="A1271"/>
    <hyperlink r:id="rId2472" ref="B1271"/>
    <hyperlink r:id="rId2473" ref="A1272"/>
    <hyperlink r:id="rId2474" ref="B1272"/>
    <hyperlink r:id="rId2475" ref="A1273"/>
    <hyperlink r:id="rId2476" ref="B1273"/>
    <hyperlink r:id="rId2477" ref="A1274"/>
    <hyperlink r:id="rId2478" ref="B1274"/>
    <hyperlink r:id="rId2479" ref="A1275"/>
    <hyperlink r:id="rId2480" ref="B1275"/>
    <hyperlink r:id="rId2481" ref="A1276"/>
    <hyperlink r:id="rId2482" ref="B1276"/>
    <hyperlink r:id="rId2483" ref="A1277"/>
    <hyperlink r:id="rId2484" ref="B1277"/>
    <hyperlink r:id="rId2485" ref="A1278"/>
    <hyperlink r:id="rId2486" ref="B1278"/>
    <hyperlink r:id="rId2487" ref="A1279"/>
    <hyperlink r:id="rId2488" ref="B1279"/>
    <hyperlink r:id="rId2489" ref="A1280"/>
    <hyperlink r:id="rId2490" ref="B1280"/>
    <hyperlink r:id="rId2491" ref="A1281"/>
    <hyperlink r:id="rId2492" ref="B1281"/>
    <hyperlink r:id="rId2493" ref="A1282"/>
    <hyperlink r:id="rId2494" ref="B1282"/>
    <hyperlink r:id="rId2495" ref="A1283"/>
    <hyperlink r:id="rId2496" ref="B1283"/>
    <hyperlink r:id="rId2497" ref="A1284"/>
    <hyperlink r:id="rId2498" ref="B1284"/>
    <hyperlink r:id="rId2499" ref="A1285"/>
    <hyperlink r:id="rId2500" ref="B1285"/>
    <hyperlink r:id="rId2501" ref="A1286"/>
    <hyperlink r:id="rId2502" ref="B1286"/>
    <hyperlink r:id="rId2503" ref="A1287"/>
    <hyperlink r:id="rId2504" ref="B1287"/>
    <hyperlink r:id="rId2505" ref="A1288"/>
    <hyperlink r:id="rId2506" ref="B1288"/>
    <hyperlink r:id="rId2507" ref="A1289"/>
    <hyperlink r:id="rId2508" ref="B1289"/>
    <hyperlink r:id="rId2509" location=":~:text=We%20help%20you%20move%20beyond%20transactional%20experiences,across%20email%2C%20mobile%2C%20social%2C%20and%20in%2Dstore%20environments." ref="A1290"/>
    <hyperlink r:id="rId2510" ref="A1291"/>
    <hyperlink r:id="rId2511" ref="B1291"/>
    <hyperlink r:id="rId2512" ref="A1292"/>
    <hyperlink r:id="rId2513" ref="A1293"/>
    <hyperlink r:id="rId2514" ref="A1294"/>
    <hyperlink r:id="rId2515" ref="B1294"/>
    <hyperlink r:id="rId2516" ref="A1295"/>
    <hyperlink r:id="rId2517" ref="B1295"/>
    <hyperlink r:id="rId2518" ref="A1296"/>
    <hyperlink r:id="rId2519" ref="B1296"/>
    <hyperlink r:id="rId2520" ref="A1297"/>
    <hyperlink r:id="rId2521" ref="B1297"/>
    <hyperlink r:id="rId2522" ref="A1298"/>
    <hyperlink r:id="rId2523" ref="B1298"/>
    <hyperlink r:id="rId2524" ref="A1299"/>
    <hyperlink r:id="rId2525" ref="B1299"/>
    <hyperlink r:id="rId2526" ref="A1300"/>
    <hyperlink r:id="rId2527" ref="B1300"/>
    <hyperlink r:id="rId2528" ref="A1301"/>
    <hyperlink r:id="rId2529" ref="B1301"/>
    <hyperlink r:id="rId2530" ref="A1302"/>
    <hyperlink r:id="rId2531" ref="B1302"/>
    <hyperlink r:id="rId2532" ref="A1303"/>
    <hyperlink r:id="rId2533" ref="B1303"/>
    <hyperlink r:id="rId2534" location=":~:text=Headquarters.%20Paris.%2019%2C%20rue%20Richer.%20Paris%2C%20Paris%2C,EC2V%207HR%2C%20United%20Kingdom.%20%2D%20Los%20Angeles." ref="A1304"/>
    <hyperlink r:id="rId2535" ref="B1304"/>
    <hyperlink r:id="rId2536" ref="A1305"/>
    <hyperlink r:id="rId2537" ref="B1305"/>
    <hyperlink r:id="rId2538" ref="A1306"/>
    <hyperlink r:id="rId2539" ref="B1306"/>
    <hyperlink r:id="rId2540" ref="A1307"/>
    <hyperlink r:id="rId2541" ref="B1307"/>
    <hyperlink r:id="rId2542" ref="A1308"/>
    <hyperlink r:id="rId2543" ref="B1308"/>
    <hyperlink r:id="rId2544" ref="A1309"/>
    <hyperlink r:id="rId2545" ref="B1309"/>
    <hyperlink r:id="rId2546" ref="A1310"/>
    <hyperlink r:id="rId2547" ref="B1310"/>
    <hyperlink r:id="rId2548" ref="A1311"/>
    <hyperlink r:id="rId2549" ref="A1312"/>
    <hyperlink r:id="rId2550" ref="B1312"/>
    <hyperlink r:id="rId2551" ref="A1313"/>
    <hyperlink r:id="rId2552" ref="B1313"/>
    <hyperlink r:id="rId2553" ref="A1314"/>
    <hyperlink r:id="rId2554" ref="B1314"/>
    <hyperlink r:id="rId2555" ref="A1315"/>
    <hyperlink r:id="rId2556" ref="B1315"/>
    <hyperlink r:id="rId2557" ref="A1316"/>
    <hyperlink r:id="rId2558" ref="B1316"/>
    <hyperlink r:id="rId2559" ref="A1317"/>
    <hyperlink r:id="rId2560" ref="B1317"/>
    <hyperlink r:id="rId2561" ref="A1318"/>
    <hyperlink r:id="rId2562" ref="B1318"/>
    <hyperlink r:id="rId2563" ref="A1319"/>
    <hyperlink r:id="rId2564" ref="B1319"/>
    <hyperlink r:id="rId2565" ref="A1320"/>
    <hyperlink r:id="rId2566" ref="B1320"/>
    <hyperlink r:id="rId2567" ref="A1321"/>
    <hyperlink r:id="rId2568" ref="B1321"/>
    <hyperlink r:id="rId2569" ref="A1322"/>
    <hyperlink r:id="rId2570" ref="B1322"/>
    <hyperlink r:id="rId2571" ref="A1323"/>
    <hyperlink r:id="rId2572" ref="B1323"/>
    <hyperlink r:id="rId2573" ref="A1324"/>
    <hyperlink r:id="rId2574" ref="B1324"/>
    <hyperlink r:id="rId2575" ref="A1325"/>
    <hyperlink r:id="rId2576" ref="B1325"/>
    <hyperlink r:id="rId2577" ref="A1326"/>
    <hyperlink r:id="rId2578" ref="B1326"/>
    <hyperlink r:id="rId2579" ref="A1327"/>
    <hyperlink r:id="rId2580" ref="B1327"/>
    <hyperlink r:id="rId2581" ref="A1328"/>
    <hyperlink r:id="rId2582" ref="B1328"/>
    <hyperlink r:id="rId2583" ref="A1329"/>
    <hyperlink r:id="rId2584" ref="B1329"/>
    <hyperlink r:id="rId2585" ref="A1330"/>
    <hyperlink r:id="rId2586" ref="B1330"/>
    <hyperlink r:id="rId2587" ref="A1331"/>
    <hyperlink r:id="rId2588" ref="B1331"/>
    <hyperlink r:id="rId2589" ref="A1332"/>
    <hyperlink r:id="rId2590" ref="B1332"/>
    <hyperlink r:id="rId2591" ref="A1333"/>
    <hyperlink r:id="rId2592" ref="B1333"/>
    <hyperlink r:id="rId2593" ref="A1334"/>
    <hyperlink r:id="rId2594" ref="B1334"/>
    <hyperlink r:id="rId2595" ref="A1335"/>
    <hyperlink r:id="rId2596" ref="B1335"/>
    <hyperlink r:id="rId2597" ref="A1336"/>
    <hyperlink r:id="rId2598" ref="B1336"/>
    <hyperlink r:id="rId2599" location=":~:text=Table%201.1%20details%20the%20major%20media%2Dbuying%20agencies,PHD.%2016.6.%20Interpublic%20Group.%20Universal%20McCann%20(" ref="A1337"/>
    <hyperlink r:id="rId2600" ref="B1337"/>
    <hyperlink r:id="rId2601" ref="A1338"/>
    <hyperlink r:id="rId2602" ref="B1338"/>
    <hyperlink r:id="rId2603" ref="A1339"/>
    <hyperlink r:id="rId2604" ref="B1339"/>
    <hyperlink r:id="rId2605" ref="A1340"/>
    <hyperlink r:id="rId2606" ref="B1340"/>
    <hyperlink r:id="rId2607" ref="A1341"/>
    <hyperlink r:id="rId2608" ref="B1341"/>
    <hyperlink r:id="rId2609" ref="A1342"/>
    <hyperlink r:id="rId2610" ref="B1342"/>
    <hyperlink r:id="rId2611" ref="A1343"/>
    <hyperlink r:id="rId2612" ref="B1343"/>
    <hyperlink r:id="rId2613" ref="A1344"/>
    <hyperlink r:id="rId2614" ref="B1344"/>
    <hyperlink r:id="rId2615" ref="A1345"/>
    <hyperlink r:id="rId2616" ref="B1345"/>
    <hyperlink r:id="rId2617" ref="A1346"/>
    <hyperlink r:id="rId2618" ref="B1346"/>
    <hyperlink r:id="rId2619" location=":~:text=Your%20full%20marketing%20team%2C%20automated,without%20the%20traditional%20agency%20overhead." ref="A1347"/>
    <hyperlink r:id="rId2620" ref="B1347"/>
    <hyperlink r:id="rId2621" ref="A1348"/>
    <hyperlink r:id="rId2622" ref="B1348"/>
    <hyperlink r:id="rId2623" location=":~:text=Royex%20Technologies%20is%20a%20Dubai%2Dbased%20AI%2Dfirst%20digital,markets.%20Content%20strategy%20%26%20structured%20data%20implementation." ref="A1349"/>
    <hyperlink r:id="rId2624" ref="B1349"/>
    <hyperlink r:id="rId2625" ref="A1350"/>
    <hyperlink r:id="rId2626" ref="B1350"/>
    <hyperlink r:id="rId2627" ref="A1351"/>
    <hyperlink r:id="rId2628" ref="B1351"/>
    <hyperlink r:id="rId2629" ref="A1352"/>
    <hyperlink r:id="rId2630" ref="B1352"/>
    <hyperlink r:id="rId2631" ref="A1353"/>
    <hyperlink r:id="rId2632" ref="B1353"/>
    <hyperlink r:id="rId2633" ref="A1354"/>
    <hyperlink r:id="rId2634" ref="B1354"/>
    <hyperlink r:id="rId2635" ref="A1355"/>
    <hyperlink r:id="rId2636" ref="B1355"/>
    <hyperlink r:id="rId2637" ref="A1356"/>
    <hyperlink r:id="rId2638" ref="B1356"/>
    <hyperlink r:id="rId2639" ref="A1357"/>
    <hyperlink r:id="rId2640" ref="B1357"/>
    <hyperlink r:id="rId2641" ref="A1358"/>
    <hyperlink r:id="rId2642" ref="B1358"/>
    <hyperlink r:id="rId2643" ref="A1359"/>
    <hyperlink r:id="rId2644" ref="B1359"/>
    <hyperlink r:id="rId2645" ref="A1360"/>
    <hyperlink r:id="rId2646" ref="B1360"/>
    <hyperlink r:id="rId2647" ref="A1361"/>
    <hyperlink r:id="rId2648" ref="B1361"/>
    <hyperlink r:id="rId2649" ref="A1362"/>
    <hyperlink r:id="rId2650" ref="B1362"/>
    <hyperlink r:id="rId2651" ref="A1363"/>
    <hyperlink r:id="rId2652" ref="B1363"/>
    <hyperlink r:id="rId2653" ref="A1364"/>
    <hyperlink r:id="rId2654" ref="B1364"/>
    <hyperlink r:id="rId2655" ref="A1365"/>
    <hyperlink r:id="rId2656" ref="B1365"/>
    <hyperlink r:id="rId2657" ref="A1366"/>
    <hyperlink r:id="rId2658" ref="B1366"/>
    <hyperlink r:id="rId2659" ref="A1367"/>
    <hyperlink r:id="rId2660" ref="B1367"/>
    <hyperlink r:id="rId2661" ref="A1368"/>
    <hyperlink r:id="rId2662" ref="B1368"/>
    <hyperlink r:id="rId2663" location=":~:text=Faheem%20Ahmad.%20Faces.%20%E2%80%9CThe%20expertise%20and%20customer,that%20knows%20how%20to%20deliver%20on%20SEO." ref="A1369"/>
    <hyperlink r:id="rId2664" ref="B1369"/>
    <hyperlink r:id="rId2665" ref="A1370"/>
    <hyperlink r:id="rId2666" ref="B1370"/>
    <hyperlink r:id="rId2667" ref="A1371"/>
    <hyperlink r:id="rId2668" ref="B1371"/>
    <hyperlink r:id="rId2669" ref="A1372"/>
    <hyperlink r:id="rId2670" ref="B1372"/>
    <hyperlink r:id="rId2671" ref="A1373"/>
    <hyperlink r:id="rId2672" ref="B1373"/>
    <hyperlink r:id="rId2673" location=":~:text=The%20program%20is%20founded%20on%20the%20principle,mutual%20recognition%20among%20the%20region's%20Customs%20administrations." ref="A1374"/>
    <hyperlink r:id="rId2674" ref="B1374"/>
    <hyperlink r:id="rId2675" ref="A1375"/>
    <hyperlink r:id="rId2676" ref="B1375"/>
    <hyperlink r:id="rId2677" ref="A1376"/>
    <hyperlink r:id="rId2678" ref="B1376"/>
    <hyperlink r:id="rId2679" location=":~:text=Our%20approach%20blends%20deep%20domain%20knowledge%2C%20global,UAE%20Vision%202031%20and%20Saudi%20Vision%202030." ref="A1377"/>
    <hyperlink r:id="rId2680" ref="B1377"/>
    <hyperlink r:id="rId2681" ref="A1378"/>
    <hyperlink r:id="rId2682" ref="B1378"/>
    <hyperlink r:id="rId2683" ref="A1379"/>
    <hyperlink r:id="rId2684" ref="B1379"/>
    <hyperlink r:id="rId2685" ref="A1380"/>
    <hyperlink r:id="rId2686" ref="B1380"/>
    <hyperlink r:id="rId2687" ref="A1381"/>
    <hyperlink r:id="rId2688" ref="B1381"/>
    <hyperlink r:id="rId2689" ref="A1382"/>
    <hyperlink r:id="rId2690" ref="B1382"/>
    <hyperlink r:id="rId2691" ref="A1383"/>
    <hyperlink r:id="rId2692" ref="B1383"/>
    <hyperlink r:id="rId2693" ref="A1384"/>
    <hyperlink r:id="rId2694" ref="B1384"/>
    <hyperlink r:id="rId2695" ref="A1385"/>
    <hyperlink r:id="rId2696" ref="A1386"/>
    <hyperlink r:id="rId2697" ref="B1386"/>
    <hyperlink r:id="rId2698" ref="A1387"/>
    <hyperlink r:id="rId2699" ref="B1387"/>
    <hyperlink r:id="rId2700" ref="A1388"/>
    <hyperlink r:id="rId2701" ref="B1388"/>
    <hyperlink r:id="rId2702" ref="A1389"/>
    <hyperlink r:id="rId2703" ref="B1389"/>
    <hyperlink r:id="rId2704" ref="A1390"/>
    <hyperlink r:id="rId2705" ref="B1390"/>
    <hyperlink r:id="rId2706" ref="A1391"/>
    <hyperlink r:id="rId2707" ref="B1391"/>
    <hyperlink r:id="rId2708" ref="A1392"/>
    <hyperlink r:id="rId2709" ref="B1392"/>
    <hyperlink r:id="rId2710" ref="A1393"/>
    <hyperlink r:id="rId2711" ref="B1393"/>
    <hyperlink r:id="rId2712" ref="A1394"/>
    <hyperlink r:id="rId2713" ref="B1394"/>
    <hyperlink r:id="rId2714" ref="A1395"/>
    <hyperlink r:id="rId2715" ref="B1395"/>
    <hyperlink r:id="rId2716" ref="A1396"/>
    <hyperlink r:id="rId2717" ref="B1396"/>
    <hyperlink r:id="rId2718" ref="A1397"/>
    <hyperlink r:id="rId2719" ref="B1397"/>
    <hyperlink r:id="rId2720" ref="A1398"/>
    <hyperlink r:id="rId2721" ref="B1398"/>
    <hyperlink r:id="rId2722" ref="A1399"/>
    <hyperlink r:id="rId2723" ref="B1399"/>
    <hyperlink r:id="rId2724" ref="A1400"/>
    <hyperlink r:id="rId2725" ref="B1400"/>
    <hyperlink r:id="rId2726" ref="A1401"/>
    <hyperlink r:id="rId2727" ref="B1401"/>
    <hyperlink r:id="rId2728" ref="A1402"/>
    <hyperlink r:id="rId2729" ref="B1402"/>
    <hyperlink r:id="rId2730" ref="A1403"/>
    <hyperlink r:id="rId2731" ref="B1403"/>
    <hyperlink r:id="rId2732" ref="A1404"/>
    <hyperlink r:id="rId2733" ref="B1404"/>
    <hyperlink r:id="rId2734" ref="A1405"/>
    <hyperlink r:id="rId2735" ref="B1405"/>
    <hyperlink r:id="rId2736" ref="A1406"/>
    <hyperlink r:id="rId2737" ref="B1406"/>
    <hyperlink r:id="rId2738" ref="A1407"/>
    <hyperlink r:id="rId2739" ref="B1407"/>
    <hyperlink r:id="rId2740" ref="A1408"/>
    <hyperlink r:id="rId2741" ref="B1408"/>
    <hyperlink r:id="rId2742" ref="A1409"/>
    <hyperlink r:id="rId2743" ref="B1409"/>
    <hyperlink r:id="rId2744" ref="A1410"/>
    <hyperlink r:id="rId2745" ref="B1410"/>
    <hyperlink r:id="rId2746" ref="A1411"/>
    <hyperlink r:id="rId2747" ref="B1411"/>
    <hyperlink r:id="rId2748" ref="A1412"/>
    <hyperlink r:id="rId2749" ref="B1412"/>
    <hyperlink r:id="rId2750" ref="A1413"/>
    <hyperlink r:id="rId2751" ref="B1413"/>
    <hyperlink r:id="rId2752" ref="A1414"/>
    <hyperlink r:id="rId2753" ref="B1414"/>
    <hyperlink r:id="rId2754" ref="A1415"/>
    <hyperlink r:id="rId2755" ref="B1415"/>
    <hyperlink r:id="rId2756" ref="A1416"/>
    <hyperlink r:id="rId2757" ref="B1416"/>
    <hyperlink r:id="rId2758" location=":~:text=They%20leverage%20proprietary%20query%20running%20capabilities%20to,referral%20traffic%20and%20leads%20from%20AI%20sources." ref="A1417"/>
    <hyperlink r:id="rId2759" ref="B1417"/>
    <hyperlink r:id="rId2760" ref="A1418"/>
    <hyperlink r:id="rId2761" ref="B1418"/>
    <hyperlink r:id="rId2762" ref="A1419"/>
    <hyperlink r:id="rId2763" ref="A1420"/>
    <hyperlink r:id="rId2764" ref="B1420"/>
    <hyperlink r:id="rId2765" ref="A1421"/>
    <hyperlink r:id="rId2766" ref="B1421"/>
    <hyperlink r:id="rId2767" ref="A1422"/>
    <hyperlink r:id="rId2768" ref="B1422"/>
    <hyperlink r:id="rId2769" ref="A1423"/>
    <hyperlink r:id="rId2770" ref="B1423"/>
    <hyperlink r:id="rId2771" ref="A1424"/>
    <hyperlink r:id="rId2772" ref="B1424"/>
    <hyperlink r:id="rId2773" ref="A1425"/>
    <hyperlink r:id="rId2774" ref="B1425"/>
    <hyperlink r:id="rId2775" ref="A1426"/>
    <hyperlink r:id="rId2776" ref="B1426"/>
    <hyperlink r:id="rId2777" ref="A1427"/>
    <hyperlink r:id="rId2778" ref="B1427"/>
    <hyperlink r:id="rId2779" ref="A1428"/>
    <hyperlink r:id="rId2780" ref="B1428"/>
    <hyperlink r:id="rId2781" ref="A1429"/>
    <hyperlink r:id="rId2782" ref="B1429"/>
    <hyperlink r:id="rId2783" ref="A1430"/>
    <hyperlink r:id="rId2784" ref="B1430"/>
    <hyperlink r:id="rId2785" ref="A1431"/>
    <hyperlink r:id="rId2786" ref="B1431"/>
    <hyperlink r:id="rId2787" ref="A1432"/>
    <hyperlink r:id="rId2788" ref="B1432"/>
    <hyperlink r:id="rId2789" ref="A1433"/>
    <hyperlink r:id="rId2790" ref="B1433"/>
    <hyperlink r:id="rId2791" ref="A1434"/>
    <hyperlink r:id="rId2792" ref="B1434"/>
    <hyperlink r:id="rId2793" ref="A1435"/>
    <hyperlink r:id="rId2794" ref="B1435"/>
    <hyperlink r:id="rId2795" ref="A1436"/>
    <hyperlink r:id="rId2796" ref="B1436"/>
    <hyperlink r:id="rId2797" ref="A1437"/>
    <hyperlink r:id="rId2798" ref="B1437"/>
    <hyperlink r:id="rId2799" ref="A1438"/>
    <hyperlink r:id="rId2800" ref="B1438"/>
    <hyperlink r:id="rId2801" ref="A1439"/>
    <hyperlink r:id="rId2802" ref="B1439"/>
    <hyperlink r:id="rId2803" ref="A1440"/>
    <hyperlink r:id="rId2804" ref="B1440"/>
    <hyperlink r:id="rId2805" ref="A1441"/>
    <hyperlink r:id="rId2806" ref="B1441"/>
    <hyperlink r:id="rId2807" ref="A1442"/>
    <hyperlink r:id="rId2808" ref="B1442"/>
    <hyperlink r:id="rId2809" ref="A1443"/>
    <hyperlink r:id="rId2810" ref="B1443"/>
    <hyperlink r:id="rId2811" ref="A1444"/>
    <hyperlink r:id="rId2812" ref="B1444"/>
    <hyperlink r:id="rId2813" ref="A1445"/>
    <hyperlink r:id="rId2814" ref="B1445"/>
    <hyperlink r:id="rId2815" ref="A1446"/>
    <hyperlink r:id="rId2816" ref="A1447"/>
    <hyperlink r:id="rId2817" ref="A1448"/>
    <hyperlink r:id="rId2818" ref="B1448"/>
    <hyperlink r:id="rId2819" ref="A1449"/>
    <hyperlink r:id="rId2820" ref="B1449"/>
    <hyperlink r:id="rId2821" ref="A1450"/>
    <hyperlink r:id="rId2822" ref="B1450"/>
    <hyperlink r:id="rId2823" ref="A1451"/>
    <hyperlink r:id="rId2824" ref="B1451"/>
    <hyperlink r:id="rId2825" ref="A1452"/>
    <hyperlink r:id="rId2826" ref="B1452"/>
    <hyperlink r:id="rId2827" ref="A1453"/>
    <hyperlink r:id="rId2828" ref="B1453"/>
    <hyperlink r:id="rId2829" ref="A1454"/>
    <hyperlink r:id="rId2830" ref="B1454"/>
    <hyperlink r:id="rId2831" ref="A1455"/>
    <hyperlink r:id="rId2832" ref="B1455"/>
    <hyperlink r:id="rId2833" ref="A1456"/>
    <hyperlink r:id="rId2834" ref="B1456"/>
    <hyperlink r:id="rId2835" ref="A1457"/>
    <hyperlink r:id="rId2836" ref="B1457"/>
    <hyperlink r:id="rId2837" ref="A1458"/>
    <hyperlink r:id="rId2838" ref="B1458"/>
    <hyperlink r:id="rId2839" ref="A1459"/>
    <hyperlink r:id="rId2840" ref="B1459"/>
    <hyperlink r:id="rId2841" ref="A1460"/>
    <hyperlink r:id="rId2842" ref="B1460"/>
    <hyperlink r:id="rId2843" ref="A1461"/>
    <hyperlink r:id="rId2844" ref="B1461"/>
    <hyperlink r:id="rId2845" location=":~:text=Analytics%20360.%20Search%20Ads%20360.%20Display%20%26,cloud%20infrastructure.%20Google%20Cloud.%20Advanced%20cloud%20infrastructure" ref="A1462"/>
    <hyperlink r:id="rId2846" ref="B1462"/>
    <hyperlink r:id="rId2847" ref="A1463"/>
    <hyperlink r:id="rId2848" ref="B1463"/>
    <hyperlink r:id="rId2849" ref="A1464"/>
    <hyperlink r:id="rId2850" ref="B1464"/>
    <hyperlink r:id="rId2851" ref="A1465"/>
    <hyperlink r:id="rId2852" ref="B1465"/>
    <hyperlink r:id="rId2853" ref="A1466"/>
    <hyperlink r:id="rId2854" ref="B1466"/>
    <hyperlink r:id="rId2855" ref="A1467"/>
    <hyperlink r:id="rId2856" ref="B1467"/>
    <hyperlink r:id="rId2857" ref="A1468"/>
    <hyperlink r:id="rId2858" ref="B1468"/>
    <hyperlink r:id="rId2859" ref="A1469"/>
    <hyperlink r:id="rId2860" ref="B1469"/>
    <hyperlink r:id="rId2861" ref="A1470"/>
    <hyperlink r:id="rId2862" ref="B1470"/>
    <hyperlink r:id="rId2863" ref="A1471"/>
    <hyperlink r:id="rId2864" ref="B1471"/>
    <hyperlink r:id="rId2865" ref="A1472"/>
    <hyperlink r:id="rId2866" ref="B1472"/>
    <hyperlink r:id="rId2867" ref="A1473"/>
    <hyperlink r:id="rId2868" ref="A1474"/>
    <hyperlink r:id="rId2869" ref="B1474"/>
    <hyperlink r:id="rId2870" ref="A1475"/>
    <hyperlink r:id="rId2871" ref="B1475"/>
    <hyperlink r:id="rId2872" ref="A1476"/>
    <hyperlink r:id="rId2873" ref="B1476"/>
    <hyperlink r:id="rId2874" location=":~:text=Our%20in%2Dhouse%20experts'%20experience%20extends%20from%20working,100%25%20Results%20guarantee.%20Ready%20for%20incredible%20growth%3F" ref="A1477"/>
    <hyperlink r:id="rId2875" ref="B1477"/>
    <hyperlink r:id="rId2876" ref="A1478"/>
    <hyperlink r:id="rId2877" ref="A1479"/>
    <hyperlink r:id="rId2878" ref="B1479"/>
    <hyperlink r:id="rId2879" ref="A1480"/>
    <hyperlink r:id="rId2880" ref="B1480"/>
    <hyperlink r:id="rId2881" location=":~:text=Incrementality%20testing%3A%20Measuring%20the%20true,is%20accurate%20by%20Sunday%20night." ref="A1481"/>
    <hyperlink r:id="rId2882" ref="B1481"/>
    <hyperlink r:id="rId2883" ref="A1482"/>
    <hyperlink r:id="rId2884" ref="A1483"/>
    <hyperlink r:id="rId2885" ref="B1483"/>
    <hyperlink r:id="rId2886" ref="A1484"/>
    <hyperlink r:id="rId2887" ref="B1484"/>
    <hyperlink r:id="rId2888" ref="A1485"/>
    <hyperlink r:id="rId2889" ref="B1485"/>
    <hyperlink r:id="rId2890" ref="A1486"/>
    <hyperlink r:id="rId2891" ref="B1486"/>
    <hyperlink r:id="rId2892" ref="A1487"/>
    <hyperlink r:id="rId2893" ref="B1487"/>
    <hyperlink r:id="rId2894" ref="A1488"/>
    <hyperlink r:id="rId2895" ref="B1488"/>
    <hyperlink r:id="rId2896" ref="A1489"/>
    <hyperlink r:id="rId2897" ref="B1489"/>
    <hyperlink r:id="rId2898" ref="A1490"/>
    <hyperlink r:id="rId2899" ref="B1490"/>
    <hyperlink r:id="rId2900" ref="A1491"/>
    <hyperlink r:id="rId2901" ref="B1491"/>
    <hyperlink r:id="rId2902" ref="A1492"/>
    <hyperlink r:id="rId2903" ref="B1492"/>
    <hyperlink r:id="rId2904" ref="A1493"/>
    <hyperlink r:id="rId2905" ref="B1493"/>
    <hyperlink r:id="rId2906" ref="A1494"/>
    <hyperlink r:id="rId2907" ref="B1494"/>
    <hyperlink r:id="rId2908" ref="A1495"/>
    <hyperlink r:id="rId2909" ref="A1496"/>
    <hyperlink r:id="rId2910" ref="B1496"/>
    <hyperlink r:id="rId2911" ref="A1497"/>
    <hyperlink r:id="rId2912" ref="B1497"/>
    <hyperlink r:id="rId2913" ref="A1498"/>
    <hyperlink r:id="rId2914" ref="B1498"/>
    <hyperlink r:id="rId2915" ref="A1499"/>
    <hyperlink r:id="rId2916" ref="B1499"/>
    <hyperlink r:id="rId2917" ref="A1500"/>
    <hyperlink r:id="rId2918" ref="B1500"/>
    <hyperlink r:id="rId2919" ref="A1501"/>
    <hyperlink r:id="rId2920" ref="B1501"/>
    <hyperlink r:id="rId2921" ref="A1502"/>
    <hyperlink r:id="rId2922" ref="B1502"/>
    <hyperlink r:id="rId2923" location=":~:text=Useful%20X3%20pages%3A%20Marketing%2C%20SEO,digital%20marketing%20agencies%20in%20UAE." ref="A1503"/>
    <hyperlink r:id="rId2924" ref="B1503"/>
    <hyperlink r:id="rId2925" ref="A1504"/>
    <hyperlink r:id="rId2926" ref="B1504"/>
    <hyperlink r:id="rId2927" ref="A1505"/>
    <hyperlink r:id="rId2928" ref="B1505"/>
    <hyperlink r:id="rId2929" ref="A1506"/>
    <hyperlink r:id="rId2930" ref="B1506"/>
    <hyperlink r:id="rId2931" ref="A1507"/>
    <hyperlink r:id="rId2932" ref="B1507"/>
    <hyperlink r:id="rId2933" ref="A1508"/>
    <hyperlink r:id="rId2934" ref="B1508"/>
    <hyperlink r:id="rId2935" ref="A1509"/>
    <hyperlink r:id="rId2936" ref="B1509"/>
    <hyperlink r:id="rId2937" ref="A1510"/>
    <hyperlink r:id="rId2938" ref="B1510"/>
    <hyperlink r:id="rId2939" ref="A1511"/>
    <hyperlink r:id="rId2940" ref="B1511"/>
    <hyperlink r:id="rId2941" location=":~:text=This%20milestone%2C%20which%20involved%20technical%20interviews%20and,technologies%20of%20its%20team%20of%20certified%20experts." ref="A1512"/>
    <hyperlink r:id="rId2942" ref="B1512"/>
    <hyperlink r:id="rId2943" ref="A1513"/>
    <hyperlink r:id="rId2944" ref="B1513"/>
    <hyperlink r:id="rId2945" ref="A1514"/>
    <hyperlink r:id="rId2946" ref="B1514"/>
    <hyperlink r:id="rId2947" location=":~:text=Generative%20Engine%20Optimization%20(GEO)%20helps%20businesses%20improve,recommend%20your%20business%20in%20conversational%20search%20results." ref="A1515"/>
    <hyperlink r:id="rId2948" ref="B1515"/>
    <hyperlink r:id="rId2949" ref="A1516"/>
    <hyperlink r:id="rId2950" ref="B1516"/>
    <hyperlink r:id="rId2951" ref="A1517"/>
    <hyperlink r:id="rId2952" ref="B1517"/>
    <hyperlink r:id="rId2953" ref="A1518"/>
    <hyperlink r:id="rId2954" ref="B1518"/>
    <hyperlink r:id="rId2955" ref="A1519"/>
    <hyperlink r:id="rId2956" ref="B1519"/>
    <hyperlink r:id="rId2957" ref="A1520"/>
    <hyperlink r:id="rId2958" ref="B1520"/>
    <hyperlink r:id="rId2959" ref="A1521"/>
    <hyperlink r:id="rId2960" ref="B1521"/>
    <hyperlink r:id="rId2961" location=":~:text=In%20the%20mobile%20space%2C%20we%20are%20official,Privacy%2FConsent%20Management%20solutions%20like%20OneTrust.%20Team%20Certifications%3A" ref="A1522"/>
    <hyperlink r:id="rId2962" ref="B1522"/>
  </hyperlinks>
  <drawing r:id="rId29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All'!A2:L1670,
    REGEXMATCH(LOWER(TRIM(TO_TEXT('PEEC - URLs - All'!B2:B1670))),""\bbest\b|\btop\b"")
  ),
  """"
)"),"https://www.top-media-companies-in-dubai.com/dubai/display-advertising")</f>
        <v>https://www.top-media-companies-in-dubai.com/dubai/display-advertising</v>
      </c>
      <c r="B2" s="8" t="str">
        <f>IFERROR(__xludf.DUMMYFUNCTION("""COMPUTED_VALUE"""),"top-media-companies-in-dubai.com")</f>
        <v>top-media-companies-in-dubai.com</v>
      </c>
      <c r="C2" s="11" t="str">
        <f>IFERROR(__xludf.DUMMYFUNCTION("""COMPUTED_VALUE"""),"OTHER")</f>
        <v>OTHER</v>
      </c>
      <c r="D2" s="11" t="str">
        <f>IFERROR(__xludf.DUMMYFUNCTION("""COMPUTED_VALUE"""),"CORPORATE")</f>
        <v>CORPORATE</v>
      </c>
      <c r="E2" s="11" t="str">
        <f>IFERROR(__xludf.DUMMYFUNCTION("""COMPUTED_VALUE"""),"The best Display Advertising Agencies in Dubai")</f>
        <v>The best Display Advertising Agencies in Dubai</v>
      </c>
      <c r="F2" s="11" t="str">
        <f>IFERROR(__xludf.DUMMYFUNCTION("""COMPUTED_VALUE"""),"Other")</f>
        <v>Other</v>
      </c>
      <c r="G2" s="11" t="b">
        <f>IFERROR(__xludf.DUMMYFUNCTION("""COMPUTED_VALUE"""),FALSE)</f>
        <v>0</v>
      </c>
      <c r="H2" s="11" t="str">
        <f>IFERROR(__xludf.DUMMYFUNCTION("""COMPUTED_VALUE"""),"intouch, AlCaz Media, Praxis Advertising, M3.agency, Momentum, Ninja Promo")</f>
        <v>intouch, AlCaz Media, Praxis Advertising, M3.agency, Momentum, Ninja Promo</v>
      </c>
      <c r="I2" s="11">
        <f>IFERROR(__xludf.DUMMYFUNCTION("""COMPUTED_VALUE"""),10.0)</f>
        <v>10</v>
      </c>
      <c r="J2" s="11">
        <f>IFERROR(__xludf.DUMMYFUNCTION("""COMPUTED_VALUE"""),0.01)</f>
        <v>0.01</v>
      </c>
      <c r="K2" s="11">
        <f>IFERROR(__xludf.DUMMYFUNCTION("""COMPUTED_VALUE"""),0.0)</f>
        <v>0</v>
      </c>
      <c r="L2" s="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All'!A2:A1000)),""youtube"")
  ),
  """"
)"),"https://www.youtube.com/watch?v=IhghlPIIuic")</f>
        <v>https://www.youtube.com/watch?v=IhghlPIIuic</v>
      </c>
      <c r="B2" s="8" t="str">
        <f>IFERROR(__xludf.DUMMYFUNCTION("""COMPUTED_VALUE"""),"youtube.com")</f>
        <v>youtube.com</v>
      </c>
      <c r="C2" s="11" t="str">
        <f>IFERROR(__xludf.DUMMYFUNCTION("""COMPUTED_VALUE"""),"LISTICLE")</f>
        <v>LISTICLE</v>
      </c>
      <c r="D2" s="11" t="str">
        <f>IFERROR(__xludf.DUMMYFUNCTION("""COMPUTED_VALUE"""),"UGC")</f>
        <v>UGC</v>
      </c>
      <c r="E2" s="11" t="str">
        <f>IFERROR(__xludf.DUMMYFUNCTION("""COMPUTED_VALUE"""),"What Are the Best Generative Engine Optimization (GEO) Agencies in the United Arab Emirates?")</f>
        <v>What Are the Best Generative Engine Optimization (GEO) Agencies in the United Arab Emirates?</v>
      </c>
      <c r="F2" s="11" t="str">
        <f>IFERROR(__xludf.DUMMYFUNCTION("""COMPUTED_VALUE"""),"Listicle")</f>
        <v>Listicle</v>
      </c>
      <c r="G2" s="11" t="b">
        <f>IFERROR(__xludf.DUMMYFUNCTION("""COMPUTED_VALUE"""),FALSE)</f>
        <v>0</v>
      </c>
      <c r="H2" s="11" t="str">
        <f>IFERROR(__xludf.DUMMYFUNCTION("""COMPUTED_VALUE"""),"Brainlabs")</f>
        <v>Brainlabs</v>
      </c>
      <c r="I2" s="11">
        <f>IFERROR(__xludf.DUMMYFUNCTION("""COMPUTED_VALUE"""),12.0)</f>
        <v>12</v>
      </c>
      <c r="J2" s="11">
        <f>IFERROR(__xludf.DUMMYFUNCTION("""COMPUTED_VALUE"""),0.01)</f>
        <v>0.01</v>
      </c>
      <c r="K2" s="11">
        <f>IFERROR(__xludf.DUMMYFUNCTION("""COMPUTED_VALUE"""),1.17)</f>
        <v>1.17</v>
      </c>
    </row>
    <row r="3" ht="15.75" customHeight="1">
      <c r="A3" s="8" t="str">
        <f>IFERROR(__xludf.DUMMYFUNCTION("""COMPUTED_VALUE"""),"https://savit.ae/best-social-media-agencies-in-dubai-for-roi-driven-campaigns/#:~:text=Multi%2Dplatform%20expertise%20across%20Meta%2C%20LinkedIn%2C%20TikTok%2C%20YouTube%2C,Best%20for%20Paid%20Social%20ROAS%20at%20Scale.")</f>
        <v>https://savit.ae/best-social-media-agencies-in-dubai-for-roi-driven-campaigns/#:~:text=Multi%2Dplatform%20expertise%20across%20Meta%2C%20LinkedIn%2C%20TikTok%2C%20YouTube%2C,Best%20for%20Paid%20Social%20ROAS%20at%20Scale.</v>
      </c>
      <c r="B3" s="8" t="str">
        <f>IFERROR(__xludf.DUMMYFUNCTION("""COMPUTED_VALUE"""),"savit.ae")</f>
        <v>savit.ae</v>
      </c>
      <c r="C3" s="11" t="str">
        <f>IFERROR(__xludf.DUMMYFUNCTION("""COMPUTED_VALUE"""),"LISTICLE")</f>
        <v>LISTICLE</v>
      </c>
      <c r="D3" s="11" t="str">
        <f>IFERROR(__xludf.DUMMYFUNCTION("""COMPUTED_VALUE"""),"CORPORATE")</f>
        <v>CORPORATE</v>
      </c>
      <c r="E3" s="11" t="str">
        <f>IFERROR(__xludf.DUMMYFUNCTION("""COMPUTED_VALUE"""),"Best Social Media Agencies in Dubai for ROI-Driven Campaigns")</f>
        <v>Best Social Media Agencies in Dubai for ROI-Driven Campaigns</v>
      </c>
      <c r="F3" s="11" t="str">
        <f>IFERROR(__xludf.DUMMYFUNCTION("""COMPUTED_VALUE"""),"Listicle")</f>
        <v>Listicle</v>
      </c>
      <c r="G3" s="11" t="b">
        <f>IFERROR(__xludf.DUMMYFUNCTION("""COMPUTED_VALUE"""),FALSE)</f>
        <v>0</v>
      </c>
      <c r="H3" s="11" t="str">
        <f>IFERROR(__xludf.DUMMYFUNCTION("""COMPUTED_VALUE"""),"Digital Media Sapiens")</f>
        <v>Digital Media Sapiens</v>
      </c>
      <c r="I3" s="11">
        <f>IFERROR(__xludf.DUMMYFUNCTION("""COMPUTED_VALUE"""),11.0)</f>
        <v>11</v>
      </c>
      <c r="J3" s="11">
        <f>IFERROR(__xludf.DUMMYFUNCTION("""COMPUTED_VALUE"""),0.01)</f>
        <v>0.01</v>
      </c>
      <c r="K3" s="11">
        <f>IFERROR(__xludf.DUMMYFUNCTION("""COMPUTED_VALUE"""),1.18)</f>
        <v>1.18</v>
      </c>
    </row>
    <row r="4" ht="15.75" customHeight="1">
      <c r="A4" s="8" t="str">
        <f>IFERROR(__xludf.DUMMYFUNCTION("""COMPUTED_VALUE"""),"https://www.youtube.com/watch?v=fAu38Nl3Iqw")</f>
        <v>https://www.youtube.com/watch?v=fAu38Nl3Iqw</v>
      </c>
      <c r="B4" s="8" t="str">
        <f>IFERROR(__xludf.DUMMYFUNCTION("""COMPUTED_VALUE"""),"youtube.com")</f>
        <v>youtube.com</v>
      </c>
      <c r="C4" s="11" t="str">
        <f>IFERROR(__xludf.DUMMYFUNCTION("""COMPUTED_VALUE"""),"OTHER")</f>
        <v>OTHER</v>
      </c>
      <c r="D4" s="11" t="str">
        <f>IFERROR(__xludf.DUMMYFUNCTION("""COMPUTED_VALUE"""),"UGC")</f>
        <v>UGC</v>
      </c>
      <c r="E4" s="11"/>
      <c r="F4" s="11" t="str">
        <f>IFERROR(__xludf.DUMMYFUNCTION("""COMPUTED_VALUE"""),"Other")</f>
        <v>Other</v>
      </c>
      <c r="G4" s="11"/>
      <c r="H4" s="11" t="str">
        <f>IFERROR(__xludf.DUMMYFUNCTION("""COMPUTED_VALUE"""),"Unknown")</f>
        <v>Unknown</v>
      </c>
      <c r="I4" s="11">
        <f>IFERROR(__xludf.DUMMYFUNCTION("""COMPUTED_VALUE"""),9.0)</f>
        <v>9</v>
      </c>
      <c r="J4" s="11">
        <f>IFERROR(__xludf.DUMMYFUNCTION("""COMPUTED_VALUE"""),0.01)</f>
        <v>0.01</v>
      </c>
      <c r="K4" s="11">
        <f>IFERROR(__xludf.DUMMYFUNCTION("""COMPUTED_VALUE"""),0.0)</f>
        <v>0</v>
      </c>
    </row>
    <row r="5" ht="15.75" customHeight="1">
      <c r="A5" s="8" t="str">
        <f>IFERROR(__xludf.DUMMYFUNCTION("""COMPUTED_VALUE"""),"https://www.youtube.com/watch?v=PYot-krI4rA")</f>
        <v>https://www.youtube.com/watch?v=PYot-krI4rA</v>
      </c>
      <c r="B5" s="8" t="str">
        <f>IFERROR(__xludf.DUMMYFUNCTION("""COMPUTED_VALUE"""),"youtube.com")</f>
        <v>youtube.com</v>
      </c>
      <c r="C5" s="11" t="str">
        <f>IFERROR(__xludf.DUMMYFUNCTION("""COMPUTED_VALUE"""),"LISTICLE")</f>
        <v>LISTICLE</v>
      </c>
      <c r="D5" s="11" t="str">
        <f>IFERROR(__xludf.DUMMYFUNCTION("""COMPUTED_VALUE"""),"UGC")</f>
        <v>UGC</v>
      </c>
      <c r="E5" s="11" t="str">
        <f>IFERROR(__xludf.DUMMYFUNCTION("""COMPUTED_VALUE"""),"Best 15 AI-Powered Digital Marketing Services in UAE | Grow Your Business Faster with AI")</f>
        <v>Best 15 AI-Powered Digital Marketing Services in UAE | Grow Your Business Faster with AI</v>
      </c>
      <c r="F5" s="11" t="str">
        <f>IFERROR(__xludf.DUMMYFUNCTION("""COMPUTED_VALUE"""),"Listicle")</f>
        <v>Listicle</v>
      </c>
      <c r="G5" s="11" t="b">
        <f>IFERROR(__xludf.DUMMYFUNCTION("""COMPUTED_VALUE"""),FALSE)</f>
        <v>0</v>
      </c>
      <c r="H5" s="11" t="str">
        <f>IFERROR(__xludf.DUMMYFUNCTION("""COMPUTED_VALUE"""),"Digital Arabia, United SEO, ASTUDIO")</f>
        <v>Digital Arabia, United SEO, ASTUDIO</v>
      </c>
      <c r="I5" s="11">
        <f>IFERROR(__xludf.DUMMYFUNCTION("""COMPUTED_VALUE"""),3.0)</f>
        <v>3</v>
      </c>
      <c r="J5" s="11">
        <f>IFERROR(__xludf.DUMMYFUNCTION("""COMPUTED_VALUE"""),0.0)</f>
        <v>0</v>
      </c>
      <c r="K5" s="11">
        <f>IFERROR(__xludf.DUMMYFUNCTION("""COMPUTED_VALUE"""),0.67)</f>
        <v>0.67</v>
      </c>
    </row>
    <row r="6" ht="15.75" customHeight="1">
      <c r="A6" s="8" t="str">
        <f>IFERROR(__xludf.DUMMYFUNCTION("""COMPUTED_VALUE"""),"https://www.youtube.com/watch?v=_6r4JfsFDAQ")</f>
        <v>https://www.youtube.com/watch?v=_6r4JfsFDAQ</v>
      </c>
      <c r="B6" s="8" t="str">
        <f>IFERROR(__xludf.DUMMYFUNCTION("""COMPUTED_VALUE"""),"youtube.com")</f>
        <v>youtube.com</v>
      </c>
      <c r="C6" s="11" t="str">
        <f>IFERROR(__xludf.DUMMYFUNCTION("""COMPUTED_VALUE"""),"ARTICLE")</f>
        <v>ARTICLE</v>
      </c>
      <c r="D6" s="11" t="str">
        <f>IFERROR(__xludf.DUMMYFUNCTION("""COMPUTED_VALUE"""),"UGC")</f>
        <v>UGC</v>
      </c>
      <c r="E6" s="11" t="str">
        <f>IFERROR(__xludf.DUMMYFUNCTION("""COMPUTED_VALUE"""),"Incrementality Testing in Digital Marketing &amp; testing architecture")</f>
        <v>Incrementality Testing in Digital Marketing &amp; testing architecture</v>
      </c>
      <c r="F6" s="11" t="str">
        <f>IFERROR(__xludf.DUMMYFUNCTION("""COMPUTED_VALUE"""),"Article")</f>
        <v>Article</v>
      </c>
      <c r="G6" s="11" t="b">
        <f>IFERROR(__xludf.DUMMYFUNCTION("""COMPUTED_VALUE"""),FALSE)</f>
        <v>0</v>
      </c>
      <c r="H6" s="11"/>
      <c r="I6" s="11">
        <f>IFERROR(__xludf.DUMMYFUNCTION("""COMPUTED_VALUE"""),1.0)</f>
        <v>1</v>
      </c>
      <c r="J6" s="11">
        <f>IFERROR(__xludf.DUMMYFUNCTION("""COMPUTED_VALUE"""),0.0)</f>
        <v>0</v>
      </c>
      <c r="K6" s="11">
        <f>IFERROR(__xludf.DUMMYFUNCTION("""COMPUTED_VALUE"""),1.0)</f>
        <v>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location=":~:text=Multi%2Dplatform%20expertise%20across%20Meta%2C%20LinkedIn%2C%20TikTok%2C%20YouTube%2C,Best%20for%20Paid%20Social%20ROAS%20at%20Scale." ref="A3"/>
    <hyperlink r:id="rId3" ref="B3"/>
    <hyperlink r:id="rId4" ref="A4"/>
    <hyperlink r:id="rId5" ref="B4"/>
    <hyperlink r:id="rId6" ref="A5"/>
    <hyperlink r:id="rId7" ref="B5"/>
    <hyperlink r:id="rId8" ref="A6"/>
    <hyperlink r:id="rId9" ref="B6"/>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All'!A2:A1000)),""incubeta.com"")
  ),
  """"
)"),"https://incubeta.com/")</f>
        <v>https://incubeta.com/</v>
      </c>
      <c r="B2" s="8" t="str">
        <f>IFERROR(__xludf.DUMMYFUNCTION("""COMPUTED_VALUE"""),"incubeta.com")</f>
        <v>incubeta.com</v>
      </c>
      <c r="C2" s="11" t="str">
        <f>IFERROR(__xludf.DUMMYFUNCTION("""COMPUTED_VALUE"""),"HOMEPAGE")</f>
        <v>HOMEPAGE</v>
      </c>
      <c r="D2" s="11" t="str">
        <f>IFERROR(__xludf.DUMMYFUNCTION("""COMPUTED_VALUE"""),"OWN")</f>
        <v>OWN</v>
      </c>
      <c r="E2" s="11" t="str">
        <f>IFERROR(__xludf.DUMMYFUNCTION("""COMPUTED_VALUE"""),"Outperform Marketing With Incubeta Marketing Solutions")</f>
        <v>Outperform Marketing With Incubeta Marketing Solutions</v>
      </c>
      <c r="F2" s="11" t="str">
        <f>IFERROR(__xludf.DUMMYFUNCTION("""COMPUTED_VALUE"""),"Homepage")</f>
        <v>Homepage</v>
      </c>
      <c r="G2" s="11" t="b">
        <f>IFERROR(__xludf.DUMMYFUNCTION("""COMPUTED_VALUE"""),TRUE)</f>
        <v>1</v>
      </c>
      <c r="H2" s="11" t="str">
        <f>IFERROR(__xludf.DUMMYFUNCTION("""COMPUTED_VALUE"""),"Incubeta, intouch")</f>
        <v>Incubeta, intouch</v>
      </c>
      <c r="I2" s="11">
        <f>IFERROR(__xludf.DUMMYFUNCTION("""COMPUTED_VALUE"""),2.0)</f>
        <v>2</v>
      </c>
      <c r="J2" s="11">
        <f>IFERROR(__xludf.DUMMYFUNCTION("""COMPUTED_VALUE"""),0.0)</f>
        <v>0</v>
      </c>
      <c r="K2" s="11">
        <f>IFERROR(__xludf.DUMMYFUNCTION("""COMPUTED_VALUE"""),1.0)</f>
        <v>1</v>
      </c>
    </row>
    <row r="3" ht="15.75" customHeight="1">
      <c r="A3" s="8" t="str">
        <f>IFERROR(__xludf.DUMMYFUNCTION("""COMPUTED_VALUE"""),"https://gmp.incubeta.com/dv360-licensing")</f>
        <v>https://gmp.incubeta.com/dv360-licensing</v>
      </c>
      <c r="B3" s="8" t="str">
        <f>IFERROR(__xludf.DUMMYFUNCTION("""COMPUTED_VALUE"""),"incubeta.com")</f>
        <v>incubeta.com</v>
      </c>
      <c r="C3" s="11" t="str">
        <f>IFERROR(__xludf.DUMMYFUNCTION("""COMPUTED_VALUE"""),"PRODUCT_PAGE")</f>
        <v>PRODUCT_PAGE</v>
      </c>
      <c r="D3" s="11" t="str">
        <f>IFERROR(__xludf.DUMMYFUNCTION("""COMPUTED_VALUE"""),"OWN")</f>
        <v>OWN</v>
      </c>
      <c r="E3" s="11" t="str">
        <f>IFERROR(__xludf.DUMMYFUNCTION("""COMPUTED_VALUE"""),"DV360 Licensing | Incubeta")</f>
        <v>DV360 Licensing | Incubeta</v>
      </c>
      <c r="F3" s="11" t="str">
        <f>IFERROR(__xludf.DUMMYFUNCTION("""COMPUTED_VALUE"""),"Product Page")</f>
        <v>Product Page</v>
      </c>
      <c r="G3" s="11" t="b">
        <f>IFERROR(__xludf.DUMMYFUNCTION("""COMPUTED_VALUE"""),TRUE)</f>
        <v>1</v>
      </c>
      <c r="H3" s="11" t="str">
        <f>IFERROR(__xludf.DUMMYFUNCTION("""COMPUTED_VALUE"""),"Incubeta, intouch")</f>
        <v>Incubeta, intouch</v>
      </c>
      <c r="I3" s="11">
        <f>IFERROR(__xludf.DUMMYFUNCTION("""COMPUTED_VALUE"""),1.0)</f>
        <v>1</v>
      </c>
      <c r="J3" s="11">
        <f>IFERROR(__xludf.DUMMYFUNCTION("""COMPUTED_VALUE"""),0.0)</f>
        <v>0</v>
      </c>
      <c r="K3" s="11">
        <f>IFERROR(__xludf.DUMMYFUNCTION("""COMPUTED_VALUE"""),1.0)</f>
        <v>1</v>
      </c>
    </row>
    <row r="4" ht="15.75" customHeight="1">
      <c r="A4" s="8" t="str">
        <f>IFERROR(__xludf.DUMMYFUNCTION("""COMPUTED_VALUE"""),"https://incubeta.com/capabilities/marketing-intelligence/")</f>
        <v>https://incubeta.com/capabilities/marketing-intelligence/</v>
      </c>
      <c r="B4" s="8" t="str">
        <f>IFERROR(__xludf.DUMMYFUNCTION("""COMPUTED_VALUE"""),"incubeta.com")</f>
        <v>incubeta.com</v>
      </c>
      <c r="C4" s="11" t="str">
        <f>IFERROR(__xludf.DUMMYFUNCTION("""COMPUTED_VALUE"""),"PRODUCT_PAGE")</f>
        <v>PRODUCT_PAGE</v>
      </c>
      <c r="D4" s="11" t="str">
        <f>IFERROR(__xludf.DUMMYFUNCTION("""COMPUTED_VALUE"""),"OWN")</f>
        <v>OWN</v>
      </c>
      <c r="E4" s="11" t="str">
        <f>IFERROR(__xludf.DUMMYFUNCTION("""COMPUTED_VALUE"""),"Marketing Intelligence | Incubeta")</f>
        <v>Marketing Intelligence | Incubeta</v>
      </c>
      <c r="F4" s="11" t="str">
        <f>IFERROR(__xludf.DUMMYFUNCTION("""COMPUTED_VALUE"""),"Product Page")</f>
        <v>Product Page</v>
      </c>
      <c r="G4" s="11" t="b">
        <f>IFERROR(__xludf.DUMMYFUNCTION("""COMPUTED_VALUE"""),TRUE)</f>
        <v>1</v>
      </c>
      <c r="H4" s="11" t="str">
        <f>IFERROR(__xludf.DUMMYFUNCTION("""COMPUTED_VALUE"""),"Incubeta, intouch")</f>
        <v>Incubeta, intouch</v>
      </c>
      <c r="I4" s="11">
        <f>IFERROR(__xludf.DUMMYFUNCTION("""COMPUTED_VALUE"""),1.0)</f>
        <v>1</v>
      </c>
      <c r="J4" s="11">
        <f>IFERROR(__xludf.DUMMYFUNCTION("""COMPUTED_VALUE"""),0.0)</f>
        <v>0</v>
      </c>
      <c r="K4" s="11">
        <f>IFERROR(__xludf.DUMMYFUNCTION("""COMPUTED_VALUE"""),1.0)</f>
        <v>1</v>
      </c>
    </row>
    <row r="5" ht="15.75" customHeight="1">
      <c r="A5" s="8" t="str">
        <f>IFERROR(__xludf.DUMMYFUNCTION("""COMPUTED_VALUE"""),"https://incubeta.com/solutions/")</f>
        <v>https://incubeta.com/solutions/</v>
      </c>
      <c r="B5" s="8" t="str">
        <f>IFERROR(__xludf.DUMMYFUNCTION("""COMPUTED_VALUE"""),"incubeta.com")</f>
        <v>incubeta.com</v>
      </c>
      <c r="C5" s="11" t="str">
        <f>IFERROR(__xludf.DUMMYFUNCTION("""COMPUTED_VALUE"""),"PRODUCT_PAGE")</f>
        <v>PRODUCT_PAGE</v>
      </c>
      <c r="D5" s="11" t="str">
        <f>IFERROR(__xludf.DUMMYFUNCTION("""COMPUTED_VALUE"""),"OWN")</f>
        <v>OWN</v>
      </c>
      <c r="E5" s="11" t="str">
        <f>IFERROR(__xludf.DUMMYFUNCTION("""COMPUTED_VALUE"""),"Outperform Solutions | Incubeta")</f>
        <v>Outperform Solutions | Incubeta</v>
      </c>
      <c r="F5" s="11" t="str">
        <f>IFERROR(__xludf.DUMMYFUNCTION("""COMPUTED_VALUE"""),"Product Page")</f>
        <v>Product Page</v>
      </c>
      <c r="G5" s="11" t="b">
        <f>IFERROR(__xludf.DUMMYFUNCTION("""COMPUTED_VALUE"""),TRUE)</f>
        <v>1</v>
      </c>
      <c r="H5" s="11" t="str">
        <f>IFERROR(__xludf.DUMMYFUNCTION("""COMPUTED_VALUE"""),"Incubeta, Push, intouch")</f>
        <v>Incubeta, Push, intouch</v>
      </c>
      <c r="I5" s="11">
        <f>IFERROR(__xludf.DUMMYFUNCTION("""COMPUTED_VALUE"""),1.0)</f>
        <v>1</v>
      </c>
      <c r="J5" s="11">
        <f>IFERROR(__xludf.DUMMYFUNCTION("""COMPUTED_VALUE"""),0.0)</f>
        <v>0</v>
      </c>
      <c r="K5" s="11">
        <f>IFERROR(__xludf.DUMMYFUNCTION("""COMPUTED_VALUE"""),1.0)</f>
        <v>1</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All'!A2:A1000)),""instagram"")
  ),
  """"
)"),"https://www.leadsdubai.com/faq-instagram-advertising-uae/")</f>
        <v>https://www.leadsdubai.com/faq-instagram-advertising-uae/</v>
      </c>
      <c r="B2" s="8" t="str">
        <f>IFERROR(__xludf.DUMMYFUNCTION("""COMPUTED_VALUE"""),"leadsdubai.com")</f>
        <v>leadsdubai.com</v>
      </c>
      <c r="C2" s="11" t="str">
        <f>IFERROR(__xludf.DUMMYFUNCTION("""COMPUTED_VALUE"""),"OTHER")</f>
        <v>OTHER</v>
      </c>
      <c r="D2" s="11" t="str">
        <f>IFERROR(__xludf.DUMMYFUNCTION("""COMPUTED_VALUE"""),"COMPETITOR")</f>
        <v>COMPETITOR</v>
      </c>
      <c r="E2" s="11" t="str">
        <f>IFERROR(__xludf.DUMMYFUNCTION("""COMPUTED_VALUE"""),"FAQ - Instagram Advertising UAE \| Leads Dubai")</f>
        <v>FAQ - Instagram Advertising UAE \| Leads Dubai</v>
      </c>
      <c r="F2" s="11" t="str">
        <f>IFERROR(__xludf.DUMMYFUNCTION("""COMPUTED_VALUE"""),"Other")</f>
        <v>Other</v>
      </c>
      <c r="G2" s="11" t="b">
        <f>IFERROR(__xludf.DUMMYFUNCTION("""COMPUTED_VALUE"""),FALSE)</f>
        <v>0</v>
      </c>
      <c r="H2" s="11" t="str">
        <f>IFERROR(__xludf.DUMMYFUNCTION("""COMPUTED_VALUE"""),"Leads Dubai, Measured, intouch")</f>
        <v>Leads Dubai, Measured, intouch</v>
      </c>
      <c r="I2" s="11">
        <f>IFERROR(__xludf.DUMMYFUNCTION("""COMPUTED_VALUE"""),6.0)</f>
        <v>6</v>
      </c>
      <c r="J2" s="11">
        <f>IFERROR(__xludf.DUMMYFUNCTION("""COMPUTED_VALUE"""),0.01)</f>
        <v>0.01</v>
      </c>
      <c r="K2" s="11">
        <f>IFERROR(__xludf.DUMMYFUNCTION("""COMPUTED_VALUE"""),1.0)</f>
        <v>1</v>
      </c>
    </row>
    <row r="3" ht="15.75" customHeight="1">
      <c r="A3" s="8" t="str">
        <f>IFERROR(__xludf.DUMMYFUNCTION("""COMPUTED_VALUE"""),"https://superbcompanies.com/categories/instagram-advertising-agencies-in-the-uae/")</f>
        <v>https://superbcompanies.com/categories/instagram-advertising-agencies-in-the-uae/</v>
      </c>
      <c r="B3" s="8" t="str">
        <f>IFERROR(__xludf.DUMMYFUNCTION("""COMPUTED_VALUE"""),"superbcompanies.com")</f>
        <v>superbcompanies.com</v>
      </c>
      <c r="C3" s="11" t="str">
        <f>IFERROR(__xludf.DUMMYFUNCTION("""COMPUTED_VALUE"""),"LISTICLE")</f>
        <v>LISTICLE</v>
      </c>
      <c r="D3" s="11" t="str">
        <f>IFERROR(__xludf.DUMMYFUNCTION("""COMPUTED_VALUE"""),"REFERENCE")</f>
        <v>REFERENCE</v>
      </c>
      <c r="E3" s="11" t="str">
        <f>IFERROR(__xludf.DUMMYFUNCTION("""COMPUTED_VALUE"""),"Top 10 Instagram Advertising Agencies in the United Arab Emirates - Jul 2026 | Ranking | SuperbCompanies")</f>
        <v>Top 10 Instagram Advertising Agencies in the United Arab Emirates - Jul 2026 | Ranking | SuperbCompanies</v>
      </c>
      <c r="F3" s="11" t="str">
        <f>IFERROR(__xludf.DUMMYFUNCTION("""COMPUTED_VALUE"""),"Listicle")</f>
        <v>Listicle</v>
      </c>
      <c r="G3" s="11" t="b">
        <f>IFERROR(__xludf.DUMMYFUNCTION("""COMPUTED_VALUE"""),FALSE)</f>
        <v>0</v>
      </c>
      <c r="H3" s="11"/>
      <c r="I3" s="11">
        <f>IFERROR(__xludf.DUMMYFUNCTION("""COMPUTED_VALUE"""),4.0)</f>
        <v>4</v>
      </c>
      <c r="J3" s="11">
        <f>IFERROR(__xludf.DUMMYFUNCTION("""COMPUTED_VALUE"""),0.0)</f>
        <v>0</v>
      </c>
      <c r="K3" s="11">
        <f>IFERROR(__xludf.DUMMYFUNCTION("""COMPUTED_VALUE"""),0.0)</f>
        <v>0</v>
      </c>
    </row>
    <row r="4" ht="15.75" customHeight="1">
      <c r="A4" s="8" t="str">
        <f>IFERROR(__xludf.DUMMYFUNCTION("""COMPUTED_VALUE"""),"https://www.bicommunications.ae/blog/best-instagram-marketing-agencies-dubai/#:~:text=Nexa%20(Digital%20Nexa)%20%E2%80%94%20Full%2DService%20Digital%20Marketing,social%20advertising%2C%20influencer%2Ddriven%20campaigns%2C%20and%20community%20management.")</f>
        <v>https://www.bicommunications.ae/blog/best-instagram-marketing-agencies-dubai/#:~:text=Nexa%20(Digital%20Nexa)%20%E2%80%94%20Full%2DService%20Digital%20Marketing,social%20advertising%2C%20influencer%2Ddriven%20campaigns%2C%20and%20community%20management.</v>
      </c>
      <c r="B4" s="8" t="str">
        <f>IFERROR(__xludf.DUMMYFUNCTION("""COMPUTED_VALUE"""),"bicommunications.ae")</f>
        <v>bicommunications.ae</v>
      </c>
      <c r="C4" s="11" t="str">
        <f>IFERROR(__xludf.DUMMYFUNCTION("""COMPUTED_VALUE"""),"LISTICLE")</f>
        <v>LISTICLE</v>
      </c>
      <c r="D4" s="11" t="str">
        <f>IFERROR(__xludf.DUMMYFUNCTION("""COMPUTED_VALUE"""),"CORPORATE")</f>
        <v>CORPORATE</v>
      </c>
      <c r="E4" s="11" t="str">
        <f>IFERROR(__xludf.DUMMYFUNCTION("""COMPUTED_VALUE"""),"Best Instagram Marketing Agencies in Dubai 2026 (Expert Picks)")</f>
        <v>Best Instagram Marketing Agencies in Dubai 2026 (Expert Picks)</v>
      </c>
      <c r="F4" s="11" t="str">
        <f>IFERROR(__xludf.DUMMYFUNCTION("""COMPUTED_VALUE"""),"Listicle")</f>
        <v>Listicle</v>
      </c>
      <c r="G4" s="11" t="b">
        <f>IFERROR(__xludf.DUMMYFUNCTION("""COMPUTED_VALUE"""),FALSE)</f>
        <v>0</v>
      </c>
      <c r="H4" s="11" t="str">
        <f>IFERROR(__xludf.DUMMYFUNCTION("""COMPUTED_VALUE"""),"NEXA, Prism Digital, Bird Marketing, Ninja Promo, Adapts Media, Chain Reaction, inBeat, AlCaz Media, intouch")</f>
        <v>NEXA, Prism Digital, Bird Marketing, Ninja Promo, Adapts Media, Chain Reaction, inBeat, AlCaz Media, intouch</v>
      </c>
      <c r="I4" s="11">
        <f>IFERROR(__xludf.DUMMYFUNCTION("""COMPUTED_VALUE"""),2.0)</f>
        <v>2</v>
      </c>
      <c r="J4" s="11">
        <f>IFERROR(__xludf.DUMMYFUNCTION("""COMPUTED_VALUE"""),0.0)</f>
        <v>0</v>
      </c>
      <c r="K4" s="11">
        <f>IFERROR(__xludf.DUMMYFUNCTION("""COMPUTED_VALUE"""),1.0)</f>
        <v>1</v>
      </c>
    </row>
    <row r="5" ht="15.75" customHeight="1">
      <c r="A5" s="8" t="str">
        <f>IFERROR(__xludf.DUMMYFUNCTION("""COMPUTED_VALUE"""),"https://www.instagram.com/reel/DEINQLyT2n8/")</f>
        <v>https://www.instagram.com/reel/DEINQLyT2n8/</v>
      </c>
      <c r="B5" s="8" t="str">
        <f>IFERROR(__xludf.DUMMYFUNCTION("""COMPUTED_VALUE"""),"instagram.com")</f>
        <v>instagram.com</v>
      </c>
      <c r="C5" s="11" t="str">
        <f>IFERROR(__xludf.DUMMYFUNCTION("""COMPUTED_VALUE"""),"OTHER")</f>
        <v>OTHER</v>
      </c>
      <c r="D5" s="11" t="str">
        <f>IFERROR(__xludf.DUMMYFUNCTION("""COMPUTED_VALUE"""),"UGC")</f>
        <v>UGC</v>
      </c>
      <c r="E5" s="11" t="str">
        <f>IFERROR(__xludf.DUMMYFUNCTION("""COMPUTED_VALUE"""),"🌟 Looking to Expand Your Business in the GCC? 🌟
🚀 Finding the right investors in the GCC region is key to scaling your business! Here's how you can make it happen:
1️⃣ Highlight your business’s unique potential.
2️⃣ Research investors who align with"&amp;" your vision.
3️⃣ Create a powerful pitch that stands out.
4️⃣ Network with the right people to build connections.
5️⃣ Secure partnerships that drive success!
💡 Need help with the process? Let us guide you step-by-step!
📩 DM us today for personaliz"&amp;"ed advice.
#GCCInvestors #BusinessGrowth #InvestmentOpportunities #Entrepreneurship #BusinessSetup #InvestorConnections #FundingYourBusiness #StartupSuccess #GCCBusiness")</f>
        <v>🌟 Looking to Expand Your Business in the GCC? 🌟
🚀 Finding the right investors in the GCC region is key to scaling your business! Here's how you can make it happen:
1️⃣ Highlight your business’s unique potential.
2️⃣ Research investors who align with your vision.
3️⃣ Create a powerful pitch that stands out.
4️⃣ Network with the right people to build connections.
5️⃣ Secure partnerships that drive success!
💡 Need help with the process? Let us guide you step-by-step!
📩 DM us today for personalized advice.
#GCCInvestors #BusinessGrowth #InvestmentOpportunities #Entrepreneurship #BusinessSetup #InvestorConnections #FundingYourBusiness #StartupSuccess #GCCBusiness</v>
      </c>
      <c r="F5" s="11" t="str">
        <f>IFERROR(__xludf.DUMMYFUNCTION("""COMPUTED_VALUE"""),"Other")</f>
        <v>Other</v>
      </c>
      <c r="G5" s="11" t="b">
        <f>IFERROR(__xludf.DUMMYFUNCTION("""COMPUTED_VALUE"""),FALSE)</f>
        <v>0</v>
      </c>
      <c r="H5" s="11"/>
      <c r="I5" s="11">
        <f>IFERROR(__xludf.DUMMYFUNCTION("""COMPUTED_VALUE"""),1.0)</f>
        <v>1</v>
      </c>
      <c r="J5" s="11">
        <f>IFERROR(__xludf.DUMMYFUNCTION("""COMPUTED_VALUE"""),0.0)</f>
        <v>0</v>
      </c>
      <c r="K5" s="11">
        <f>IFERROR(__xludf.DUMMYFUNCTION("""COMPUTED_VALUE"""),0.0)</f>
        <v>0</v>
      </c>
    </row>
    <row r="6" ht="15.75" customHeight="1">
      <c r="A6" s="8" t="str">
        <f>IFERROR(__xludf.DUMMYFUNCTION("""COMPUTED_VALUE"""),"https://www.instagram.com/reel/DHfu8Ezv3tV/")</f>
        <v>https://www.instagram.com/reel/DHfu8Ezv3tV/</v>
      </c>
      <c r="B6" s="8" t="str">
        <f>IFERROR(__xludf.DUMMYFUNCTION("""COMPUTED_VALUE"""),"instagram.com")</f>
        <v>instagram.com</v>
      </c>
      <c r="C6" s="11" t="str">
        <f>IFERROR(__xludf.DUMMYFUNCTION("""COMPUTED_VALUE"""),"OTHER")</f>
        <v>OTHER</v>
      </c>
      <c r="D6" s="11" t="str">
        <f>IFERROR(__xludf.DUMMYFUNCTION("""COMPUTED_VALUE"""),"UGC")</f>
        <v>UGC</v>
      </c>
      <c r="E6" s="11" t="str">
        <f>IFERROR(__xludf.DUMMYFUNCTION("""COMPUTED_VALUE"""),"🎬 Cutting-Edge CGI &amp; VFX Meet High-Impact Content Marketing! 🎬
We integrate AI-powered analytics, CGI-enhanced visuals, conversion-optimized funnels, and multi-channel performance marketing to drive measurable growth and brand impact. From cinematic CG"&amp;"I ads to precision-targeted campaigns, we engineer success at every touchpoint.
🔥 Dubai’s Most Powerful Brand Growth Engine! 🔥
P.S: Brands using predictive analytics, A/B testing, CGI-driven storytelling, and hyper-personalization see 5x higher ROI, a"&amp;"re you leveraging these strategies to scale?
Get your marketing done right, partner with Enum Digital today!
#EnumDigital #Branding #MarketingDubai #DigitalInnovation #ExperienceAgency #UAE #Advertising #AIinMarketing #PerformanceMarketing #GrowthEngine"&amp;" #Ecommerce #SaaS #LeadGen #ContentStrategy #CGI #VFX #Media #Animation")</f>
        <v>🎬 Cutting-Edge CGI &amp; VFX Meet High-Impact Content Marketing! 🎬
We integrate AI-powered analytics, CGI-enhanced visuals, conversion-optimized funnels, and multi-channel performance marketing to drive measurable growth and brand impact. From cinematic CGI ads to precision-targeted campaigns, we engineer success at every touchpoint.
🔥 Dubai’s Most Powerful Brand Growth Engine! 🔥
P.S: Brands using predictive analytics, A/B testing, CGI-driven storytelling, and hyper-personalization see 5x higher ROI, are you leveraging these strategies to scale?
Get your marketing done right, partner with Enum Digital today!
#EnumDigital #Branding #MarketingDubai #DigitalInnovation #ExperienceAgency #UAE #Advertising #AIinMarketing #PerformanceMarketing #GrowthEngine #Ecommerce #SaaS #LeadGen #ContentStrategy #CGI #VFX #Media #Animation</v>
      </c>
      <c r="F6" s="11" t="str">
        <f>IFERROR(__xludf.DUMMYFUNCTION("""COMPUTED_VALUE"""),"Other")</f>
        <v>Other</v>
      </c>
      <c r="G6" s="11" t="b">
        <f>IFERROR(__xludf.DUMMYFUNCTION("""COMPUTED_VALUE"""),FALSE)</f>
        <v>0</v>
      </c>
      <c r="H6" s="11"/>
      <c r="I6" s="11">
        <f>IFERROR(__xludf.DUMMYFUNCTION("""COMPUTED_VALUE"""),1.0)</f>
        <v>1</v>
      </c>
      <c r="J6" s="11">
        <f>IFERROR(__xludf.DUMMYFUNCTION("""COMPUTED_VALUE"""),0.0)</f>
        <v>0</v>
      </c>
      <c r="K6" s="11">
        <f>IFERROR(__xludf.DUMMYFUNCTION("""COMPUTED_VALUE"""),1.0)</f>
        <v>1</v>
      </c>
    </row>
    <row r="7" ht="15.75" customHeight="1">
      <c r="A7" s="8" t="str">
        <f>IFERROR(__xludf.DUMMYFUNCTION("""COMPUTED_VALUE"""),"https://www.instagram.com/vibemarketingtechfest/")</f>
        <v>https://www.instagram.com/vibemarketingtechfest/</v>
      </c>
      <c r="B7" s="8" t="str">
        <f>IFERROR(__xludf.DUMMYFUNCTION("""COMPUTED_VALUE"""),"instagram.com")</f>
        <v>instagram.com</v>
      </c>
      <c r="C7" s="11" t="str">
        <f>IFERROR(__xludf.DUMMYFUNCTION("""COMPUTED_VALUE"""),"OTHER")</f>
        <v>OTHER</v>
      </c>
      <c r="D7" s="11" t="str">
        <f>IFERROR(__xludf.DUMMYFUNCTION("""COMPUTED_VALUE"""),"OTHER")</f>
        <v>OTHER</v>
      </c>
      <c r="E7" s="11"/>
      <c r="F7" s="11" t="str">
        <f>IFERROR(__xludf.DUMMYFUNCTION("""COMPUTED_VALUE"""),"Other")</f>
        <v>Other</v>
      </c>
      <c r="G7" s="11"/>
      <c r="H7" s="11" t="str">
        <f>IFERROR(__xludf.DUMMYFUNCTION("""COMPUTED_VALUE"""),"Unknown")</f>
        <v>Unknown</v>
      </c>
      <c r="I7" s="11">
        <f>IFERROR(__xludf.DUMMYFUNCTION("""COMPUTED_VALUE"""),1.0)</f>
        <v>1</v>
      </c>
      <c r="J7" s="11">
        <f>IFERROR(__xludf.DUMMYFUNCTION("""COMPUTED_VALUE"""),0.0)</f>
        <v>0</v>
      </c>
      <c r="K7" s="11">
        <f>IFERROR(__xludf.DUMMYFUNCTION("""COMPUTED_VALUE"""),1.0)</f>
        <v>1</v>
      </c>
    </row>
    <row r="8" ht="15.75" customHeight="1">
      <c r="A8" s="8" t="str">
        <f>IFERROR(__xludf.DUMMYFUNCTION("""COMPUTED_VALUE"""),"https://marketingltb.com/blog/agency/best-instagram-influencer-marketing-agencies/")</f>
        <v>https://marketingltb.com/blog/agency/best-instagram-influencer-marketing-agencies/</v>
      </c>
      <c r="B8" s="8" t="str">
        <f>IFERROR(__xludf.DUMMYFUNCTION("""COMPUTED_VALUE"""),"marketingltb.com")</f>
        <v>marketingltb.com</v>
      </c>
      <c r="C8" s="11" t="str">
        <f>IFERROR(__xludf.DUMMYFUNCTION("""COMPUTED_VALUE"""),"LISTICLE")</f>
        <v>LISTICLE</v>
      </c>
      <c r="D8" s="11" t="str">
        <f>IFERROR(__xludf.DUMMYFUNCTION("""COMPUTED_VALUE"""),"CORPORATE")</f>
        <v>CORPORATE</v>
      </c>
      <c r="E8" s="11" t="str">
        <f>IFERROR(__xludf.DUMMYFUNCTION("""COMPUTED_VALUE"""),"10 Best Instagram Influencer Marketing Agencies in 2026 - Marketing LTB")</f>
        <v>10 Best Instagram Influencer Marketing Agencies in 2026 - Marketing LTB</v>
      </c>
      <c r="F8" s="11" t="str">
        <f>IFERROR(__xludf.DUMMYFUNCTION("""COMPUTED_VALUE"""),"Listicle")</f>
        <v>Listicle</v>
      </c>
      <c r="G8" s="11" t="b">
        <f>IFERROR(__xludf.DUMMYFUNCTION("""COMPUTED_VALUE"""),FALSE)</f>
        <v>0</v>
      </c>
      <c r="H8" s="11" t="str">
        <f>IFERROR(__xludf.DUMMYFUNCTION("""COMPUTED_VALUE"""),"inBeat")</f>
        <v>inBeat</v>
      </c>
      <c r="I8" s="11">
        <f>IFERROR(__xludf.DUMMYFUNCTION("""COMPUTED_VALUE"""),1.0)</f>
        <v>1</v>
      </c>
      <c r="J8" s="11">
        <f>IFERROR(__xludf.DUMMYFUNCTION("""COMPUTED_VALUE"""),0.0)</f>
        <v>0</v>
      </c>
      <c r="K8" s="11">
        <f>IFERROR(__xludf.DUMMYFUNCTION("""COMPUTED_VALUE"""),1.0)</f>
        <v>1</v>
      </c>
    </row>
    <row r="9" ht="15.75" customHeight="1">
      <c r="A9" s="8" t="str">
        <f>IFERROR(__xludf.DUMMYFUNCTION("""COMPUTED_VALUE"""),"https://www.prism-me.com/paid-media-agency/instagram-ads")</f>
        <v>https://www.prism-me.com/paid-media-agency/instagram-ads</v>
      </c>
      <c r="B9" s="8" t="str">
        <f>IFERROR(__xludf.DUMMYFUNCTION("""COMPUTED_VALUE"""),"prism-me.com")</f>
        <v>prism-me.com</v>
      </c>
      <c r="C9" s="11" t="str">
        <f>IFERROR(__xludf.DUMMYFUNCTION("""COMPUTED_VALUE"""),"PRODUCT_PAGE")</f>
        <v>PRODUCT_PAGE</v>
      </c>
      <c r="D9" s="11" t="str">
        <f>IFERROR(__xludf.DUMMYFUNCTION("""COMPUTED_VALUE"""),"OTHER")</f>
        <v>OTHER</v>
      </c>
      <c r="E9" s="11" t="str">
        <f>IFERROR(__xludf.DUMMYFUNCTION("""COMPUTED_VALUE"""),"Instagram Ads Management Services in UAE | Prism Digital")</f>
        <v>Instagram Ads Management Services in UAE | Prism Digital</v>
      </c>
      <c r="F9" s="11" t="str">
        <f>IFERROR(__xludf.DUMMYFUNCTION("""COMPUTED_VALUE"""),"Product Page")</f>
        <v>Product Page</v>
      </c>
      <c r="G9" s="11" t="b">
        <f>IFERROR(__xludf.DUMMYFUNCTION("""COMPUTED_VALUE"""),FALSE)</f>
        <v>0</v>
      </c>
      <c r="H9" s="11" t="str">
        <f>IFERROR(__xludf.DUMMYFUNCTION("""COMPUTED_VALUE"""),"intouch, Prism Digital")</f>
        <v>intouch, Prism Digital</v>
      </c>
      <c r="I9" s="11">
        <f>IFERROR(__xludf.DUMMYFUNCTION("""COMPUTED_VALUE"""),1.0)</f>
        <v>1</v>
      </c>
      <c r="J9" s="11">
        <f>IFERROR(__xludf.DUMMYFUNCTION("""COMPUTED_VALUE"""),0.0)</f>
        <v>0</v>
      </c>
      <c r="K9" s="11">
        <f>IFERROR(__xludf.DUMMYFUNCTION("""COMPUTED_VALUE"""),1.0)</f>
        <v>1</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location=":~:text=Nexa%20(Digital%20Nexa)%20%E2%80%94%20Full%2DService%20Digital%20Marketing,social%20advertising%2C%20influencer%2Ddriven%20campaigns%2C%20and%20community%20management."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All'!A2:A1000)),""clutch.co"")
  ),
  """"
)"),"https://clutch.co/ae/agencies")</f>
        <v>https://clutch.co/ae/agencies</v>
      </c>
      <c r="B2" s="8" t="str">
        <f>IFERROR(__xludf.DUMMYFUNCTION("""COMPUTED_VALUE"""),"clutch.co")</f>
        <v>clutch.co</v>
      </c>
      <c r="C2" s="11" t="str">
        <f>IFERROR(__xludf.DUMMYFUNCTION("""COMPUTED_VALUE"""),"CATEGORY_PAGE")</f>
        <v>CATEGORY_PAGE</v>
      </c>
      <c r="D2" s="11" t="str">
        <f>IFERROR(__xludf.DUMMYFUNCTION("""COMPUTED_VALUE"""),"CORPORATE")</f>
        <v>CORPORATE</v>
      </c>
      <c r="E2" s="11" t="str">
        <f>IFERROR(__xludf.DUMMYFUNCTION("""COMPUTED_VALUE"""),"Top Advertising Agencies in the United Arab Emirates - Jul 2026 Rankings \| Clutch.co")</f>
        <v>Top Advertising Agencies in the United Arab Emirates - Jul 2026 Rankings \| Clutch.co</v>
      </c>
      <c r="F2" s="11" t="str">
        <f>IFERROR(__xludf.DUMMYFUNCTION("""COMPUTED_VALUE"""),"Category Page")</f>
        <v>Category Page</v>
      </c>
      <c r="G2" s="11" t="b">
        <f>IFERROR(__xludf.DUMMYFUNCTION("""COMPUTED_VALUE"""),FALSE)</f>
        <v>0</v>
      </c>
      <c r="H2" s="11" t="str">
        <f>IFERROR(__xludf.DUMMYFUNCTION("""COMPUTED_VALUE"""),"M3.agency, INSIDEA, YouYaa, Momentum, EDS FZCO, intouch, Leads Dubai, NoGood, Prism Digital")</f>
        <v>M3.agency, INSIDEA, YouYaa, Momentum, EDS FZCO, intouch, Leads Dubai, NoGood, Prism Digital</v>
      </c>
      <c r="I2" s="11">
        <f>IFERROR(__xludf.DUMMYFUNCTION("""COMPUTED_VALUE"""),60.0)</f>
        <v>60</v>
      </c>
      <c r="J2" s="11">
        <f>IFERROR(__xludf.DUMMYFUNCTION("""COMPUTED_VALUE"""),0.06)</f>
        <v>0.06</v>
      </c>
      <c r="K2" s="11">
        <f>IFERROR(__xludf.DUMMYFUNCTION("""COMPUTED_VALUE"""),0.85)</f>
        <v>0.85</v>
      </c>
    </row>
    <row r="3" ht="15.75" customHeight="1">
      <c r="A3" s="8" t="str">
        <f>IFERROR(__xludf.DUMMYFUNCTION("""COMPUTED_VALUE"""),"https://clutch.co/ae/agencies/digital-marketing")</f>
        <v>https://clutch.co/ae/agencies/digital-marketing</v>
      </c>
      <c r="B3" s="8" t="str">
        <f>IFERROR(__xludf.DUMMYFUNCTION("""COMPUTED_VALUE"""),"clutch.co")</f>
        <v>clutch.co</v>
      </c>
      <c r="C3" s="11" t="str">
        <f>IFERROR(__xludf.DUMMYFUNCTION("""COMPUTED_VALUE"""),"CATEGORY_PAGE")</f>
        <v>CATEGORY_PAGE</v>
      </c>
      <c r="D3" s="11" t="str">
        <f>IFERROR(__xludf.DUMMYFUNCTION("""COMPUTED_VALUE"""),"CORPORATE")</f>
        <v>CORPORATE</v>
      </c>
      <c r="E3" s="11" t="str">
        <f>IFERROR(__xludf.DUMMYFUNCTION("""COMPUTED_VALUE"""),"Top Digital Marketing Agencies in the United Arab Emirates - Jul 2026 Rankings | Clutch.co")</f>
        <v>Top Digital Marketing Agencies in the United Arab Emirates - Jul 2026 Rankings | Clutch.co</v>
      </c>
      <c r="F3" s="11" t="str">
        <f>IFERROR(__xludf.DUMMYFUNCTION("""COMPUTED_VALUE"""),"Category Page")</f>
        <v>Category Page</v>
      </c>
      <c r="G3" s="11" t="b">
        <f>IFERROR(__xludf.DUMMYFUNCTION("""COMPUTED_VALUE"""),FALSE)</f>
        <v>0</v>
      </c>
      <c r="H3" s="11" t="str">
        <f>IFERROR(__xludf.DUMMYFUNCTION("""COMPUTED_VALUE"""),"Ninja Promo, Blue Beetle, Bird Marketing, Dot IT, intouch, M3.agency, INSIDEA, Admoon, Web Tonic, YouYaa, Digital Gravity, Leads Dubai, Huge, Hovi Digital Lab")</f>
        <v>Ninja Promo, Blue Beetle, Bird Marketing, Dot IT, intouch, M3.agency, INSIDEA, Admoon, Web Tonic, YouYaa, Digital Gravity, Leads Dubai, Huge, Hovi Digital Lab</v>
      </c>
      <c r="I3" s="11">
        <f>IFERROR(__xludf.DUMMYFUNCTION("""COMPUTED_VALUE"""),53.0)</f>
        <v>53</v>
      </c>
      <c r="J3" s="11">
        <f>IFERROR(__xludf.DUMMYFUNCTION("""COMPUTED_VALUE"""),0.05)</f>
        <v>0.05</v>
      </c>
      <c r="K3" s="11">
        <f>IFERROR(__xludf.DUMMYFUNCTION("""COMPUTED_VALUE"""),1.3)</f>
        <v>1.3</v>
      </c>
    </row>
    <row r="4" ht="15.75" customHeight="1">
      <c r="A4" s="8" t="str">
        <f>IFERROR(__xludf.DUMMYFUNCTION("""COMPUTED_VALUE"""),"https://clutch.co/ae/consulting/ai/dubai")</f>
        <v>https://clutch.co/ae/consulting/ai/dubai</v>
      </c>
      <c r="B4" s="8" t="str">
        <f>IFERROR(__xludf.DUMMYFUNCTION("""COMPUTED_VALUE"""),"clutch.co")</f>
        <v>clutch.co</v>
      </c>
      <c r="C4" s="11" t="str">
        <f>IFERROR(__xludf.DUMMYFUNCTION("""COMPUTED_VALUE"""),"CATEGORY_PAGE")</f>
        <v>CATEGORY_PAGE</v>
      </c>
      <c r="D4" s="11" t="str">
        <f>IFERROR(__xludf.DUMMYFUNCTION("""COMPUTED_VALUE"""),"CORPORATE")</f>
        <v>CORPORATE</v>
      </c>
      <c r="E4" s="11" t="str">
        <f>IFERROR(__xludf.DUMMYFUNCTION("""COMPUTED_VALUE"""),"Top AI Consultants in Dubai - Jul 2026 Rankings | Clutch.co")</f>
        <v>Top AI Consultants in Dubai - Jul 2026 Rankings | Clutch.co</v>
      </c>
      <c r="F4" s="11" t="str">
        <f>IFERROR(__xludf.DUMMYFUNCTION("""COMPUTED_VALUE"""),"Category Page")</f>
        <v>Category Page</v>
      </c>
      <c r="G4" s="11" t="b">
        <f>IFERROR(__xludf.DUMMYFUNCTION("""COMPUTED_VALUE"""),FALSE)</f>
        <v>0</v>
      </c>
      <c r="H4" s="11" t="str">
        <f>IFERROR(__xludf.DUMMYFUNCTION("""COMPUTED_VALUE"""),"intouch, Push")</f>
        <v>intouch, Push</v>
      </c>
      <c r="I4" s="11">
        <f>IFERROR(__xludf.DUMMYFUNCTION("""COMPUTED_VALUE"""),29.0)</f>
        <v>29</v>
      </c>
      <c r="J4" s="11">
        <f>IFERROR(__xludf.DUMMYFUNCTION("""COMPUTED_VALUE"""),0.03)</f>
        <v>0.03</v>
      </c>
      <c r="K4" s="11">
        <f>IFERROR(__xludf.DUMMYFUNCTION("""COMPUTED_VALUE"""),1.1)</f>
        <v>1.1</v>
      </c>
    </row>
    <row r="5" ht="15.75" customHeight="1">
      <c r="A5" s="8" t="str">
        <f>IFERROR(__xludf.DUMMYFUNCTION("""COMPUTED_VALUE"""),"https://clutch.co/ae/agencies/creative/dubai")</f>
        <v>https://clutch.co/ae/agencies/creative/dubai</v>
      </c>
      <c r="B5" s="8" t="str">
        <f>IFERROR(__xludf.DUMMYFUNCTION("""COMPUTED_VALUE"""),"clutch.co")</f>
        <v>clutch.co</v>
      </c>
      <c r="C5" s="11" t="str">
        <f>IFERROR(__xludf.DUMMYFUNCTION("""COMPUTED_VALUE"""),"CATEGORY_PAGE")</f>
        <v>CATEGORY_PAGE</v>
      </c>
      <c r="D5" s="11" t="str">
        <f>IFERROR(__xludf.DUMMYFUNCTION("""COMPUTED_VALUE"""),"CORPORATE")</f>
        <v>CORPORATE</v>
      </c>
      <c r="E5" s="11" t="str">
        <f>IFERROR(__xludf.DUMMYFUNCTION("""COMPUTED_VALUE"""),"Top Creative Agencies in Dubai - Jul 2026 Rankings | Clutch.co")</f>
        <v>Top Creative Agencies in Dubai - Jul 2026 Rankings | Clutch.co</v>
      </c>
      <c r="F5" s="11" t="str">
        <f>IFERROR(__xludf.DUMMYFUNCTION("""COMPUTED_VALUE"""),"Category Page")</f>
        <v>Category Page</v>
      </c>
      <c r="G5" s="11" t="b">
        <f>IFERROR(__xludf.DUMMYFUNCTION("""COMPUTED_VALUE"""),FALSE)</f>
        <v>0</v>
      </c>
      <c r="H5" s="11" t="str">
        <f>IFERROR(__xludf.DUMMYFUNCTION("""COMPUTED_VALUE"""),"intouch, Pixoo Media")</f>
        <v>intouch, Pixoo Media</v>
      </c>
      <c r="I5" s="11">
        <f>IFERROR(__xludf.DUMMYFUNCTION("""COMPUTED_VALUE"""),28.0)</f>
        <v>28</v>
      </c>
      <c r="J5" s="11">
        <f>IFERROR(__xludf.DUMMYFUNCTION("""COMPUTED_VALUE"""),0.03)</f>
        <v>0.03</v>
      </c>
      <c r="K5" s="11">
        <f>IFERROR(__xludf.DUMMYFUNCTION("""COMPUTED_VALUE"""),0.07)</f>
        <v>0.07</v>
      </c>
    </row>
    <row r="6" ht="15.75" customHeight="1">
      <c r="A6" s="8" t="str">
        <f>IFERROR(__xludf.DUMMYFUNCTION("""COMPUTED_VALUE"""),"https://clutch.co/ae/agencies/creative")</f>
        <v>https://clutch.co/ae/agencies/creative</v>
      </c>
      <c r="B6" s="8" t="str">
        <f>IFERROR(__xludf.DUMMYFUNCTION("""COMPUTED_VALUE"""),"clutch.co")</f>
        <v>clutch.co</v>
      </c>
      <c r="C6" s="11" t="str">
        <f>IFERROR(__xludf.DUMMYFUNCTION("""COMPUTED_VALUE"""),"CATEGORY_PAGE")</f>
        <v>CATEGORY_PAGE</v>
      </c>
      <c r="D6" s="11" t="str">
        <f>IFERROR(__xludf.DUMMYFUNCTION("""COMPUTED_VALUE"""),"CORPORATE")</f>
        <v>CORPORATE</v>
      </c>
      <c r="E6" s="11" t="str">
        <f>IFERROR(__xludf.DUMMYFUNCTION("""COMPUTED_VALUE"""),"Top Creative Agencies in the United Arab Emirates - Jul 2026 Rankings | Clutch.co")</f>
        <v>Top Creative Agencies in the United Arab Emirates - Jul 2026 Rankings | Clutch.co</v>
      </c>
      <c r="F6" s="11" t="str">
        <f>IFERROR(__xludf.DUMMYFUNCTION("""COMPUTED_VALUE"""),"Category Page")</f>
        <v>Category Page</v>
      </c>
      <c r="G6" s="11" t="b">
        <f>IFERROR(__xludf.DUMMYFUNCTION("""COMPUTED_VALUE"""),FALSE)</f>
        <v>0</v>
      </c>
      <c r="H6" s="11" t="str">
        <f>IFERROR(__xludf.DUMMYFUNCTION("""COMPUTED_VALUE"""),"intouch, NoGood, Pixoo Media")</f>
        <v>intouch, NoGood, Pixoo Media</v>
      </c>
      <c r="I6" s="11">
        <f>IFERROR(__xludf.DUMMYFUNCTION("""COMPUTED_VALUE"""),22.0)</f>
        <v>22</v>
      </c>
      <c r="J6" s="11">
        <f>IFERROR(__xludf.DUMMYFUNCTION("""COMPUTED_VALUE"""),0.02)</f>
        <v>0.02</v>
      </c>
      <c r="K6" s="11">
        <f>IFERROR(__xludf.DUMMYFUNCTION("""COMPUTED_VALUE"""),0.05)</f>
        <v>0.05</v>
      </c>
    </row>
    <row r="7" ht="15.75" customHeight="1">
      <c r="A7" s="8" t="str">
        <f>IFERROR(__xludf.DUMMYFUNCTION("""COMPUTED_VALUE"""),"https://clutch.co/ae/agencies/social-media-marketing/dubai")</f>
        <v>https://clutch.co/ae/agencies/social-media-marketing/dubai</v>
      </c>
      <c r="B7" s="8" t="str">
        <f>IFERROR(__xludf.DUMMYFUNCTION("""COMPUTED_VALUE"""),"clutch.co")</f>
        <v>clutch.co</v>
      </c>
      <c r="C7" s="11" t="str">
        <f>IFERROR(__xludf.DUMMYFUNCTION("""COMPUTED_VALUE"""),"CATEGORY_PAGE")</f>
        <v>CATEGORY_PAGE</v>
      </c>
      <c r="D7" s="11" t="str">
        <f>IFERROR(__xludf.DUMMYFUNCTION("""COMPUTED_VALUE"""),"CORPORATE")</f>
        <v>CORPORATE</v>
      </c>
      <c r="E7" s="11" t="str">
        <f>IFERROR(__xludf.DUMMYFUNCTION("""COMPUTED_VALUE"""),"Top Social Media Marketing Agencies in Dubai - Jul 2026 Rankings | Clutch.co")</f>
        <v>Top Social Media Marketing Agencies in Dubai - Jul 2026 Rankings | Clutch.co</v>
      </c>
      <c r="F7" s="11" t="str">
        <f>IFERROR(__xludf.DUMMYFUNCTION("""COMPUTED_VALUE"""),"Category Page")</f>
        <v>Category Page</v>
      </c>
      <c r="G7" s="11" t="b">
        <f>IFERROR(__xludf.DUMMYFUNCTION("""COMPUTED_VALUE"""),FALSE)</f>
        <v>0</v>
      </c>
      <c r="H7" s="11" t="str">
        <f>IFERROR(__xludf.DUMMYFUNCTION("""COMPUTED_VALUE"""),"M3.agency, INSIDEA, Blue Beetle, Dot IT, Web Tonic, YouYaa, intouch, EDS FZCO, Leads Dubai, Prism Digital")</f>
        <v>M3.agency, INSIDEA, Blue Beetle, Dot IT, Web Tonic, YouYaa, intouch, EDS FZCO, Leads Dubai, Prism Digital</v>
      </c>
      <c r="I7" s="11">
        <f>IFERROR(__xludf.DUMMYFUNCTION("""COMPUTED_VALUE"""),15.0)</f>
        <v>15</v>
      </c>
      <c r="J7" s="11">
        <f>IFERROR(__xludf.DUMMYFUNCTION("""COMPUTED_VALUE"""),0.01)</f>
        <v>0.01</v>
      </c>
      <c r="K7" s="11">
        <f>IFERROR(__xludf.DUMMYFUNCTION("""COMPUTED_VALUE"""),1.33)</f>
        <v>1.33</v>
      </c>
    </row>
    <row r="8" ht="15.75" customHeight="1">
      <c r="A8" s="8" t="str">
        <f>IFERROR(__xludf.DUMMYFUNCTION("""COMPUTED_VALUE"""),"https://clutch.co/ae/agencies/branding")</f>
        <v>https://clutch.co/ae/agencies/branding</v>
      </c>
      <c r="B8" s="8" t="str">
        <f>IFERROR(__xludf.DUMMYFUNCTION("""COMPUTED_VALUE"""),"clutch.co")</f>
        <v>clutch.co</v>
      </c>
      <c r="C8" s="11" t="str">
        <f>IFERROR(__xludf.DUMMYFUNCTION("""COMPUTED_VALUE"""),"CATEGORY_PAGE")</f>
        <v>CATEGORY_PAGE</v>
      </c>
      <c r="D8" s="11" t="str">
        <f>IFERROR(__xludf.DUMMYFUNCTION("""COMPUTED_VALUE"""),"CORPORATE")</f>
        <v>CORPORATE</v>
      </c>
      <c r="E8" s="11" t="str">
        <f>IFERROR(__xludf.DUMMYFUNCTION("""COMPUTED_VALUE"""),"Top Branding Agencies in the United Arab Emirates - Jul 2026 Rankings | Clutch.co")</f>
        <v>Top Branding Agencies in the United Arab Emirates - Jul 2026 Rankings | Clutch.co</v>
      </c>
      <c r="F8" s="11" t="str">
        <f>IFERROR(__xludf.DUMMYFUNCTION("""COMPUTED_VALUE"""),"Category Page")</f>
        <v>Category Page</v>
      </c>
      <c r="G8" s="11" t="b">
        <f>IFERROR(__xludf.DUMMYFUNCTION("""COMPUTED_VALUE"""),FALSE)</f>
        <v>0</v>
      </c>
      <c r="H8" s="11" t="str">
        <f>IFERROR(__xludf.DUMMYFUNCTION("""COMPUTED_VALUE"""),"intouch, Dot IT, YouYaa, Momentum, ENH Marketing")</f>
        <v>intouch, Dot IT, YouYaa, Momentum, ENH Marketing</v>
      </c>
      <c r="I8" s="11">
        <f>IFERROR(__xludf.DUMMYFUNCTION("""COMPUTED_VALUE"""),14.0)</f>
        <v>14</v>
      </c>
      <c r="J8" s="11">
        <f>IFERROR(__xludf.DUMMYFUNCTION("""COMPUTED_VALUE"""),0.01)</f>
        <v>0.01</v>
      </c>
      <c r="K8" s="11">
        <f>IFERROR(__xludf.DUMMYFUNCTION("""COMPUTED_VALUE"""),0.0)</f>
        <v>0</v>
      </c>
    </row>
    <row r="9" ht="15.75" customHeight="1">
      <c r="A9" s="8" t="str">
        <f>IFERROR(__xludf.DUMMYFUNCTION("""COMPUTED_VALUE"""),"https://clutch.co/ae/agencies/media-buying/dubai")</f>
        <v>https://clutch.co/ae/agencies/media-buying/dubai</v>
      </c>
      <c r="B9" s="8" t="str">
        <f>IFERROR(__xludf.DUMMYFUNCTION("""COMPUTED_VALUE"""),"clutch.co")</f>
        <v>clutch.co</v>
      </c>
      <c r="C9" s="11" t="str">
        <f>IFERROR(__xludf.DUMMYFUNCTION("""COMPUTED_VALUE"""),"CATEGORY_PAGE")</f>
        <v>CATEGORY_PAGE</v>
      </c>
      <c r="D9" s="11" t="str">
        <f>IFERROR(__xludf.DUMMYFUNCTION("""COMPUTED_VALUE"""),"CORPORATE")</f>
        <v>CORPORATE</v>
      </c>
      <c r="E9" s="11" t="str">
        <f>IFERROR(__xludf.DUMMYFUNCTION("""COMPUTED_VALUE"""),"Top Media Buying Agencies in Dubai - Jul 2026 Rankings | Clutch.co")</f>
        <v>Top Media Buying Agencies in Dubai - Jul 2026 Rankings | Clutch.co</v>
      </c>
      <c r="F9" s="11" t="str">
        <f>IFERROR(__xludf.DUMMYFUNCTION("""COMPUTED_VALUE"""),"Category Page")</f>
        <v>Category Page</v>
      </c>
      <c r="G9" s="11" t="b">
        <f>IFERROR(__xludf.DUMMYFUNCTION("""COMPUTED_VALUE"""),FALSE)</f>
        <v>0</v>
      </c>
      <c r="H9" s="11" t="str">
        <f>IFERROR(__xludf.DUMMYFUNCTION("""COMPUTED_VALUE"""),"intouch, EDS FZCO, M&amp;C Saatchi Performance")</f>
        <v>intouch, EDS FZCO, M&amp;C Saatchi Performance</v>
      </c>
      <c r="I9" s="11">
        <f>IFERROR(__xludf.DUMMYFUNCTION("""COMPUTED_VALUE"""),14.0)</f>
        <v>14</v>
      </c>
      <c r="J9" s="11">
        <f>IFERROR(__xludf.DUMMYFUNCTION("""COMPUTED_VALUE"""),0.01)</f>
        <v>0.01</v>
      </c>
      <c r="K9" s="11">
        <f>IFERROR(__xludf.DUMMYFUNCTION("""COMPUTED_VALUE"""),3.43)</f>
        <v>3.43</v>
      </c>
    </row>
    <row r="10" ht="15.75" customHeight="1">
      <c r="A10" s="8" t="str">
        <f>IFERROR(__xludf.DUMMYFUNCTION("""COMPUTED_VALUE"""),"https://clutch.co/ae/agencies/ppc/display")</f>
        <v>https://clutch.co/ae/agencies/ppc/display</v>
      </c>
      <c r="B10" s="8" t="str">
        <f>IFERROR(__xludf.DUMMYFUNCTION("""COMPUTED_VALUE"""),"clutch.co")</f>
        <v>clutch.co</v>
      </c>
      <c r="C10" s="11" t="str">
        <f>IFERROR(__xludf.DUMMYFUNCTION("""COMPUTED_VALUE"""),"CATEGORY_PAGE")</f>
        <v>CATEGORY_PAGE</v>
      </c>
      <c r="D10" s="11" t="str">
        <f>IFERROR(__xludf.DUMMYFUNCTION("""COMPUTED_VALUE"""),"CORPORATE")</f>
        <v>CORPORATE</v>
      </c>
      <c r="E10" s="11" t="str">
        <f>IFERROR(__xludf.DUMMYFUNCTION("""COMPUTED_VALUE"""),"Top Display Advertising Services in the United Arab Emirates - Jul 2026 Rankings | Clutch.co")</f>
        <v>Top Display Advertising Services in the United Arab Emirates - Jul 2026 Rankings | Clutch.co</v>
      </c>
      <c r="F10" s="11" t="str">
        <f>IFERROR(__xludf.DUMMYFUNCTION("""COMPUTED_VALUE"""),"Category Page")</f>
        <v>Category Page</v>
      </c>
      <c r="G10" s="11" t="b">
        <f>IFERROR(__xludf.DUMMYFUNCTION("""COMPUTED_VALUE"""),FALSE)</f>
        <v>0</v>
      </c>
      <c r="H10" s="11" t="str">
        <f>IFERROR(__xludf.DUMMYFUNCTION("""COMPUTED_VALUE"""),"INSIDEA, YouYaa, EDS FZCO, intouch, TIDAL Digital, M&amp;C Saatchi Performance")</f>
        <v>INSIDEA, YouYaa, EDS FZCO, intouch, TIDAL Digital, M&amp;C Saatchi Performance</v>
      </c>
      <c r="I10" s="11">
        <f>IFERROR(__xludf.DUMMYFUNCTION("""COMPUTED_VALUE"""),14.0)</f>
        <v>14</v>
      </c>
      <c r="J10" s="11">
        <f>IFERROR(__xludf.DUMMYFUNCTION("""COMPUTED_VALUE"""),0.01)</f>
        <v>0.01</v>
      </c>
      <c r="K10" s="11">
        <f>IFERROR(__xludf.DUMMYFUNCTION("""COMPUTED_VALUE"""),3.14)</f>
        <v>3.14</v>
      </c>
    </row>
    <row r="11" ht="15.75" customHeight="1">
      <c r="A11" s="8" t="str">
        <f>IFERROR(__xludf.DUMMYFUNCTION("""COMPUTED_VALUE"""),"https://clutch.co/ae/agencies/social-media-marketing")</f>
        <v>https://clutch.co/ae/agencies/social-media-marketing</v>
      </c>
      <c r="B11" s="8" t="str">
        <f>IFERROR(__xludf.DUMMYFUNCTION("""COMPUTED_VALUE"""),"clutch.co")</f>
        <v>clutch.co</v>
      </c>
      <c r="C11" s="11" t="str">
        <f>IFERROR(__xludf.DUMMYFUNCTION("""COMPUTED_VALUE"""),"CATEGORY_PAGE")</f>
        <v>CATEGORY_PAGE</v>
      </c>
      <c r="D11" s="11" t="str">
        <f>IFERROR(__xludf.DUMMYFUNCTION("""COMPUTED_VALUE"""),"CORPORATE")</f>
        <v>CORPORATE</v>
      </c>
      <c r="E11" s="11" t="str">
        <f>IFERROR(__xludf.DUMMYFUNCTION("""COMPUTED_VALUE"""),"Top Social Media Marketing Companies in the United Arab Emirates - Jul 2026 Rankings \| Clutch.co")</f>
        <v>Top Social Media Marketing Companies in the United Arab Emirates - Jul 2026 Rankings \| Clutch.co</v>
      </c>
      <c r="F11" s="11" t="str">
        <f>IFERROR(__xludf.DUMMYFUNCTION("""COMPUTED_VALUE"""),"Category Page")</f>
        <v>Category Page</v>
      </c>
      <c r="G11" s="11" t="b">
        <f>IFERROR(__xludf.DUMMYFUNCTION("""COMPUTED_VALUE"""),FALSE)</f>
        <v>0</v>
      </c>
      <c r="H11" s="11" t="str">
        <f>IFERROR(__xludf.DUMMYFUNCTION("""COMPUTED_VALUE"""),"Blue Beetle, Dot IT, M3.agency, INSIDEA, intouch, Web Tonic, YouYaa")</f>
        <v>Blue Beetle, Dot IT, M3.agency, INSIDEA, intouch, Web Tonic, YouYaa</v>
      </c>
      <c r="I11" s="11">
        <f>IFERROR(__xludf.DUMMYFUNCTION("""COMPUTED_VALUE"""),14.0)</f>
        <v>14</v>
      </c>
      <c r="J11" s="11">
        <f>IFERROR(__xludf.DUMMYFUNCTION("""COMPUTED_VALUE"""),0.01)</f>
        <v>0.01</v>
      </c>
      <c r="K11" s="11">
        <f>IFERROR(__xludf.DUMMYFUNCTION("""COMPUTED_VALUE"""),1.5)</f>
        <v>1.5</v>
      </c>
    </row>
    <row r="12" ht="15.75" customHeight="1">
      <c r="A12" s="8" t="str">
        <f>IFERROR(__xludf.DUMMYFUNCTION("""COMPUTED_VALUE"""),"https://clutch.co/ae/agencies/dubai")</f>
        <v>https://clutch.co/ae/agencies/dubai</v>
      </c>
      <c r="B12" s="8" t="str">
        <f>IFERROR(__xludf.DUMMYFUNCTION("""COMPUTED_VALUE"""),"clutch.co")</f>
        <v>clutch.co</v>
      </c>
      <c r="C12" s="11" t="str">
        <f>IFERROR(__xludf.DUMMYFUNCTION("""COMPUTED_VALUE"""),"CATEGORY_PAGE")</f>
        <v>CATEGORY_PAGE</v>
      </c>
      <c r="D12" s="11" t="str">
        <f>IFERROR(__xludf.DUMMYFUNCTION("""COMPUTED_VALUE"""),"CORPORATE")</f>
        <v>CORPORATE</v>
      </c>
      <c r="E12" s="11" t="str">
        <f>IFERROR(__xludf.DUMMYFUNCTION("""COMPUTED_VALUE"""),"Top Advertising Agencies in Dubai - Jul 2026 Rankings \| Clutch.co")</f>
        <v>Top Advertising Agencies in Dubai - Jul 2026 Rankings \| Clutch.co</v>
      </c>
      <c r="F12" s="11" t="str">
        <f>IFERROR(__xludf.DUMMYFUNCTION("""COMPUTED_VALUE"""),"Category Page")</f>
        <v>Category Page</v>
      </c>
      <c r="G12" s="11" t="b">
        <f>IFERROR(__xludf.DUMMYFUNCTION("""COMPUTED_VALUE"""),FALSE)</f>
        <v>0</v>
      </c>
      <c r="H12" s="11" t="str">
        <f>IFERROR(__xludf.DUMMYFUNCTION("""COMPUTED_VALUE"""),"M3.agency, INSIDEA, YouYaa, Momentum, intouch, EDS FZCO, Leads Dubai, M&amp;C Saatchi Performance, Prism Digital")</f>
        <v>M3.agency, INSIDEA, YouYaa, Momentum, intouch, EDS FZCO, Leads Dubai, M&amp;C Saatchi Performance, Prism Digital</v>
      </c>
      <c r="I12" s="11">
        <f>IFERROR(__xludf.DUMMYFUNCTION("""COMPUTED_VALUE"""),12.0)</f>
        <v>12</v>
      </c>
      <c r="J12" s="11">
        <f>IFERROR(__xludf.DUMMYFUNCTION("""COMPUTED_VALUE"""),0.01)</f>
        <v>0.01</v>
      </c>
      <c r="K12" s="11">
        <f>IFERROR(__xludf.DUMMYFUNCTION("""COMPUTED_VALUE"""),0.42)</f>
        <v>0.42</v>
      </c>
    </row>
    <row r="13" ht="15.75" customHeight="1">
      <c r="A13" s="8" t="str">
        <f>IFERROR(__xludf.DUMMYFUNCTION("""COMPUTED_VALUE"""),"https://clutch.co/ae/consulting/ai/strategy")</f>
        <v>https://clutch.co/ae/consulting/ai/strategy</v>
      </c>
      <c r="B13" s="8" t="str">
        <f>IFERROR(__xludf.DUMMYFUNCTION("""COMPUTED_VALUE"""),"clutch.co")</f>
        <v>clutch.co</v>
      </c>
      <c r="C13" s="11" t="str">
        <f>IFERROR(__xludf.DUMMYFUNCTION("""COMPUTED_VALUE"""),"CATEGORY_PAGE")</f>
        <v>CATEGORY_PAGE</v>
      </c>
      <c r="D13" s="11" t="str">
        <f>IFERROR(__xludf.DUMMYFUNCTION("""COMPUTED_VALUE"""),"CORPORATE")</f>
        <v>CORPORATE</v>
      </c>
      <c r="E13" s="11" t="str">
        <f>IFERROR(__xludf.DUMMYFUNCTION("""COMPUTED_VALUE"""),"Top AI Strategy Companies in the United Arab Emirates - Jul 2026 Rankings \| Clutch.co")</f>
        <v>Top AI Strategy Companies in the United Arab Emirates - Jul 2026 Rankings \| Clutch.co</v>
      </c>
      <c r="F13" s="11" t="str">
        <f>IFERROR(__xludf.DUMMYFUNCTION("""COMPUTED_VALUE"""),"Category Page")</f>
        <v>Category Page</v>
      </c>
      <c r="G13" s="11" t="b">
        <f>IFERROR(__xludf.DUMMYFUNCTION("""COMPUTED_VALUE"""),FALSE)</f>
        <v>0</v>
      </c>
      <c r="H13" s="11" t="str">
        <f>IFERROR(__xludf.DUMMYFUNCTION("""COMPUTED_VALUE"""),"intouch")</f>
        <v>intouch</v>
      </c>
      <c r="I13" s="11">
        <f>IFERROR(__xludf.DUMMYFUNCTION("""COMPUTED_VALUE"""),11.0)</f>
        <v>11</v>
      </c>
      <c r="J13" s="11">
        <f>IFERROR(__xludf.DUMMYFUNCTION("""COMPUTED_VALUE"""),0.01)</f>
        <v>0.01</v>
      </c>
      <c r="K13" s="11">
        <f>IFERROR(__xludf.DUMMYFUNCTION("""COMPUTED_VALUE"""),0.45)</f>
        <v>0.45</v>
      </c>
    </row>
    <row r="14" ht="15.75" customHeight="1">
      <c r="A14" s="8" t="str">
        <f>IFERROR(__xludf.DUMMYFUNCTION("""COMPUTED_VALUE"""),"https://clutch.co/ae/agencies/digital-marketing/dubai")</f>
        <v>https://clutch.co/ae/agencies/digital-marketing/dubai</v>
      </c>
      <c r="B14" s="8" t="str">
        <f>IFERROR(__xludf.DUMMYFUNCTION("""COMPUTED_VALUE"""),"clutch.co")</f>
        <v>clutch.co</v>
      </c>
      <c r="C14" s="11" t="str">
        <f>IFERROR(__xludf.DUMMYFUNCTION("""COMPUTED_VALUE"""),"CATEGORY_PAGE")</f>
        <v>CATEGORY_PAGE</v>
      </c>
      <c r="D14" s="11" t="str">
        <f>IFERROR(__xludf.DUMMYFUNCTION("""COMPUTED_VALUE"""),"CORPORATE")</f>
        <v>CORPORATE</v>
      </c>
      <c r="E14" s="11" t="str">
        <f>IFERROR(__xludf.DUMMYFUNCTION("""COMPUTED_VALUE"""),"Best Dubai Digital Marketing Companies - Jul 2026 Rankings \| Clutch.co")</f>
        <v>Best Dubai Digital Marketing Companies - Jul 2026 Rankings \| Clutch.co</v>
      </c>
      <c r="F14" s="11" t="str">
        <f>IFERROR(__xludf.DUMMYFUNCTION("""COMPUTED_VALUE"""),"Category Page")</f>
        <v>Category Page</v>
      </c>
      <c r="G14" s="11" t="b">
        <f>IFERROR(__xludf.DUMMYFUNCTION("""COMPUTED_VALUE"""),FALSE)</f>
        <v>0</v>
      </c>
      <c r="H14" s="11" t="str">
        <f>IFERROR(__xludf.DUMMYFUNCTION("""COMPUTED_VALUE"""),"M3.agency, Bird Marketing, Blue Beetle, INSIDEA, Dot IT, Ninja Promo, Web Tonic, YouYaa, Digital Gravity, Leads Dubai")</f>
        <v>M3.agency, Bird Marketing, Blue Beetle, INSIDEA, Dot IT, Ninja Promo, Web Tonic, YouYaa, Digital Gravity, Leads Dubai</v>
      </c>
      <c r="I14" s="11">
        <f>IFERROR(__xludf.DUMMYFUNCTION("""COMPUTED_VALUE"""),10.0)</f>
        <v>10</v>
      </c>
      <c r="J14" s="11">
        <f>IFERROR(__xludf.DUMMYFUNCTION("""COMPUTED_VALUE"""),0.01)</f>
        <v>0.01</v>
      </c>
      <c r="K14" s="11">
        <f>IFERROR(__xludf.DUMMYFUNCTION("""COMPUTED_VALUE"""),0.3)</f>
        <v>0.3</v>
      </c>
    </row>
    <row r="15" ht="15.75" customHeight="1">
      <c r="A15" s="8" t="str">
        <f>IFERROR(__xludf.DUMMYFUNCTION("""COMPUTED_VALUE"""),"https://clutch.co/ae/agencies/ppc")</f>
        <v>https://clutch.co/ae/agencies/ppc</v>
      </c>
      <c r="B15" s="8" t="str">
        <f>IFERROR(__xludf.DUMMYFUNCTION("""COMPUTED_VALUE"""),"clutch.co")</f>
        <v>clutch.co</v>
      </c>
      <c r="C15" s="11" t="str">
        <f>IFERROR(__xludf.DUMMYFUNCTION("""COMPUTED_VALUE"""),"CATEGORY_PAGE")</f>
        <v>CATEGORY_PAGE</v>
      </c>
      <c r="D15" s="11" t="str">
        <f>IFERROR(__xludf.DUMMYFUNCTION("""COMPUTED_VALUE"""),"CORPORATE")</f>
        <v>CORPORATE</v>
      </c>
      <c r="E15" s="11" t="str">
        <f>IFERROR(__xludf.DUMMYFUNCTION("""COMPUTED_VALUE"""),"Top PPC Agencies in the United Arab Emirates - Jul 2026 Rankings \| Clutch.co")</f>
        <v>Top PPC Agencies in the United Arab Emirates - Jul 2026 Rankings \| Clutch.co</v>
      </c>
      <c r="F15" s="11" t="str">
        <f>IFERROR(__xludf.DUMMYFUNCTION("""COMPUTED_VALUE"""),"Category Page")</f>
        <v>Category Page</v>
      </c>
      <c r="G15" s="11" t="b">
        <f>IFERROR(__xludf.DUMMYFUNCTION("""COMPUTED_VALUE"""),FALSE)</f>
        <v>0</v>
      </c>
      <c r="H15" s="11" t="str">
        <f>IFERROR(__xludf.DUMMYFUNCTION("""COMPUTED_VALUE"""),"Blue Beetle, Dot IT, Web Tonic, M3.agency, INSIDEA, Disruptive Advertising, intouch, Ninja Promo, YouYaa, AlCaz Media, EDS FZCO, Leads Dubai, Hovi Digital Lab")</f>
        <v>Blue Beetle, Dot IT, Web Tonic, M3.agency, INSIDEA, Disruptive Advertising, intouch, Ninja Promo, YouYaa, AlCaz Media, EDS FZCO, Leads Dubai, Hovi Digital Lab</v>
      </c>
      <c r="I15" s="11">
        <f>IFERROR(__xludf.DUMMYFUNCTION("""COMPUTED_VALUE"""),5.0)</f>
        <v>5</v>
      </c>
      <c r="J15" s="11">
        <f>IFERROR(__xludf.DUMMYFUNCTION("""COMPUTED_VALUE"""),0.0)</f>
        <v>0</v>
      </c>
      <c r="K15" s="11">
        <f>IFERROR(__xludf.DUMMYFUNCTION("""COMPUTED_VALUE"""),1.8)</f>
        <v>1.8</v>
      </c>
    </row>
    <row r="16" ht="15.75" customHeight="1">
      <c r="A16" s="8" t="str">
        <f>IFERROR(__xludf.DUMMYFUNCTION("""COMPUTED_VALUE"""),"https://clutch.co/ae/agencies/ppc/advertising-industry/dubai")</f>
        <v>https://clutch.co/ae/agencies/ppc/advertising-industry/dubai</v>
      </c>
      <c r="B16" s="8" t="str">
        <f>IFERROR(__xludf.DUMMYFUNCTION("""COMPUTED_VALUE"""),"clutch.co")</f>
        <v>clutch.co</v>
      </c>
      <c r="C16" s="11" t="str">
        <f>IFERROR(__xludf.DUMMYFUNCTION("""COMPUTED_VALUE"""),"CATEGORY_PAGE")</f>
        <v>CATEGORY_PAGE</v>
      </c>
      <c r="D16" s="11" t="str">
        <f>IFERROR(__xludf.DUMMYFUNCTION("""COMPUTED_VALUE"""),"CORPORATE")</f>
        <v>CORPORATE</v>
      </c>
      <c r="E16" s="11" t="str">
        <f>IFERROR(__xludf.DUMMYFUNCTION("""COMPUTED_VALUE"""),"Top PPC Agencies for Ad Agencies in Dubai - Jul 2026 Rankings \| Clutch.co")</f>
        <v>Top PPC Agencies for Ad Agencies in Dubai - Jul 2026 Rankings \| Clutch.co</v>
      </c>
      <c r="F16" s="11" t="str">
        <f>IFERROR(__xludf.DUMMYFUNCTION("""COMPUTED_VALUE"""),"Category Page")</f>
        <v>Category Page</v>
      </c>
      <c r="G16" s="11" t="b">
        <f>IFERROR(__xludf.DUMMYFUNCTION("""COMPUTED_VALUE"""),FALSE)</f>
        <v>0</v>
      </c>
      <c r="H16" s="11" t="str">
        <f>IFERROR(__xludf.DUMMYFUNCTION("""COMPUTED_VALUE"""),"Disruptive Advertising, intouch, M3.agency, Ninja Promo, AlCaz Media, EDS FZCO, Prism Digital, M&amp;C Saatchi Performance, GPS Marketing Agency")</f>
        <v>Disruptive Advertising, intouch, M3.agency, Ninja Promo, AlCaz Media, EDS FZCO, Prism Digital, M&amp;C Saatchi Performance, GPS Marketing Agency</v>
      </c>
      <c r="I16" s="11">
        <f>IFERROR(__xludf.DUMMYFUNCTION("""COMPUTED_VALUE"""),4.0)</f>
        <v>4</v>
      </c>
      <c r="J16" s="11">
        <f>IFERROR(__xludf.DUMMYFUNCTION("""COMPUTED_VALUE"""),0.0)</f>
        <v>0</v>
      </c>
      <c r="K16" s="11">
        <f>IFERROR(__xludf.DUMMYFUNCTION("""COMPUTED_VALUE"""),0.0)</f>
        <v>0</v>
      </c>
    </row>
    <row r="17" ht="15.75" customHeight="1">
      <c r="A17" s="8" t="str">
        <f>IFERROR(__xludf.DUMMYFUNCTION("""COMPUTED_VALUE"""),"https://clutch.co/ae/agencies/programmatic/dubai")</f>
        <v>https://clutch.co/ae/agencies/programmatic/dubai</v>
      </c>
      <c r="B17" s="8" t="str">
        <f>IFERROR(__xludf.DUMMYFUNCTION("""COMPUTED_VALUE"""),"clutch.co")</f>
        <v>clutch.co</v>
      </c>
      <c r="C17" s="11" t="str">
        <f>IFERROR(__xludf.DUMMYFUNCTION("""COMPUTED_VALUE"""),"OTHER")</f>
        <v>OTHER</v>
      </c>
      <c r="D17" s="11" t="str">
        <f>IFERROR(__xludf.DUMMYFUNCTION("""COMPUTED_VALUE"""),"CORPORATE")</f>
        <v>CORPORATE</v>
      </c>
      <c r="E17" s="11" t="str">
        <f>IFERROR(__xludf.DUMMYFUNCTION("""COMPUTED_VALUE"""),"Top Programmatic Advertising Companies in Dubai - Jul 2026 Rankings | Clutch.co")</f>
        <v>Top Programmatic Advertising Companies in Dubai - Jul 2026 Rankings | Clutch.co</v>
      </c>
      <c r="F17" s="11" t="str">
        <f>IFERROR(__xludf.DUMMYFUNCTION("""COMPUTED_VALUE"""),"Other")</f>
        <v>Other</v>
      </c>
      <c r="G17" s="11" t="b">
        <f>IFERROR(__xludf.DUMMYFUNCTION("""COMPUTED_VALUE"""),FALSE)</f>
        <v>0</v>
      </c>
      <c r="H17" s="11" t="str">
        <f>IFERROR(__xludf.DUMMYFUNCTION("""COMPUTED_VALUE"""),"M3.agency, YouYaa, intouch, M&amp;C Saatchi Performance, TIDAL Digital")</f>
        <v>M3.agency, YouYaa, intouch, M&amp;C Saatchi Performance, TIDAL Digital</v>
      </c>
      <c r="I17" s="11">
        <f>IFERROR(__xludf.DUMMYFUNCTION("""COMPUTED_VALUE"""),4.0)</f>
        <v>4</v>
      </c>
      <c r="J17" s="11">
        <f>IFERROR(__xludf.DUMMYFUNCTION("""COMPUTED_VALUE"""),0.0)</f>
        <v>0</v>
      </c>
      <c r="K17" s="11">
        <f>IFERROR(__xludf.DUMMYFUNCTION("""COMPUTED_VALUE"""),1.0)</f>
        <v>1</v>
      </c>
    </row>
    <row r="18" ht="15.75" customHeight="1">
      <c r="A18" s="8" t="str">
        <f>IFERROR(__xludf.DUMMYFUNCTION("""COMPUTED_VALUE"""),"https://clutch.co/ae/consulting/ai")</f>
        <v>https://clutch.co/ae/consulting/ai</v>
      </c>
      <c r="B18" s="8" t="str">
        <f>IFERROR(__xludf.DUMMYFUNCTION("""COMPUTED_VALUE"""),"clutch.co")</f>
        <v>clutch.co</v>
      </c>
      <c r="C18" s="11" t="str">
        <f>IFERROR(__xludf.DUMMYFUNCTION("""COMPUTED_VALUE"""),"CATEGORY_PAGE")</f>
        <v>CATEGORY_PAGE</v>
      </c>
      <c r="D18" s="11" t="str">
        <f>IFERROR(__xludf.DUMMYFUNCTION("""COMPUTED_VALUE"""),"CORPORATE")</f>
        <v>CORPORATE</v>
      </c>
      <c r="E18" s="11" t="str">
        <f>IFERROR(__xludf.DUMMYFUNCTION("""COMPUTED_VALUE"""),"Top AI Consultants in the United Arab Emirates - Jul 2026 Rankings \| Clutch.co")</f>
        <v>Top AI Consultants in the United Arab Emirates - Jul 2026 Rankings \| Clutch.co</v>
      </c>
      <c r="F18" s="11" t="str">
        <f>IFERROR(__xludf.DUMMYFUNCTION("""COMPUTED_VALUE"""),"Category Page")</f>
        <v>Category Page</v>
      </c>
      <c r="G18" s="11" t="b">
        <f>IFERROR(__xludf.DUMMYFUNCTION("""COMPUTED_VALUE"""),FALSE)</f>
        <v>0</v>
      </c>
      <c r="H18" s="11" t="str">
        <f>IFERROR(__xludf.DUMMYFUNCTION("""COMPUTED_VALUE"""),"intouch")</f>
        <v>intouch</v>
      </c>
      <c r="I18" s="11">
        <f>IFERROR(__xludf.DUMMYFUNCTION("""COMPUTED_VALUE"""),4.0)</f>
        <v>4</v>
      </c>
      <c r="J18" s="11">
        <f>IFERROR(__xludf.DUMMYFUNCTION("""COMPUTED_VALUE"""),0.0)</f>
        <v>0</v>
      </c>
      <c r="K18" s="11">
        <f>IFERROR(__xludf.DUMMYFUNCTION("""COMPUTED_VALUE"""),0.5)</f>
        <v>0.5</v>
      </c>
    </row>
    <row r="19" ht="15.75" customHeight="1">
      <c r="A19" s="8" t="str">
        <f>IFERROR(__xludf.DUMMYFUNCTION("""COMPUTED_VALUE"""),"https://clutch.co/ae/consulting/ai/maturation")</f>
        <v>https://clutch.co/ae/consulting/ai/maturation</v>
      </c>
      <c r="B19" s="8" t="str">
        <f>IFERROR(__xludf.DUMMYFUNCTION("""COMPUTED_VALUE"""),"clutch.co")</f>
        <v>clutch.co</v>
      </c>
      <c r="C19" s="11" t="str">
        <f>IFERROR(__xludf.DUMMYFUNCTION("""COMPUTED_VALUE"""),"CATEGORY_PAGE")</f>
        <v>CATEGORY_PAGE</v>
      </c>
      <c r="D19" s="11" t="str">
        <f>IFERROR(__xludf.DUMMYFUNCTION("""COMPUTED_VALUE"""),"CORPORATE")</f>
        <v>CORPORATE</v>
      </c>
      <c r="E19" s="11" t="str">
        <f>IFERROR(__xludf.DUMMYFUNCTION("""COMPUTED_VALUE"""),"Top AI Maturation Services in the United Arab Emirates - Jul 2026 Rankings | Clutch.co")</f>
        <v>Top AI Maturation Services in the United Arab Emirates - Jul 2026 Rankings | Clutch.co</v>
      </c>
      <c r="F19" s="11" t="str">
        <f>IFERROR(__xludf.DUMMYFUNCTION("""COMPUTED_VALUE"""),"Category Page")</f>
        <v>Category Page</v>
      </c>
      <c r="G19" s="11" t="b">
        <f>IFERROR(__xludf.DUMMYFUNCTION("""COMPUTED_VALUE"""),FALSE)</f>
        <v>0</v>
      </c>
      <c r="H19" s="11" t="str">
        <f>IFERROR(__xludf.DUMMYFUNCTION("""COMPUTED_VALUE"""),"intouch")</f>
        <v>intouch</v>
      </c>
      <c r="I19" s="11">
        <f>IFERROR(__xludf.DUMMYFUNCTION("""COMPUTED_VALUE"""),4.0)</f>
        <v>4</v>
      </c>
      <c r="J19" s="11">
        <f>IFERROR(__xludf.DUMMYFUNCTION("""COMPUTED_VALUE"""),0.0)</f>
        <v>0</v>
      </c>
      <c r="K19" s="11">
        <f>IFERROR(__xludf.DUMMYFUNCTION("""COMPUTED_VALUE"""),0.0)</f>
        <v>0</v>
      </c>
    </row>
    <row r="20" ht="15.75" customHeight="1">
      <c r="A20" s="8" t="str">
        <f>IFERROR(__xludf.DUMMYFUNCTION("""COMPUTED_VALUE"""),"https://clutch.co/ae/consulting/ai?page=1")</f>
        <v>https://clutch.co/ae/consulting/ai?page=1</v>
      </c>
      <c r="B20" s="8" t="str">
        <f>IFERROR(__xludf.DUMMYFUNCTION("""COMPUTED_VALUE"""),"clutch.co")</f>
        <v>clutch.co</v>
      </c>
      <c r="C20" s="11" t="str">
        <f>IFERROR(__xludf.DUMMYFUNCTION("""COMPUTED_VALUE"""),"CATEGORY_PAGE")</f>
        <v>CATEGORY_PAGE</v>
      </c>
      <c r="D20" s="11" t="str">
        <f>IFERROR(__xludf.DUMMYFUNCTION("""COMPUTED_VALUE"""),"CORPORATE")</f>
        <v>CORPORATE</v>
      </c>
      <c r="E20" s="11" t="str">
        <f>IFERROR(__xludf.DUMMYFUNCTION("""COMPUTED_VALUE"""),"Page 2 - Top AI Consultants in the United Arab Emirates - Jul 2026 Rankings \| Clutch.co")</f>
        <v>Page 2 - Top AI Consultants in the United Arab Emirates - Jul 2026 Rankings \| Clutch.co</v>
      </c>
      <c r="F20" s="11" t="str">
        <f>IFERROR(__xludf.DUMMYFUNCTION("""COMPUTED_VALUE"""),"Category Page")</f>
        <v>Category Page</v>
      </c>
      <c r="G20" s="11" t="b">
        <f>IFERROR(__xludf.DUMMYFUNCTION("""COMPUTED_VALUE"""),FALSE)</f>
        <v>0</v>
      </c>
      <c r="H20" s="11" t="str">
        <f>IFERROR(__xludf.DUMMYFUNCTION("""COMPUTED_VALUE"""),"intouch")</f>
        <v>intouch</v>
      </c>
      <c r="I20" s="11">
        <f>IFERROR(__xludf.DUMMYFUNCTION("""COMPUTED_VALUE"""),4.0)</f>
        <v>4</v>
      </c>
      <c r="J20" s="11">
        <f>IFERROR(__xludf.DUMMYFUNCTION("""COMPUTED_VALUE"""),0.0)</f>
        <v>0</v>
      </c>
      <c r="K20" s="11">
        <f>IFERROR(__xludf.DUMMYFUNCTION("""COMPUTED_VALUE"""),0.0)</f>
        <v>0</v>
      </c>
    </row>
    <row r="21" ht="15.75" customHeight="1">
      <c r="A21" s="8" t="str">
        <f>IFERROR(__xludf.DUMMYFUNCTION("""COMPUTED_VALUE"""),"https://clutch.co/ae/agencies/digital")</f>
        <v>https://clutch.co/ae/agencies/digital</v>
      </c>
      <c r="B21" s="8" t="str">
        <f>IFERROR(__xludf.DUMMYFUNCTION("""COMPUTED_VALUE"""),"clutch.co")</f>
        <v>clutch.co</v>
      </c>
      <c r="C21" s="11" t="str">
        <f>IFERROR(__xludf.DUMMYFUNCTION("""COMPUTED_VALUE"""),"CATEGORY_PAGE")</f>
        <v>CATEGORY_PAGE</v>
      </c>
      <c r="D21" s="11" t="str">
        <f>IFERROR(__xludf.DUMMYFUNCTION("""COMPUTED_VALUE"""),"CORPORATE")</f>
        <v>CORPORATE</v>
      </c>
      <c r="E21" s="11" t="str">
        <f>IFERROR(__xludf.DUMMYFUNCTION("""COMPUTED_VALUE"""),"Top Full-Service Digital Agencies in the United Arab Emirates - Jul 2026 Rankings | Clutch.co")</f>
        <v>Top Full-Service Digital Agencies in the United Arab Emirates - Jul 2026 Rankings | Clutch.co</v>
      </c>
      <c r="F21" s="11" t="str">
        <f>IFERROR(__xludf.DUMMYFUNCTION("""COMPUTED_VALUE"""),"Category Page")</f>
        <v>Category Page</v>
      </c>
      <c r="G21" s="11" t="b">
        <f>IFERROR(__xludf.DUMMYFUNCTION("""COMPUTED_VALUE"""),FALSE)</f>
        <v>0</v>
      </c>
      <c r="H21" s="11" t="str">
        <f>IFERROR(__xludf.DUMMYFUNCTION("""COMPUTED_VALUE"""),"Blue Beetle, Dot IT, intouch, M3.agency, INSIDEA, Web Tonic, Digital Gravity, Prism Digital, ENH Marketing")</f>
        <v>Blue Beetle, Dot IT, intouch, M3.agency, INSIDEA, Web Tonic, Digital Gravity, Prism Digital, ENH Marketing</v>
      </c>
      <c r="I21" s="11">
        <f>IFERROR(__xludf.DUMMYFUNCTION("""COMPUTED_VALUE"""),3.0)</f>
        <v>3</v>
      </c>
      <c r="J21" s="11">
        <f>IFERROR(__xludf.DUMMYFUNCTION("""COMPUTED_VALUE"""),0.0)</f>
        <v>0</v>
      </c>
      <c r="K21" s="11">
        <f>IFERROR(__xludf.DUMMYFUNCTION("""COMPUTED_VALUE"""),0.0)</f>
        <v>0</v>
      </c>
    </row>
    <row r="22" ht="15.75" customHeight="1">
      <c r="A22" s="8" t="str">
        <f>IFERROR(__xludf.DUMMYFUNCTION("""COMPUTED_VALUE"""),"https://clutch.co/ae/agencies/market-research/dubai")</f>
        <v>https://clutch.co/ae/agencies/market-research/dubai</v>
      </c>
      <c r="B22" s="8" t="str">
        <f>IFERROR(__xludf.DUMMYFUNCTION("""COMPUTED_VALUE"""),"clutch.co")</f>
        <v>clutch.co</v>
      </c>
      <c r="C22" s="11" t="str">
        <f>IFERROR(__xludf.DUMMYFUNCTION("""COMPUTED_VALUE"""),"CATEGORY_PAGE")</f>
        <v>CATEGORY_PAGE</v>
      </c>
      <c r="D22" s="11" t="str">
        <f>IFERROR(__xludf.DUMMYFUNCTION("""COMPUTED_VALUE"""),"CORPORATE")</f>
        <v>CORPORATE</v>
      </c>
      <c r="E22" s="11" t="str">
        <f>IFERROR(__xludf.DUMMYFUNCTION("""COMPUTED_VALUE"""),"Top Market Research Companies in Dubai - Jul 2026 Rankings | Clutch.co")</f>
        <v>Top Market Research Companies in Dubai - Jul 2026 Rankings | Clutch.co</v>
      </c>
      <c r="F22" s="11" t="str">
        <f>IFERROR(__xludf.DUMMYFUNCTION("""COMPUTED_VALUE"""),"Category Page")</f>
        <v>Category Page</v>
      </c>
      <c r="G22" s="11" t="b">
        <f>IFERROR(__xludf.DUMMYFUNCTION("""COMPUTED_VALUE"""),FALSE)</f>
        <v>0</v>
      </c>
      <c r="H22" s="11" t="str">
        <f>IFERROR(__xludf.DUMMYFUNCTION("""COMPUTED_VALUE"""),"intouch, Sapience, Kantar, M&amp;C Saatchi Performance")</f>
        <v>intouch, Sapience, Kantar, M&amp;C Saatchi Performance</v>
      </c>
      <c r="I22" s="11">
        <f>IFERROR(__xludf.DUMMYFUNCTION("""COMPUTED_VALUE"""),3.0)</f>
        <v>3</v>
      </c>
      <c r="J22" s="11">
        <f>IFERROR(__xludf.DUMMYFUNCTION("""COMPUTED_VALUE"""),0.0)</f>
        <v>0</v>
      </c>
      <c r="K22" s="11">
        <f>IFERROR(__xludf.DUMMYFUNCTION("""COMPUTED_VALUE"""),0.33)</f>
        <v>0.33</v>
      </c>
    </row>
    <row r="23" ht="15.75" customHeight="1">
      <c r="A23" s="8" t="str">
        <f>IFERROR(__xludf.DUMMYFUNCTION("""COMPUTED_VALUE"""),"https://clutch.co/ae/agencies/ppc/media-industry")</f>
        <v>https://clutch.co/ae/agencies/ppc/media-industry</v>
      </c>
      <c r="B23" s="8" t="str">
        <f>IFERROR(__xludf.DUMMYFUNCTION("""COMPUTED_VALUE"""),"clutch.co")</f>
        <v>clutch.co</v>
      </c>
      <c r="C23" s="11" t="str">
        <f>IFERROR(__xludf.DUMMYFUNCTION("""COMPUTED_VALUE"""),"OTHER")</f>
        <v>OTHER</v>
      </c>
      <c r="D23" s="11" t="str">
        <f>IFERROR(__xludf.DUMMYFUNCTION("""COMPUTED_VALUE"""),"CORPORATE")</f>
        <v>CORPORATE</v>
      </c>
      <c r="E23" s="11" t="str">
        <f>IFERROR(__xludf.DUMMYFUNCTION("""COMPUTED_VALUE"""),"Top PPC Companies for Public Media Companies - Jul 2026 Rankings | Clutch.co")</f>
        <v>Top PPC Companies for Public Media Companies - Jul 2026 Rankings | Clutch.co</v>
      </c>
      <c r="F23" s="11" t="str">
        <f>IFERROR(__xludf.DUMMYFUNCTION("""COMPUTED_VALUE"""),"Other")</f>
        <v>Other</v>
      </c>
      <c r="G23" s="11" t="b">
        <f>IFERROR(__xludf.DUMMYFUNCTION("""COMPUTED_VALUE"""),FALSE)</f>
        <v>0</v>
      </c>
      <c r="H23" s="11" t="str">
        <f>IFERROR(__xludf.DUMMYFUNCTION("""COMPUTED_VALUE"""),"Disruptive Advertising, intouch, Ninja Promo, New Engen")</f>
        <v>Disruptive Advertising, intouch, Ninja Promo, New Engen</v>
      </c>
      <c r="I23" s="11">
        <f>IFERROR(__xludf.DUMMYFUNCTION("""COMPUTED_VALUE"""),3.0)</f>
        <v>3</v>
      </c>
      <c r="J23" s="11">
        <f>IFERROR(__xludf.DUMMYFUNCTION("""COMPUTED_VALUE"""),0.0)</f>
        <v>0</v>
      </c>
      <c r="K23" s="11">
        <f>IFERROR(__xludf.DUMMYFUNCTION("""COMPUTED_VALUE"""),2.0)</f>
        <v>2</v>
      </c>
    </row>
    <row r="24" ht="15.75" customHeight="1">
      <c r="A24" s="8" t="str">
        <f>IFERROR(__xludf.DUMMYFUNCTION("""COMPUTED_VALUE"""),"https://clutch.co/ae/agencies/content-marketing")</f>
        <v>https://clutch.co/ae/agencies/content-marketing</v>
      </c>
      <c r="B24" s="8" t="str">
        <f>IFERROR(__xludf.DUMMYFUNCTION("""COMPUTED_VALUE"""),"clutch.co")</f>
        <v>clutch.co</v>
      </c>
      <c r="C24" s="11" t="str">
        <f>IFERROR(__xludf.DUMMYFUNCTION("""COMPUTED_VALUE"""),"CATEGORY_PAGE")</f>
        <v>CATEGORY_PAGE</v>
      </c>
      <c r="D24" s="11" t="str">
        <f>IFERROR(__xludf.DUMMYFUNCTION("""COMPUTED_VALUE"""),"CORPORATE")</f>
        <v>CORPORATE</v>
      </c>
      <c r="E24" s="11" t="str">
        <f>IFERROR(__xludf.DUMMYFUNCTION("""COMPUTED_VALUE"""),"Top Content Marketing Companies in the United Arab Emirates - Jul 2026 Rankings \| Clutch.co")</f>
        <v>Top Content Marketing Companies in the United Arab Emirates - Jul 2026 Rankings \| Clutch.co</v>
      </c>
      <c r="F24" s="11" t="str">
        <f>IFERROR(__xludf.DUMMYFUNCTION("""COMPUTED_VALUE"""),"Category Page")</f>
        <v>Category Page</v>
      </c>
      <c r="G24" s="11" t="b">
        <f>IFERROR(__xludf.DUMMYFUNCTION("""COMPUTED_VALUE"""),FALSE)</f>
        <v>0</v>
      </c>
      <c r="H24" s="11" t="str">
        <f>IFERROR(__xludf.DUMMYFUNCTION("""COMPUTED_VALUE"""),"Blue Beetle, Dot IT, M3.agency, YouYaa, intouch, ENH Marketing")</f>
        <v>Blue Beetle, Dot IT, M3.agency, YouYaa, intouch, ENH Marketing</v>
      </c>
      <c r="I24" s="11">
        <f>IFERROR(__xludf.DUMMYFUNCTION("""COMPUTED_VALUE"""),1.0)</f>
        <v>1</v>
      </c>
      <c r="J24" s="11">
        <f>IFERROR(__xludf.DUMMYFUNCTION("""COMPUTED_VALUE"""),0.0)</f>
        <v>0</v>
      </c>
      <c r="K24" s="11">
        <f>IFERROR(__xludf.DUMMYFUNCTION("""COMPUTED_VALUE"""),0.0)</f>
        <v>0</v>
      </c>
    </row>
    <row r="25" ht="15.75" customHeight="1">
      <c r="A25" s="8" t="str">
        <f>IFERROR(__xludf.DUMMYFUNCTION("""COMPUTED_VALUE"""),"https://clutch.co/ae/agencies/digital-marketing?page=10")</f>
        <v>https://clutch.co/ae/agencies/digital-marketing?page=10</v>
      </c>
      <c r="B25" s="8" t="str">
        <f>IFERROR(__xludf.DUMMYFUNCTION("""COMPUTED_VALUE"""),"clutch.co")</f>
        <v>clutch.co</v>
      </c>
      <c r="C25" s="11" t="str">
        <f>IFERROR(__xludf.DUMMYFUNCTION("""COMPUTED_VALUE"""),"CATEGORY_PAGE")</f>
        <v>CATEGORY_PAGE</v>
      </c>
      <c r="D25" s="11" t="str">
        <f>IFERROR(__xludf.DUMMYFUNCTION("""COMPUTED_VALUE"""),"CORPORATE")</f>
        <v>CORPORATE</v>
      </c>
      <c r="E25" s="11" t="str">
        <f>IFERROR(__xludf.DUMMYFUNCTION("""COMPUTED_VALUE"""),"Page 10 - Top Digital Marketing Agencies in the United Arab Emirates - Jul 2026 Rankings | Clutch.co")</f>
        <v>Page 10 - Top Digital Marketing Agencies in the United Arab Emirates - Jul 2026 Rankings | Clutch.co</v>
      </c>
      <c r="F25" s="11" t="str">
        <f>IFERROR(__xludf.DUMMYFUNCTION("""COMPUTED_VALUE"""),"Category Page")</f>
        <v>Category Page</v>
      </c>
      <c r="G25" s="11" t="b">
        <f>IFERROR(__xludf.DUMMYFUNCTION("""COMPUTED_VALUE"""),FALSE)</f>
        <v>0</v>
      </c>
      <c r="H25" s="11" t="str">
        <f>IFERROR(__xludf.DUMMYFUNCTION("""COMPUTED_VALUE"""),"Ninja Promo, TIDAL Digital, Prism Digital, YouYaa, Blue Beetle, Digital Gravity, Leads Dubai, Hovi Digital Lab")</f>
        <v>Ninja Promo, TIDAL Digital, Prism Digital, YouYaa, Blue Beetle, Digital Gravity, Leads Dubai, Hovi Digital Lab</v>
      </c>
      <c r="I25" s="11">
        <f>IFERROR(__xludf.DUMMYFUNCTION("""COMPUTED_VALUE"""),1.0)</f>
        <v>1</v>
      </c>
      <c r="J25" s="11">
        <f>IFERROR(__xludf.DUMMYFUNCTION("""COMPUTED_VALUE"""),0.0)</f>
        <v>0</v>
      </c>
      <c r="K25" s="11">
        <f>IFERROR(__xludf.DUMMYFUNCTION("""COMPUTED_VALUE"""),0.0)</f>
        <v>0</v>
      </c>
    </row>
    <row r="26" ht="15.75" customHeight="1">
      <c r="A26" s="8" t="str">
        <f>IFERROR(__xludf.DUMMYFUNCTION("""COMPUTED_VALUE"""),"https://clutch.co/ae/agencies/digital-marketing?page=29")</f>
        <v>https://clutch.co/ae/agencies/digital-marketing?page=29</v>
      </c>
      <c r="B26" s="8" t="str">
        <f>IFERROR(__xludf.DUMMYFUNCTION("""COMPUTED_VALUE"""),"clutch.co")</f>
        <v>clutch.co</v>
      </c>
      <c r="C26" s="11" t="str">
        <f>IFERROR(__xludf.DUMMYFUNCTION("""COMPUTED_VALUE"""),"OTHER")</f>
        <v>OTHER</v>
      </c>
      <c r="D26" s="11" t="str">
        <f>IFERROR(__xludf.DUMMYFUNCTION("""COMPUTED_VALUE"""),"CORPORATE")</f>
        <v>CORPORATE</v>
      </c>
      <c r="E26" s="11" t="str">
        <f>IFERROR(__xludf.DUMMYFUNCTION("""COMPUTED_VALUE"""),"Page 29 - Top Digital Marketing Agencies in the United Arab Emirates - Jul 2026 Rankings | Clutch.co")</f>
        <v>Page 29 - Top Digital Marketing Agencies in the United Arab Emirates - Jul 2026 Rankings | Clutch.co</v>
      </c>
      <c r="F26" s="11" t="str">
        <f>IFERROR(__xludf.DUMMYFUNCTION("""COMPUTED_VALUE"""),"Other")</f>
        <v>Other</v>
      </c>
      <c r="G26" s="11" t="b">
        <f>IFERROR(__xludf.DUMMYFUNCTION("""COMPUTED_VALUE"""),FALSE)</f>
        <v>0</v>
      </c>
      <c r="H26" s="11" t="str">
        <f>IFERROR(__xludf.DUMMYFUNCTION("""COMPUTED_VALUE"""),"Ninja Promo, intouch, GLMA Agency, House of Growth, YouYaa, Blue Beetle, Digital Gravity, Leads Dubai, Hovi Digital Lab")</f>
        <v>Ninja Promo, intouch, GLMA Agency, House of Growth, YouYaa, Blue Beetle, Digital Gravity, Leads Dubai, Hovi Digital Lab</v>
      </c>
      <c r="I26" s="11">
        <f>IFERROR(__xludf.DUMMYFUNCTION("""COMPUTED_VALUE"""),1.0)</f>
        <v>1</v>
      </c>
      <c r="J26" s="11">
        <f>IFERROR(__xludf.DUMMYFUNCTION("""COMPUTED_VALUE"""),0.0)</f>
        <v>0</v>
      </c>
      <c r="K26" s="11">
        <f>IFERROR(__xludf.DUMMYFUNCTION("""COMPUTED_VALUE"""),0.0)</f>
        <v>0</v>
      </c>
    </row>
    <row r="27" ht="15.75" customHeight="1">
      <c r="A27" s="8" t="str">
        <f>IFERROR(__xludf.DUMMYFUNCTION("""COMPUTED_VALUE"""),"https://clutch.co/ae/agencies/ppc/google-adwords/dubai")</f>
        <v>https://clutch.co/ae/agencies/ppc/google-adwords/dubai</v>
      </c>
      <c r="B27" s="8" t="str">
        <f>IFERROR(__xludf.DUMMYFUNCTION("""COMPUTED_VALUE"""),"clutch.co")</f>
        <v>clutch.co</v>
      </c>
      <c r="C27" s="11" t="str">
        <f>IFERROR(__xludf.DUMMYFUNCTION("""COMPUTED_VALUE"""),"CATEGORY_PAGE")</f>
        <v>CATEGORY_PAGE</v>
      </c>
      <c r="D27" s="11" t="str">
        <f>IFERROR(__xludf.DUMMYFUNCTION("""COMPUTED_VALUE"""),"CORPORATE")</f>
        <v>CORPORATE</v>
      </c>
      <c r="E27" s="11" t="str">
        <f>IFERROR(__xludf.DUMMYFUNCTION("""COMPUTED_VALUE"""),"Top Adwords PPC Agencies in Dubai - Jul 2026 Rankings \| Clutch.co")</f>
        <v>Top Adwords PPC Agencies in Dubai - Jul 2026 Rankings \| Clutch.co</v>
      </c>
      <c r="F27" s="11" t="str">
        <f>IFERROR(__xludf.DUMMYFUNCTION("""COMPUTED_VALUE"""),"Category Page")</f>
        <v>Category Page</v>
      </c>
      <c r="G27" s="11" t="b">
        <f>IFERROR(__xludf.DUMMYFUNCTION("""COMPUTED_VALUE"""),FALSE)</f>
        <v>0</v>
      </c>
      <c r="H27" s="11" t="str">
        <f>IFERROR(__xludf.DUMMYFUNCTION("""COMPUTED_VALUE"""),"M3.agency, Blue Beetle, INSIDEA, Dot IT, Web Tonic, YouYaa, AlCaz Media, EDS FZCO")</f>
        <v>M3.agency, Blue Beetle, INSIDEA, Dot IT, Web Tonic, YouYaa, AlCaz Media, EDS FZCO</v>
      </c>
      <c r="I27" s="11">
        <f>IFERROR(__xludf.DUMMYFUNCTION("""COMPUTED_VALUE"""),1.0)</f>
        <v>1</v>
      </c>
      <c r="J27" s="11">
        <f>IFERROR(__xludf.DUMMYFUNCTION("""COMPUTED_VALUE"""),0.0)</f>
        <v>0</v>
      </c>
      <c r="K27" s="11">
        <f>IFERROR(__xludf.DUMMYFUNCTION("""COMPUTED_VALUE"""),1.0)</f>
        <v>1</v>
      </c>
    </row>
    <row r="28" ht="15.75" customHeight="1">
      <c r="A28" s="8" t="str">
        <f>IFERROR(__xludf.DUMMYFUNCTION("""COMPUTED_VALUE"""),"https://clutch.co/ae/agencies/social-media-marketing/dubai?page=21")</f>
        <v>https://clutch.co/ae/agencies/social-media-marketing/dubai?page=21</v>
      </c>
      <c r="B28" s="8" t="str">
        <f>IFERROR(__xludf.DUMMYFUNCTION("""COMPUTED_VALUE"""),"clutch.co")</f>
        <v>clutch.co</v>
      </c>
      <c r="C28" s="11" t="str">
        <f>IFERROR(__xludf.DUMMYFUNCTION("""COMPUTED_VALUE"""),"CATEGORY_PAGE")</f>
        <v>CATEGORY_PAGE</v>
      </c>
      <c r="D28" s="11" t="str">
        <f>IFERROR(__xludf.DUMMYFUNCTION("""COMPUTED_VALUE"""),"CORPORATE")</f>
        <v>CORPORATE</v>
      </c>
      <c r="E28" s="11" t="str">
        <f>IFERROR(__xludf.DUMMYFUNCTION("""COMPUTED_VALUE"""),"Page 21 - Top Social Media Marketing Agencies in Dubai - Jul 2026 Rankings | Clutch.co")</f>
        <v>Page 21 - Top Social Media Marketing Agencies in Dubai - Jul 2026 Rankings | Clutch.co</v>
      </c>
      <c r="F28" s="11" t="str">
        <f>IFERROR(__xludf.DUMMYFUNCTION("""COMPUTED_VALUE"""),"Category Page")</f>
        <v>Category Page</v>
      </c>
      <c r="G28" s="11" t="b">
        <f>IFERROR(__xludf.DUMMYFUNCTION("""COMPUTED_VALUE"""),FALSE)</f>
        <v>0</v>
      </c>
      <c r="H28" s="11" t="str">
        <f>IFERROR(__xludf.DUMMYFUNCTION("""COMPUTED_VALUE"""),"intouch, M3.agency, YouYaa, INSIDEA, Blue Beetle")</f>
        <v>intouch, M3.agency, YouYaa, INSIDEA, Blue Beetle</v>
      </c>
      <c r="I28" s="11">
        <f>IFERROR(__xludf.DUMMYFUNCTION("""COMPUTED_VALUE"""),1.0)</f>
        <v>1</v>
      </c>
      <c r="J28" s="11">
        <f>IFERROR(__xludf.DUMMYFUNCTION("""COMPUTED_VALUE"""),0.0)</f>
        <v>0</v>
      </c>
      <c r="K28" s="11">
        <f>IFERROR(__xludf.DUMMYFUNCTION("""COMPUTED_VALUE"""),0.0)</f>
        <v>0</v>
      </c>
    </row>
    <row r="29" ht="15.75" customHeight="1">
      <c r="A29" s="8" t="str">
        <f>IFERROR(__xludf.DUMMYFUNCTION("""COMPUTED_VALUE"""),"https://clutch.co/ae/agencies/social-media-marketing/influencer/dubai")</f>
        <v>https://clutch.co/ae/agencies/social-media-marketing/influencer/dubai</v>
      </c>
      <c r="B29" s="8" t="str">
        <f>IFERROR(__xludf.DUMMYFUNCTION("""COMPUTED_VALUE"""),"clutch.co")</f>
        <v>clutch.co</v>
      </c>
      <c r="C29" s="11" t="str">
        <f>IFERROR(__xludf.DUMMYFUNCTION("""COMPUTED_VALUE"""),"OTHER")</f>
        <v>OTHER</v>
      </c>
      <c r="D29" s="11" t="str">
        <f>IFERROR(__xludf.DUMMYFUNCTION("""COMPUTED_VALUE"""),"CORPORATE")</f>
        <v>CORPORATE</v>
      </c>
      <c r="E29" s="11" t="str">
        <f>IFERROR(__xludf.DUMMYFUNCTION("""COMPUTED_VALUE"""),"Top Influencer Advertising Agencies in Dubai - Jul 2026 Rankings | Clutch.co")</f>
        <v>Top Influencer Advertising Agencies in Dubai - Jul 2026 Rankings | Clutch.co</v>
      </c>
      <c r="F29" s="11" t="str">
        <f>IFERROR(__xludf.DUMMYFUNCTION("""COMPUTED_VALUE"""),"Other")</f>
        <v>Other</v>
      </c>
      <c r="G29" s="11" t="b">
        <f>IFERROR(__xludf.DUMMYFUNCTION("""COMPUTED_VALUE"""),FALSE)</f>
        <v>0</v>
      </c>
      <c r="H29" s="11" t="str">
        <f>IFERROR(__xludf.DUMMYFUNCTION("""COMPUTED_VALUE"""),"Mindshare, YouYaa, intouch, EDS FZCO, ENH Marketing")</f>
        <v>Mindshare, YouYaa, intouch, EDS FZCO, ENH Marketing</v>
      </c>
      <c r="I29" s="11">
        <f>IFERROR(__xludf.DUMMYFUNCTION("""COMPUTED_VALUE"""),1.0)</f>
        <v>1</v>
      </c>
      <c r="J29" s="11">
        <f>IFERROR(__xludf.DUMMYFUNCTION("""COMPUTED_VALUE"""),0.0)</f>
        <v>0</v>
      </c>
      <c r="K29" s="11">
        <f>IFERROR(__xludf.DUMMYFUNCTION("""COMPUTED_VALUE"""),0.0)</f>
        <v>0</v>
      </c>
    </row>
    <row r="30" ht="15.75" customHeight="1">
      <c r="A30" s="8" t="str">
        <f>IFERROR(__xludf.DUMMYFUNCTION("""COMPUTED_VALUE"""),"https://clutch.co/ae/consulting/ai/strategy/dubai")</f>
        <v>https://clutch.co/ae/consulting/ai/strategy/dubai</v>
      </c>
      <c r="B30" s="8" t="str">
        <f>IFERROR(__xludf.DUMMYFUNCTION("""COMPUTED_VALUE"""),"clutch.co")</f>
        <v>clutch.co</v>
      </c>
      <c r="C30" s="11" t="str">
        <f>IFERROR(__xludf.DUMMYFUNCTION("""COMPUTED_VALUE"""),"CATEGORY_PAGE")</f>
        <v>CATEGORY_PAGE</v>
      </c>
      <c r="D30" s="11" t="str">
        <f>IFERROR(__xludf.DUMMYFUNCTION("""COMPUTED_VALUE"""),"CORPORATE")</f>
        <v>CORPORATE</v>
      </c>
      <c r="E30" s="11" t="str">
        <f>IFERROR(__xludf.DUMMYFUNCTION("""COMPUTED_VALUE"""),"Top AI Strategy Companies in Dubai - Jul 2026 Rankings | Clutch.co")</f>
        <v>Top AI Strategy Companies in Dubai - Jul 2026 Rankings | Clutch.co</v>
      </c>
      <c r="F30" s="11" t="str">
        <f>IFERROR(__xludf.DUMMYFUNCTION("""COMPUTED_VALUE"""),"Category Page")</f>
        <v>Category Page</v>
      </c>
      <c r="G30" s="11" t="b">
        <f>IFERROR(__xludf.DUMMYFUNCTION("""COMPUTED_VALUE"""),FALSE)</f>
        <v>0</v>
      </c>
      <c r="H30" s="11" t="str">
        <f>IFERROR(__xludf.DUMMYFUNCTION("""COMPUTED_VALUE"""),"intouch, Huge")</f>
        <v>intouch, Huge</v>
      </c>
      <c r="I30" s="11">
        <f>IFERROR(__xludf.DUMMYFUNCTION("""COMPUTED_VALUE"""),1.0)</f>
        <v>1</v>
      </c>
      <c r="J30" s="11">
        <f>IFERROR(__xludf.DUMMYFUNCTION("""COMPUTED_VALUE"""),0.0)</f>
        <v>0</v>
      </c>
      <c r="K30" s="11">
        <f>IFERROR(__xludf.DUMMYFUNCTION("""COMPUTED_VALUE"""),0.0)</f>
        <v>0</v>
      </c>
    </row>
    <row r="31" ht="15.75" customHeight="1">
      <c r="A31" s="8" t="str">
        <f>IFERROR(__xludf.DUMMYFUNCTION("""COMPUTED_VALUE"""),"https://clutch.co/agencies/media-buying/ooh")</f>
        <v>https://clutch.co/agencies/media-buying/ooh</v>
      </c>
      <c r="B31" s="8" t="str">
        <f>IFERROR(__xludf.DUMMYFUNCTION("""COMPUTED_VALUE"""),"clutch.co")</f>
        <v>clutch.co</v>
      </c>
      <c r="C31" s="11" t="str">
        <f>IFERROR(__xludf.DUMMYFUNCTION("""COMPUTED_VALUE"""),"CATEGORY_PAGE")</f>
        <v>CATEGORY_PAGE</v>
      </c>
      <c r="D31" s="11" t="str">
        <f>IFERROR(__xludf.DUMMYFUNCTION("""COMPUTED_VALUE"""),"CORPORATE")</f>
        <v>CORPORATE</v>
      </c>
      <c r="E31" s="11" t="str">
        <f>IFERROR(__xludf.DUMMYFUNCTION("""COMPUTED_VALUE"""),"Top OOH Media Buying Companies - Jul 2026 Rankings | Clutch.co")</f>
        <v>Top OOH Media Buying Companies - Jul 2026 Rankings | Clutch.co</v>
      </c>
      <c r="F31" s="11" t="str">
        <f>IFERROR(__xludf.DUMMYFUNCTION("""COMPUTED_VALUE"""),"Category Page")</f>
        <v>Category Page</v>
      </c>
      <c r="G31" s="11" t="b">
        <f>IFERROR(__xludf.DUMMYFUNCTION("""COMPUTED_VALUE"""),FALSE)</f>
        <v>0</v>
      </c>
      <c r="H31" s="11" t="str">
        <f>IFERROR(__xludf.DUMMYFUNCTION("""COMPUTED_VALUE"""),"intouch, New Engen, Brainlabs, Tinuiti")</f>
        <v>intouch, New Engen, Brainlabs, Tinuiti</v>
      </c>
      <c r="I31" s="11">
        <f>IFERROR(__xludf.DUMMYFUNCTION("""COMPUTED_VALUE"""),1.0)</f>
        <v>1</v>
      </c>
      <c r="J31" s="11">
        <f>IFERROR(__xludf.DUMMYFUNCTION("""COMPUTED_VALUE"""),0.0)</f>
        <v>0</v>
      </c>
      <c r="K31" s="11">
        <f>IFERROR(__xludf.DUMMYFUNCTION("""COMPUTED_VALUE"""),0.0)</f>
        <v>0</v>
      </c>
    </row>
    <row r="32" ht="15.75" customHeight="1">
      <c r="A32" s="8" t="str">
        <f>IFERROR(__xludf.DUMMYFUNCTION("""COMPUTED_VALUE"""),"https://clutch.co/agencies/performance-marketing")</f>
        <v>https://clutch.co/agencies/performance-marketing</v>
      </c>
      <c r="B32" s="8" t="str">
        <f>IFERROR(__xludf.DUMMYFUNCTION("""COMPUTED_VALUE"""),"clutch.co")</f>
        <v>clutch.co</v>
      </c>
      <c r="C32" s="11" t="str">
        <f>IFERROR(__xludf.DUMMYFUNCTION("""COMPUTED_VALUE"""),"CATEGORY_PAGE")</f>
        <v>CATEGORY_PAGE</v>
      </c>
      <c r="D32" s="11" t="str">
        <f>IFERROR(__xludf.DUMMYFUNCTION("""COMPUTED_VALUE"""),"CORPORATE")</f>
        <v>CORPORATE</v>
      </c>
      <c r="E32" s="11" t="str">
        <f>IFERROR(__xludf.DUMMYFUNCTION("""COMPUTED_VALUE"""),"Top Performance Marketing Agencies - Jul 2026 Rankings | Clutch.co")</f>
        <v>Top Performance Marketing Agencies - Jul 2026 Rankings | Clutch.co</v>
      </c>
      <c r="F32" s="11" t="str">
        <f>IFERROR(__xludf.DUMMYFUNCTION("""COMPUTED_VALUE"""),"Category Page")</f>
        <v>Category Page</v>
      </c>
      <c r="G32" s="11" t="b">
        <f>IFERROR(__xludf.DUMMYFUNCTION("""COMPUTED_VALUE"""),FALSE)</f>
        <v>0</v>
      </c>
      <c r="H32" s="11" t="str">
        <f>IFERROR(__xludf.DUMMYFUNCTION("""COMPUTED_VALUE"""),"Disruptive Advertising, intouch, Momentum, Web Tonic")</f>
        <v>Disruptive Advertising, intouch, Momentum, Web Tonic</v>
      </c>
      <c r="I32" s="11">
        <f>IFERROR(__xludf.DUMMYFUNCTION("""COMPUTED_VALUE"""),1.0)</f>
        <v>1</v>
      </c>
      <c r="J32" s="11">
        <f>IFERROR(__xludf.DUMMYFUNCTION("""COMPUTED_VALUE"""),0.0)</f>
        <v>0</v>
      </c>
      <c r="K32" s="11">
        <f>IFERROR(__xludf.DUMMYFUNCTION("""COMPUTED_VALUE"""),0.0)</f>
        <v>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 r:id="rId58" ref="A31"/>
    <hyperlink r:id="rId59" ref="B31"/>
    <hyperlink r:id="rId60" ref="A32"/>
    <hyperlink r:id="rId61" ref="B32"/>
  </hyperlinks>
  <drawing r:id="rId6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All'!A2:A1000)),""sortlist"")
  ),
  """"
)"),"https://www.sortlist.com/s/marketing-analytics/dubai-ae")</f>
        <v>https://www.sortlist.com/s/marketing-analytics/dubai-ae</v>
      </c>
      <c r="B2" s="8" t="str">
        <f>IFERROR(__xludf.DUMMYFUNCTION("""COMPUTED_VALUE"""),"sortlist.com")</f>
        <v>sortlist.com</v>
      </c>
      <c r="C2" s="11" t="str">
        <f>IFERROR(__xludf.DUMMYFUNCTION("""COMPUTED_VALUE"""),"CATEGORY_PAGE")</f>
        <v>CATEGORY_PAGE</v>
      </c>
      <c r="D2" s="11" t="str">
        <f>IFERROR(__xludf.DUMMYFUNCTION("""COMPUTED_VALUE"""),"CORPORATE")</f>
        <v>CORPORATE</v>
      </c>
      <c r="E2" s="11" t="str">
        <f>IFERROR(__xludf.DUMMYFUNCTION("""COMPUTED_VALUE"""),"The 10 Best Marketing Analytics Companies in Dubai - 2026 Reviews")</f>
        <v>The 10 Best Marketing Analytics Companies in Dubai - 2026 Reviews</v>
      </c>
      <c r="F2" s="11" t="str">
        <f>IFERROR(__xludf.DUMMYFUNCTION("""COMPUTED_VALUE"""),"Category Page")</f>
        <v>Category Page</v>
      </c>
      <c r="G2" s="11" t="b">
        <f>IFERROR(__xludf.DUMMYFUNCTION("""COMPUTED_VALUE"""),FALSE)</f>
        <v>0</v>
      </c>
      <c r="H2" s="11" t="str">
        <f>IFERROR(__xludf.DUMMYFUNCTION("""COMPUTED_VALUE"""),"AlCaz Media, Momentum, M3.agency, Praxis Advertising, Ninja Promo, intouch, Bird Marketing, Pixoo Media")</f>
        <v>AlCaz Media, Momentum, M3.agency, Praxis Advertising, Ninja Promo, intouch, Bird Marketing, Pixoo Media</v>
      </c>
      <c r="I2" s="11">
        <f>IFERROR(__xludf.DUMMYFUNCTION("""COMPUTED_VALUE"""),47.0)</f>
        <v>47</v>
      </c>
      <c r="J2" s="11">
        <f>IFERROR(__xludf.DUMMYFUNCTION("""COMPUTED_VALUE"""),0.04)</f>
        <v>0.04</v>
      </c>
      <c r="K2" s="11">
        <f>IFERROR(__xludf.DUMMYFUNCTION("""COMPUTED_VALUE"""),1.0)</f>
        <v>1</v>
      </c>
    </row>
    <row r="3" ht="15.75" customHeight="1">
      <c r="A3" s="8" t="str">
        <f>IFERROR(__xludf.DUMMYFUNCTION("""COMPUTED_VALUE"""),"https://www.sortlist.com/s/paid-media/united-arab-emirates-ae")</f>
        <v>https://www.sortlist.com/s/paid-media/united-arab-emirates-ae</v>
      </c>
      <c r="B3" s="8" t="str">
        <f>IFERROR(__xludf.DUMMYFUNCTION("""COMPUTED_VALUE"""),"sortlist.com")</f>
        <v>sortlist.com</v>
      </c>
      <c r="C3" s="11" t="str">
        <f>IFERROR(__xludf.DUMMYFUNCTION("""COMPUTED_VALUE"""),"CATEGORY_PAGE")</f>
        <v>CATEGORY_PAGE</v>
      </c>
      <c r="D3" s="11" t="str">
        <f>IFERROR(__xludf.DUMMYFUNCTION("""COMPUTED_VALUE"""),"CORPORATE")</f>
        <v>CORPORATE</v>
      </c>
      <c r="E3" s="11" t="str">
        <f>IFERROR(__xludf.DUMMYFUNCTION("""COMPUTED_VALUE"""),"The 10 Best Paid Media Agencies in the United Arab Emirates - 2026 Reviews")</f>
        <v>The 10 Best Paid Media Agencies in the United Arab Emirates - 2026 Reviews</v>
      </c>
      <c r="F3" s="11" t="str">
        <f>IFERROR(__xludf.DUMMYFUNCTION("""COMPUTED_VALUE"""),"Category Page")</f>
        <v>Category Page</v>
      </c>
      <c r="G3" s="11" t="b">
        <f>IFERROR(__xludf.DUMMYFUNCTION("""COMPUTED_VALUE"""),FALSE)</f>
        <v>0</v>
      </c>
      <c r="H3" s="11" t="str">
        <f>IFERROR(__xludf.DUMMYFUNCTION("""COMPUTED_VALUE"""),"LUMINA, Praxis Advertising, AlCaz Media, intouch, Momentum, M3.agency")</f>
        <v>LUMINA, Praxis Advertising, AlCaz Media, intouch, Momentum, M3.agency</v>
      </c>
      <c r="I3" s="11">
        <f>IFERROR(__xludf.DUMMYFUNCTION("""COMPUTED_VALUE"""),43.0)</f>
        <v>43</v>
      </c>
      <c r="J3" s="11">
        <f>IFERROR(__xludf.DUMMYFUNCTION("""COMPUTED_VALUE"""),0.04)</f>
        <v>0.04</v>
      </c>
      <c r="K3" s="11">
        <f>IFERROR(__xludf.DUMMYFUNCTION("""COMPUTED_VALUE"""),0.93)</f>
        <v>0.93</v>
      </c>
    </row>
    <row r="4" ht="15.75" customHeight="1">
      <c r="A4" s="8" t="str">
        <f>IFERROR(__xludf.DUMMYFUNCTION("""COMPUTED_VALUE"""),"https://www.sortlist.com/s/paid-media/dubai-ae")</f>
        <v>https://www.sortlist.com/s/paid-media/dubai-ae</v>
      </c>
      <c r="B4" s="8" t="str">
        <f>IFERROR(__xludf.DUMMYFUNCTION("""COMPUTED_VALUE"""),"sortlist.com")</f>
        <v>sortlist.com</v>
      </c>
      <c r="C4" s="11" t="str">
        <f>IFERROR(__xludf.DUMMYFUNCTION("""COMPUTED_VALUE"""),"CATEGORY_PAGE")</f>
        <v>CATEGORY_PAGE</v>
      </c>
      <c r="D4" s="11" t="str">
        <f>IFERROR(__xludf.DUMMYFUNCTION("""COMPUTED_VALUE"""),"CORPORATE")</f>
        <v>CORPORATE</v>
      </c>
      <c r="E4" s="11" t="str">
        <f>IFERROR(__xludf.DUMMYFUNCTION("""COMPUTED_VALUE"""),"The 10 Best Paid Media Agencies in Dubai - 2026 Reviews")</f>
        <v>The 10 Best Paid Media Agencies in Dubai - 2026 Reviews</v>
      </c>
      <c r="F4" s="11" t="str">
        <f>IFERROR(__xludf.DUMMYFUNCTION("""COMPUTED_VALUE"""),"Category Page")</f>
        <v>Category Page</v>
      </c>
      <c r="G4" s="11" t="b">
        <f>IFERROR(__xludf.DUMMYFUNCTION("""COMPUTED_VALUE"""),FALSE)</f>
        <v>0</v>
      </c>
      <c r="H4" s="11" t="str">
        <f>IFERROR(__xludf.DUMMYFUNCTION("""COMPUTED_VALUE"""),"LUMINA, Praxis Advertising, AlCaz Media, intouch, Momentum, M3.agency")</f>
        <v>LUMINA, Praxis Advertising, AlCaz Media, intouch, Momentum, M3.agency</v>
      </c>
      <c r="I4" s="11">
        <f>IFERROR(__xludf.DUMMYFUNCTION("""COMPUTED_VALUE"""),40.0)</f>
        <v>40</v>
      </c>
      <c r="J4" s="11">
        <f>IFERROR(__xludf.DUMMYFUNCTION("""COMPUTED_VALUE"""),0.04)</f>
        <v>0.04</v>
      </c>
      <c r="K4" s="11">
        <f>IFERROR(__xludf.DUMMYFUNCTION("""COMPUTED_VALUE"""),0.63)</f>
        <v>0.63</v>
      </c>
    </row>
    <row r="5" ht="15.75" customHeight="1">
      <c r="A5" s="8" t="str">
        <f>IFERROR(__xludf.DUMMYFUNCTION("""COMPUTED_VALUE"""),"https://www.sortlist.com/s/display-advertising/dubai-ae")</f>
        <v>https://www.sortlist.com/s/display-advertising/dubai-ae</v>
      </c>
      <c r="B5" s="8" t="str">
        <f>IFERROR(__xludf.DUMMYFUNCTION("""COMPUTED_VALUE"""),"sortlist.com")</f>
        <v>sortlist.com</v>
      </c>
      <c r="C5" s="11" t="str">
        <f>IFERROR(__xludf.DUMMYFUNCTION("""COMPUTED_VALUE"""),"CATEGORY_PAGE")</f>
        <v>CATEGORY_PAGE</v>
      </c>
      <c r="D5" s="11" t="str">
        <f>IFERROR(__xludf.DUMMYFUNCTION("""COMPUTED_VALUE"""),"CORPORATE")</f>
        <v>CORPORATE</v>
      </c>
      <c r="E5" s="11" t="str">
        <f>IFERROR(__xludf.DUMMYFUNCTION("""COMPUTED_VALUE"""),"The 10 Best Display Advertising Agencies in Dubai - 2026 Reviews")</f>
        <v>The 10 Best Display Advertising Agencies in Dubai - 2026 Reviews</v>
      </c>
      <c r="F5" s="11" t="str">
        <f>IFERROR(__xludf.DUMMYFUNCTION("""COMPUTED_VALUE"""),"Category Page")</f>
        <v>Category Page</v>
      </c>
      <c r="G5" s="11" t="b">
        <f>IFERROR(__xludf.DUMMYFUNCTION("""COMPUTED_VALUE"""),FALSE)</f>
        <v>0</v>
      </c>
      <c r="H5" s="11" t="str">
        <f>IFERROR(__xludf.DUMMYFUNCTION("""COMPUTED_VALUE"""),"AlCaz Media, Praxis Advertising, Momentum, M3.agency, Ninja Promo, intouch")</f>
        <v>AlCaz Media, Praxis Advertising, Momentum, M3.agency, Ninja Promo, intouch</v>
      </c>
      <c r="I5" s="11">
        <f>IFERROR(__xludf.DUMMYFUNCTION("""COMPUTED_VALUE"""),35.0)</f>
        <v>35</v>
      </c>
      <c r="J5" s="11">
        <f>IFERROR(__xludf.DUMMYFUNCTION("""COMPUTED_VALUE"""),0.03)</f>
        <v>0.03</v>
      </c>
      <c r="K5" s="11">
        <f>IFERROR(__xludf.DUMMYFUNCTION("""COMPUTED_VALUE"""),0.86)</f>
        <v>0.86</v>
      </c>
    </row>
    <row r="6" ht="15.75" customHeight="1">
      <c r="A6" s="8" t="str">
        <f>IFERROR(__xludf.DUMMYFUNCTION("""COMPUTED_VALUE"""),"https://www.sortlist.com/s/marketing-analytics/united-arab-emirates-ae")</f>
        <v>https://www.sortlist.com/s/marketing-analytics/united-arab-emirates-ae</v>
      </c>
      <c r="B6" s="8" t="str">
        <f>IFERROR(__xludf.DUMMYFUNCTION("""COMPUTED_VALUE"""),"sortlist.com")</f>
        <v>sortlist.com</v>
      </c>
      <c r="C6" s="11" t="str">
        <f>IFERROR(__xludf.DUMMYFUNCTION("""COMPUTED_VALUE"""),"CATEGORY_PAGE")</f>
        <v>CATEGORY_PAGE</v>
      </c>
      <c r="D6" s="11" t="str">
        <f>IFERROR(__xludf.DUMMYFUNCTION("""COMPUTED_VALUE"""),"CORPORATE")</f>
        <v>CORPORATE</v>
      </c>
      <c r="E6" s="11" t="str">
        <f>IFERROR(__xludf.DUMMYFUNCTION("""COMPUTED_VALUE"""),"The 10 Best Marketing Analytics Companies in the United Arab Emirates - 2026 Reviews")</f>
        <v>The 10 Best Marketing Analytics Companies in the United Arab Emirates - 2026 Reviews</v>
      </c>
      <c r="F6" s="11" t="str">
        <f>IFERROR(__xludf.DUMMYFUNCTION("""COMPUTED_VALUE"""),"Category Page")</f>
        <v>Category Page</v>
      </c>
      <c r="G6" s="11" t="b">
        <f>IFERROR(__xludf.DUMMYFUNCTION("""COMPUTED_VALUE"""),FALSE)</f>
        <v>0</v>
      </c>
      <c r="H6" s="11" t="str">
        <f>IFERROR(__xludf.DUMMYFUNCTION("""COMPUTED_VALUE"""),"AlCaz Media, Momentum, M3.agency, Praxis Advertising, intouch, Ninja Promo, Bird Marketing, Pixoo Media")</f>
        <v>AlCaz Media, Momentum, M3.agency, Praxis Advertising, intouch, Ninja Promo, Bird Marketing, Pixoo Media</v>
      </c>
      <c r="I6" s="11">
        <f>IFERROR(__xludf.DUMMYFUNCTION("""COMPUTED_VALUE"""),34.0)</f>
        <v>34</v>
      </c>
      <c r="J6" s="11">
        <f>IFERROR(__xludf.DUMMYFUNCTION("""COMPUTED_VALUE"""),0.03)</f>
        <v>0.03</v>
      </c>
      <c r="K6" s="11">
        <f>IFERROR(__xludf.DUMMYFUNCTION("""COMPUTED_VALUE"""),0.94)</f>
        <v>0.94</v>
      </c>
    </row>
    <row r="7" ht="15.75" customHeight="1">
      <c r="A7" s="8" t="str">
        <f>IFERROR(__xludf.DUMMYFUNCTION("""COMPUTED_VALUE"""),"https://www.sortlist.com/s/ai-marketing/dubai-ae")</f>
        <v>https://www.sortlist.com/s/ai-marketing/dubai-ae</v>
      </c>
      <c r="B7" s="8" t="str">
        <f>IFERROR(__xludf.DUMMYFUNCTION("""COMPUTED_VALUE"""),"sortlist.com")</f>
        <v>sortlist.com</v>
      </c>
      <c r="C7" s="11" t="str">
        <f>IFERROR(__xludf.DUMMYFUNCTION("""COMPUTED_VALUE"""),"CATEGORY_PAGE")</f>
        <v>CATEGORY_PAGE</v>
      </c>
      <c r="D7" s="11" t="str">
        <f>IFERROR(__xludf.DUMMYFUNCTION("""COMPUTED_VALUE"""),"CORPORATE")</f>
        <v>CORPORATE</v>
      </c>
      <c r="E7" s="11" t="str">
        <f>IFERROR(__xludf.DUMMYFUNCTION("""COMPUTED_VALUE"""),"The 10 Best AI Marketing Companies in Dubai - 2026 Reviews")</f>
        <v>The 10 Best AI Marketing Companies in Dubai - 2026 Reviews</v>
      </c>
      <c r="F7" s="11" t="str">
        <f>IFERROR(__xludf.DUMMYFUNCTION("""COMPUTED_VALUE"""),"Category Page")</f>
        <v>Category Page</v>
      </c>
      <c r="G7" s="11" t="b">
        <f>IFERROR(__xludf.DUMMYFUNCTION("""COMPUTED_VALUE"""),FALSE)</f>
        <v>0</v>
      </c>
      <c r="H7" s="11" t="str">
        <f>IFERROR(__xludf.DUMMYFUNCTION("""COMPUTED_VALUE"""),"Praxis Advertising, Adapts Media, Digital Gravity")</f>
        <v>Praxis Advertising, Adapts Media, Digital Gravity</v>
      </c>
      <c r="I7" s="11">
        <f>IFERROR(__xludf.DUMMYFUNCTION("""COMPUTED_VALUE"""),28.0)</f>
        <v>28</v>
      </c>
      <c r="J7" s="11">
        <f>IFERROR(__xludf.DUMMYFUNCTION("""COMPUTED_VALUE"""),0.03)</f>
        <v>0.03</v>
      </c>
      <c r="K7" s="11">
        <f>IFERROR(__xludf.DUMMYFUNCTION("""COMPUTED_VALUE"""),0.54)</f>
        <v>0.54</v>
      </c>
    </row>
    <row r="8" ht="15.75" customHeight="1">
      <c r="A8" s="8" t="str">
        <f>IFERROR(__xludf.DUMMYFUNCTION("""COMPUTED_VALUE"""),"https://www.sortlist.com/s/performance-marketing/dubai-ae")</f>
        <v>https://www.sortlist.com/s/performance-marketing/dubai-ae</v>
      </c>
      <c r="B8" s="8" t="str">
        <f>IFERROR(__xludf.DUMMYFUNCTION("""COMPUTED_VALUE"""),"sortlist.com")</f>
        <v>sortlist.com</v>
      </c>
      <c r="C8" s="11" t="str">
        <f>IFERROR(__xludf.DUMMYFUNCTION("""COMPUTED_VALUE"""),"CATEGORY_PAGE")</f>
        <v>CATEGORY_PAGE</v>
      </c>
      <c r="D8" s="11" t="str">
        <f>IFERROR(__xludf.DUMMYFUNCTION("""COMPUTED_VALUE"""),"CORPORATE")</f>
        <v>CORPORATE</v>
      </c>
      <c r="E8" s="11" t="str">
        <f>IFERROR(__xludf.DUMMYFUNCTION("""COMPUTED_VALUE"""),"The 10 Best Performance Marketing Agencies in Dubai - 2026 Reviews")</f>
        <v>The 10 Best Performance Marketing Agencies in Dubai - 2026 Reviews</v>
      </c>
      <c r="F8" s="11" t="str">
        <f>IFERROR(__xludf.DUMMYFUNCTION("""COMPUTED_VALUE"""),"Category Page")</f>
        <v>Category Page</v>
      </c>
      <c r="G8" s="11" t="b">
        <f>IFERROR(__xludf.DUMMYFUNCTION("""COMPUTED_VALUE"""),FALSE)</f>
        <v>0</v>
      </c>
      <c r="H8" s="11" t="str">
        <f>IFERROR(__xludf.DUMMYFUNCTION("""COMPUTED_VALUE"""),"LUMINA, Praxis Advertising, AlCaz Media, intouch, Momentum, M3.agency, Admoon")</f>
        <v>LUMINA, Praxis Advertising, AlCaz Media, intouch, Momentum, M3.agency, Admoon</v>
      </c>
      <c r="I8" s="11">
        <f>IFERROR(__xludf.DUMMYFUNCTION("""COMPUTED_VALUE"""),28.0)</f>
        <v>28</v>
      </c>
      <c r="J8" s="11">
        <f>IFERROR(__xludf.DUMMYFUNCTION("""COMPUTED_VALUE"""),0.03)</f>
        <v>0.03</v>
      </c>
      <c r="K8" s="11">
        <f>IFERROR(__xludf.DUMMYFUNCTION("""COMPUTED_VALUE"""),0.04)</f>
        <v>0.04</v>
      </c>
    </row>
    <row r="9" ht="15.75" customHeight="1">
      <c r="A9" s="8" t="str">
        <f>IFERROR(__xludf.DUMMYFUNCTION("""COMPUTED_VALUE"""),"https://www.sortlist.com/s/display-advertising/abu-dhabi-ae")</f>
        <v>https://www.sortlist.com/s/display-advertising/abu-dhabi-ae</v>
      </c>
      <c r="B9" s="8" t="str">
        <f>IFERROR(__xludf.DUMMYFUNCTION("""COMPUTED_VALUE"""),"sortlist.com")</f>
        <v>sortlist.com</v>
      </c>
      <c r="C9" s="11" t="str">
        <f>IFERROR(__xludf.DUMMYFUNCTION("""COMPUTED_VALUE"""),"CATEGORY_PAGE")</f>
        <v>CATEGORY_PAGE</v>
      </c>
      <c r="D9" s="11" t="str">
        <f>IFERROR(__xludf.DUMMYFUNCTION("""COMPUTED_VALUE"""),"CORPORATE")</f>
        <v>CORPORATE</v>
      </c>
      <c r="E9" s="11" t="str">
        <f>IFERROR(__xludf.DUMMYFUNCTION("""COMPUTED_VALUE"""),"The 10 Best Display Advertising Agencies in Abu Dhabi - 2026 Reviews")</f>
        <v>The 10 Best Display Advertising Agencies in Abu Dhabi - 2026 Reviews</v>
      </c>
      <c r="F9" s="11" t="str">
        <f>IFERROR(__xludf.DUMMYFUNCTION("""COMPUTED_VALUE"""),"Category Page")</f>
        <v>Category Page</v>
      </c>
      <c r="G9" s="11" t="b">
        <f>IFERROR(__xludf.DUMMYFUNCTION("""COMPUTED_VALUE"""),FALSE)</f>
        <v>0</v>
      </c>
      <c r="H9" s="11" t="str">
        <f>IFERROR(__xludf.DUMMYFUNCTION("""COMPUTED_VALUE"""),"Pixoo Media, Bird Marketing, intouch, Praxis Advertising, Ninja Promo, Momentum, M3.agency")</f>
        <v>Pixoo Media, Bird Marketing, intouch, Praxis Advertising, Ninja Promo, Momentum, M3.agency</v>
      </c>
      <c r="I9" s="11">
        <f>IFERROR(__xludf.DUMMYFUNCTION("""COMPUTED_VALUE"""),24.0)</f>
        <v>24</v>
      </c>
      <c r="J9" s="11">
        <f>IFERROR(__xludf.DUMMYFUNCTION("""COMPUTED_VALUE"""),0.02)</f>
        <v>0.02</v>
      </c>
      <c r="K9" s="11">
        <f>IFERROR(__xludf.DUMMYFUNCTION("""COMPUTED_VALUE"""),0.0)</f>
        <v>0</v>
      </c>
    </row>
    <row r="10" ht="15.75" customHeight="1">
      <c r="A10" s="8" t="str">
        <f>IFERROR(__xludf.DUMMYFUNCTION("""COMPUTED_VALUE"""),"https://www.sortlist.com/s/performance-marketing/united-arab-emirates-ae")</f>
        <v>https://www.sortlist.com/s/performance-marketing/united-arab-emirates-ae</v>
      </c>
      <c r="B10" s="8" t="str">
        <f>IFERROR(__xludf.DUMMYFUNCTION("""COMPUTED_VALUE"""),"sortlist.com")</f>
        <v>sortlist.com</v>
      </c>
      <c r="C10" s="11" t="str">
        <f>IFERROR(__xludf.DUMMYFUNCTION("""COMPUTED_VALUE"""),"CATEGORY_PAGE")</f>
        <v>CATEGORY_PAGE</v>
      </c>
      <c r="D10" s="11" t="str">
        <f>IFERROR(__xludf.DUMMYFUNCTION("""COMPUTED_VALUE"""),"CORPORATE")</f>
        <v>CORPORATE</v>
      </c>
      <c r="E10" s="11" t="str">
        <f>IFERROR(__xludf.DUMMYFUNCTION("""COMPUTED_VALUE"""),"The 10 Best Performance Marketing Agencies in the United Arab Emirates - 2026 Reviews")</f>
        <v>The 10 Best Performance Marketing Agencies in the United Arab Emirates - 2026 Reviews</v>
      </c>
      <c r="F10" s="11" t="str">
        <f>IFERROR(__xludf.DUMMYFUNCTION("""COMPUTED_VALUE"""),"Category Page")</f>
        <v>Category Page</v>
      </c>
      <c r="G10" s="11" t="b">
        <f>IFERROR(__xludf.DUMMYFUNCTION("""COMPUTED_VALUE"""),FALSE)</f>
        <v>0</v>
      </c>
      <c r="H10" s="11" t="str">
        <f>IFERROR(__xludf.DUMMYFUNCTION("""COMPUTED_VALUE"""),"LUMINA, Praxis Advertising, AlCaz Media, intouch, Momentum, M3.agency")</f>
        <v>LUMINA, Praxis Advertising, AlCaz Media, intouch, Momentum, M3.agency</v>
      </c>
      <c r="I10" s="11">
        <f>IFERROR(__xludf.DUMMYFUNCTION("""COMPUTED_VALUE"""),22.0)</f>
        <v>22</v>
      </c>
      <c r="J10" s="11">
        <f>IFERROR(__xludf.DUMMYFUNCTION("""COMPUTED_VALUE"""),0.02)</f>
        <v>0.02</v>
      </c>
      <c r="K10" s="11">
        <f>IFERROR(__xludf.DUMMYFUNCTION("""COMPUTED_VALUE"""),0.55)</f>
        <v>0.55</v>
      </c>
    </row>
    <row r="11" ht="15.75" customHeight="1">
      <c r="A11" s="8" t="str">
        <f>IFERROR(__xludf.DUMMYFUNCTION("""COMPUTED_VALUE"""),"https://www.sortlist.com/s/display-advertising/united-arab-emirates-ae")</f>
        <v>https://www.sortlist.com/s/display-advertising/united-arab-emirates-ae</v>
      </c>
      <c r="B11" s="8" t="str">
        <f>IFERROR(__xludf.DUMMYFUNCTION("""COMPUTED_VALUE"""),"sortlist.com")</f>
        <v>sortlist.com</v>
      </c>
      <c r="C11" s="11" t="str">
        <f>IFERROR(__xludf.DUMMYFUNCTION("""COMPUTED_VALUE"""),"CATEGORY_PAGE")</f>
        <v>CATEGORY_PAGE</v>
      </c>
      <c r="D11" s="11" t="str">
        <f>IFERROR(__xludf.DUMMYFUNCTION("""COMPUTED_VALUE"""),"CORPORATE")</f>
        <v>CORPORATE</v>
      </c>
      <c r="E11" s="11" t="str">
        <f>IFERROR(__xludf.DUMMYFUNCTION("""COMPUTED_VALUE"""),"The 10 Best Display Advertising Agencies in the United Arab Emirates - 2026 Reviews")</f>
        <v>The 10 Best Display Advertising Agencies in the United Arab Emirates - 2026 Reviews</v>
      </c>
      <c r="F11" s="11" t="str">
        <f>IFERROR(__xludf.DUMMYFUNCTION("""COMPUTED_VALUE"""),"Category Page")</f>
        <v>Category Page</v>
      </c>
      <c r="G11" s="11" t="b">
        <f>IFERROR(__xludf.DUMMYFUNCTION("""COMPUTED_VALUE"""),FALSE)</f>
        <v>0</v>
      </c>
      <c r="H11" s="11" t="str">
        <f>IFERROR(__xludf.DUMMYFUNCTION("""COMPUTED_VALUE"""),"AlCaz Media, Praxis Advertising, Momentum, M3.agency, intouch, Ninja Promo")</f>
        <v>AlCaz Media, Praxis Advertising, Momentum, M3.agency, intouch, Ninja Promo</v>
      </c>
      <c r="I11" s="11">
        <f>IFERROR(__xludf.DUMMYFUNCTION("""COMPUTED_VALUE"""),19.0)</f>
        <v>19</v>
      </c>
      <c r="J11" s="11">
        <f>IFERROR(__xludf.DUMMYFUNCTION("""COMPUTED_VALUE"""),0.02)</f>
        <v>0.02</v>
      </c>
      <c r="K11" s="11">
        <f>IFERROR(__xludf.DUMMYFUNCTION("""COMPUTED_VALUE"""),0.32)</f>
        <v>0.32</v>
      </c>
    </row>
    <row r="12" ht="15.75" customHeight="1">
      <c r="A12" s="8" t="str">
        <f>IFERROR(__xludf.DUMMYFUNCTION("""COMPUTED_VALUE"""),"https://www.sortlist.com/web-analytics/united-arab-emirates-ae")</f>
        <v>https://www.sortlist.com/web-analytics/united-arab-emirates-ae</v>
      </c>
      <c r="B12" s="8" t="str">
        <f>IFERROR(__xludf.DUMMYFUNCTION("""COMPUTED_VALUE"""),"sortlist.com")</f>
        <v>sortlist.com</v>
      </c>
      <c r="C12" s="11" t="str">
        <f>IFERROR(__xludf.DUMMYFUNCTION("""COMPUTED_VALUE"""),"CATEGORY_PAGE")</f>
        <v>CATEGORY_PAGE</v>
      </c>
      <c r="D12" s="11" t="str">
        <f>IFERROR(__xludf.DUMMYFUNCTION("""COMPUTED_VALUE"""),"CORPORATE")</f>
        <v>CORPORATE</v>
      </c>
      <c r="E12" s="11" t="str">
        <f>IFERROR(__xludf.DUMMYFUNCTION("""COMPUTED_VALUE"""),"The 10 Best Web Analytics Agencies in the United Arab Emirates - 2026 Reviews")</f>
        <v>The 10 Best Web Analytics Agencies in the United Arab Emirates - 2026 Reviews</v>
      </c>
      <c r="F12" s="11" t="str">
        <f>IFERROR(__xludf.DUMMYFUNCTION("""COMPUTED_VALUE"""),"Category Page")</f>
        <v>Category Page</v>
      </c>
      <c r="G12" s="11" t="b">
        <f>IFERROR(__xludf.DUMMYFUNCTION("""COMPUTED_VALUE"""),FALSE)</f>
        <v>0</v>
      </c>
      <c r="H12" s="11" t="str">
        <f>IFERROR(__xludf.DUMMYFUNCTION("""COMPUTED_VALUE"""),"Pixoo Media, Growth Hackers, Bird Marketing, Adapts Media")</f>
        <v>Pixoo Media, Growth Hackers, Bird Marketing, Adapts Media</v>
      </c>
      <c r="I12" s="11">
        <f>IFERROR(__xludf.DUMMYFUNCTION("""COMPUTED_VALUE"""),18.0)</f>
        <v>18</v>
      </c>
      <c r="J12" s="11">
        <f>IFERROR(__xludf.DUMMYFUNCTION("""COMPUTED_VALUE"""),0.02)</f>
        <v>0.02</v>
      </c>
      <c r="K12" s="11">
        <f>IFERROR(__xludf.DUMMYFUNCTION("""COMPUTED_VALUE"""),0.06)</f>
        <v>0.06</v>
      </c>
    </row>
    <row r="13" ht="15.75" customHeight="1">
      <c r="A13" s="8" t="str">
        <f>IFERROR(__xludf.DUMMYFUNCTION("""COMPUTED_VALUE"""),"https://www.sortlist.com/advertising/dubai-ae")</f>
        <v>https://www.sortlist.com/advertising/dubai-ae</v>
      </c>
      <c r="B13" s="8" t="str">
        <f>IFERROR(__xludf.DUMMYFUNCTION("""COMPUTED_VALUE"""),"sortlist.com")</f>
        <v>sortlist.com</v>
      </c>
      <c r="C13" s="11" t="str">
        <f>IFERROR(__xludf.DUMMYFUNCTION("""COMPUTED_VALUE"""),"CATEGORY_PAGE")</f>
        <v>CATEGORY_PAGE</v>
      </c>
      <c r="D13" s="11" t="str">
        <f>IFERROR(__xludf.DUMMYFUNCTION("""COMPUTED_VALUE"""),"CORPORATE")</f>
        <v>CORPORATE</v>
      </c>
      <c r="E13" s="11" t="str">
        <f>IFERROR(__xludf.DUMMYFUNCTION("""COMPUTED_VALUE"""),"The 10 Best Advertising Agencies in Dubai - 2026 Reviews")</f>
        <v>The 10 Best Advertising Agencies in Dubai - 2026 Reviews</v>
      </c>
      <c r="F13" s="11" t="str">
        <f>IFERROR(__xludf.DUMMYFUNCTION("""COMPUTED_VALUE"""),"Category Page")</f>
        <v>Category Page</v>
      </c>
      <c r="G13" s="11" t="b">
        <f>IFERROR(__xludf.DUMMYFUNCTION("""COMPUTED_VALUE"""),FALSE)</f>
        <v>0</v>
      </c>
      <c r="H13" s="11" t="str">
        <f>IFERROR(__xludf.DUMMYFUNCTION("""COMPUTED_VALUE"""),"intouch, AlCaz Media, Ninja Promo, Praxis Advertising, Momentum, M3.agency, Admoon")</f>
        <v>intouch, AlCaz Media, Ninja Promo, Praxis Advertising, Momentum, M3.agency, Admoon</v>
      </c>
      <c r="I13" s="11">
        <f>IFERROR(__xludf.DUMMYFUNCTION("""COMPUTED_VALUE"""),17.0)</f>
        <v>17</v>
      </c>
      <c r="J13" s="11">
        <f>IFERROR(__xludf.DUMMYFUNCTION("""COMPUTED_VALUE"""),0.02)</f>
        <v>0.02</v>
      </c>
      <c r="K13" s="11">
        <f>IFERROR(__xludf.DUMMYFUNCTION("""COMPUTED_VALUE"""),0.94)</f>
        <v>0.94</v>
      </c>
    </row>
    <row r="14" ht="15.75" customHeight="1">
      <c r="A14" s="8" t="str">
        <f>IFERROR(__xludf.DUMMYFUNCTION("""COMPUTED_VALUE"""),"https://www.sortlist.com/l/united-arab-emirates-ae")</f>
        <v>https://www.sortlist.com/l/united-arab-emirates-ae</v>
      </c>
      <c r="B14" s="8" t="str">
        <f>IFERROR(__xludf.DUMMYFUNCTION("""COMPUTED_VALUE"""),"sortlist.com")</f>
        <v>sortlist.com</v>
      </c>
      <c r="C14" s="11" t="str">
        <f>IFERROR(__xludf.DUMMYFUNCTION("""COMPUTED_VALUE"""),"CATEGORY_PAGE")</f>
        <v>CATEGORY_PAGE</v>
      </c>
      <c r="D14" s="11" t="str">
        <f>IFERROR(__xludf.DUMMYFUNCTION("""COMPUTED_VALUE"""),"CORPORATE")</f>
        <v>CORPORATE</v>
      </c>
      <c r="E14" s="11" t="str">
        <f>IFERROR(__xludf.DUMMYFUNCTION("""COMPUTED_VALUE"""),"The 10 Best Marketing Agencies in the United Arab Emirates - 2026 Reviews")</f>
        <v>The 10 Best Marketing Agencies in the United Arab Emirates - 2026 Reviews</v>
      </c>
      <c r="F14" s="11" t="str">
        <f>IFERROR(__xludf.DUMMYFUNCTION("""COMPUTED_VALUE"""),"Category Page")</f>
        <v>Category Page</v>
      </c>
      <c r="G14" s="11" t="b">
        <f>IFERROR(__xludf.DUMMYFUNCTION("""COMPUTED_VALUE"""),FALSE)</f>
        <v>0</v>
      </c>
      <c r="H14" s="11" t="str">
        <f>IFERROR(__xludf.DUMMYFUNCTION("""COMPUTED_VALUE"""),"LUMINA, Praxis Advertising, AlCaz Media, Momentum, M3.agency, intouch, Ninja Promo")</f>
        <v>LUMINA, Praxis Advertising, AlCaz Media, Momentum, M3.agency, intouch, Ninja Promo</v>
      </c>
      <c r="I14" s="11">
        <f>IFERROR(__xludf.DUMMYFUNCTION("""COMPUTED_VALUE"""),16.0)</f>
        <v>16</v>
      </c>
      <c r="J14" s="11">
        <f>IFERROR(__xludf.DUMMYFUNCTION("""COMPUTED_VALUE"""),0.01)</f>
        <v>0.01</v>
      </c>
      <c r="K14" s="11">
        <f>IFERROR(__xludf.DUMMYFUNCTION("""COMPUTED_VALUE"""),2.38)</f>
        <v>2.38</v>
      </c>
    </row>
    <row r="15" ht="15.75" customHeight="1">
      <c r="A15" s="8" t="str">
        <f>IFERROR(__xludf.DUMMYFUNCTION("""COMPUTED_VALUE"""),"https://www.sortlist.com/social-media/dubai-ae")</f>
        <v>https://www.sortlist.com/social-media/dubai-ae</v>
      </c>
      <c r="B15" s="8" t="str">
        <f>IFERROR(__xludf.DUMMYFUNCTION("""COMPUTED_VALUE"""),"sortlist.com")</f>
        <v>sortlist.com</v>
      </c>
      <c r="C15" s="11" t="str">
        <f>IFERROR(__xludf.DUMMYFUNCTION("""COMPUTED_VALUE"""),"CATEGORY_PAGE")</f>
        <v>CATEGORY_PAGE</v>
      </c>
      <c r="D15" s="11" t="str">
        <f>IFERROR(__xludf.DUMMYFUNCTION("""COMPUTED_VALUE"""),"CORPORATE")</f>
        <v>CORPORATE</v>
      </c>
      <c r="E15" s="11" t="str">
        <f>IFERROR(__xludf.DUMMYFUNCTION("""COMPUTED_VALUE"""),"The 10 Best Social Media Marketing Agencies in Dubai - 2026 Reviews")</f>
        <v>The 10 Best Social Media Marketing Agencies in Dubai - 2026 Reviews</v>
      </c>
      <c r="F15" s="11" t="str">
        <f>IFERROR(__xludf.DUMMYFUNCTION("""COMPUTED_VALUE"""),"Category Page")</f>
        <v>Category Page</v>
      </c>
      <c r="G15" s="11" t="b">
        <f>IFERROR(__xludf.DUMMYFUNCTION("""COMPUTED_VALUE"""),FALSE)</f>
        <v>0</v>
      </c>
      <c r="H15" s="11" t="str">
        <f>IFERROR(__xludf.DUMMYFUNCTION("""COMPUTED_VALUE"""),"intouch, Praxis Advertising, Adapts Media, AlCaz Media, Ninja Promo")</f>
        <v>intouch, Praxis Advertising, Adapts Media, AlCaz Media, Ninja Promo</v>
      </c>
      <c r="I15" s="11">
        <f>IFERROR(__xludf.DUMMYFUNCTION("""COMPUTED_VALUE"""),16.0)</f>
        <v>16</v>
      </c>
      <c r="J15" s="11">
        <f>IFERROR(__xludf.DUMMYFUNCTION("""COMPUTED_VALUE"""),0.01)</f>
        <v>0.01</v>
      </c>
      <c r="K15" s="11">
        <f>IFERROR(__xludf.DUMMYFUNCTION("""COMPUTED_VALUE"""),0.19)</f>
        <v>0.19</v>
      </c>
    </row>
    <row r="16" ht="15.75" customHeight="1">
      <c r="A16" s="8" t="str">
        <f>IFERROR(__xludf.DUMMYFUNCTION("""COMPUTED_VALUE"""),"https://www.sortlist.com/advertising/united-arab-emirates-ae")</f>
        <v>https://www.sortlist.com/advertising/united-arab-emirates-ae</v>
      </c>
      <c r="B16" s="8" t="str">
        <f>IFERROR(__xludf.DUMMYFUNCTION("""COMPUTED_VALUE"""),"sortlist.com")</f>
        <v>sortlist.com</v>
      </c>
      <c r="C16" s="11" t="str">
        <f>IFERROR(__xludf.DUMMYFUNCTION("""COMPUTED_VALUE"""),"CATEGORY_PAGE")</f>
        <v>CATEGORY_PAGE</v>
      </c>
      <c r="D16" s="11" t="str">
        <f>IFERROR(__xludf.DUMMYFUNCTION("""COMPUTED_VALUE"""),"CORPORATE")</f>
        <v>CORPORATE</v>
      </c>
      <c r="E16" s="11" t="str">
        <f>IFERROR(__xludf.DUMMYFUNCTION("""COMPUTED_VALUE"""),"The 10 Best Advertising Agencies in the United Arab Emirates - 2026 Reviews")</f>
        <v>The 10 Best Advertising Agencies in the United Arab Emirates - 2026 Reviews</v>
      </c>
      <c r="F16" s="11" t="str">
        <f>IFERROR(__xludf.DUMMYFUNCTION("""COMPUTED_VALUE"""),"Category Page")</f>
        <v>Category Page</v>
      </c>
      <c r="G16" s="11" t="b">
        <f>IFERROR(__xludf.DUMMYFUNCTION("""COMPUTED_VALUE"""),FALSE)</f>
        <v>0</v>
      </c>
      <c r="H16" s="11" t="str">
        <f>IFERROR(__xludf.DUMMYFUNCTION("""COMPUTED_VALUE"""),"intouch, Praxis Advertising, AlCaz Media, Momentum, M3.agency, Ninja Promo")</f>
        <v>intouch, Praxis Advertising, AlCaz Media, Momentum, M3.agency, Ninja Promo</v>
      </c>
      <c r="I16" s="11">
        <f>IFERROR(__xludf.DUMMYFUNCTION("""COMPUTED_VALUE"""),14.0)</f>
        <v>14</v>
      </c>
      <c r="J16" s="11">
        <f>IFERROR(__xludf.DUMMYFUNCTION("""COMPUTED_VALUE"""),0.01)</f>
        <v>0.01</v>
      </c>
      <c r="K16" s="11">
        <f>IFERROR(__xludf.DUMMYFUNCTION("""COMPUTED_VALUE"""),2.29)</f>
        <v>2.29</v>
      </c>
    </row>
    <row r="17" ht="15.75" customHeight="1">
      <c r="A17" s="8" t="str">
        <f>IFERROR(__xludf.DUMMYFUNCTION("""COMPUTED_VALUE"""),"https://www.sortlist.com/s/creative/dubai-ae")</f>
        <v>https://www.sortlist.com/s/creative/dubai-ae</v>
      </c>
      <c r="B17" s="8" t="str">
        <f>IFERROR(__xludf.DUMMYFUNCTION("""COMPUTED_VALUE"""),"sortlist.com")</f>
        <v>sortlist.com</v>
      </c>
      <c r="C17" s="11" t="str">
        <f>IFERROR(__xludf.DUMMYFUNCTION("""COMPUTED_VALUE"""),"CATEGORY_PAGE")</f>
        <v>CATEGORY_PAGE</v>
      </c>
      <c r="D17" s="11" t="str">
        <f>IFERROR(__xludf.DUMMYFUNCTION("""COMPUTED_VALUE"""),"CORPORATE")</f>
        <v>CORPORATE</v>
      </c>
      <c r="E17" s="11" t="str">
        <f>IFERROR(__xludf.DUMMYFUNCTION("""COMPUTED_VALUE"""),"The 10 Best Creative Agencies in Dubai - 2026 Reviews")</f>
        <v>The 10 Best Creative Agencies in Dubai - 2026 Reviews</v>
      </c>
      <c r="F17" s="11" t="str">
        <f>IFERROR(__xludf.DUMMYFUNCTION("""COMPUTED_VALUE"""),"Category Page")</f>
        <v>Category Page</v>
      </c>
      <c r="G17" s="11" t="b">
        <f>IFERROR(__xludf.DUMMYFUNCTION("""COMPUTED_VALUE"""),FALSE)</f>
        <v>0</v>
      </c>
      <c r="H17" s="11" t="str">
        <f>IFERROR(__xludf.DUMMYFUNCTION("""COMPUTED_VALUE"""),"Ninja Promo, Praxis Advertising, Adapts Media, Push, ASTUDIO")</f>
        <v>Ninja Promo, Praxis Advertising, Adapts Media, Push, ASTUDIO</v>
      </c>
      <c r="I17" s="11">
        <f>IFERROR(__xludf.DUMMYFUNCTION("""COMPUTED_VALUE"""),14.0)</f>
        <v>14</v>
      </c>
      <c r="J17" s="11">
        <f>IFERROR(__xludf.DUMMYFUNCTION("""COMPUTED_VALUE"""),0.01)</f>
        <v>0.01</v>
      </c>
      <c r="K17" s="11">
        <f>IFERROR(__xludf.DUMMYFUNCTION("""COMPUTED_VALUE"""),0.14)</f>
        <v>0.14</v>
      </c>
    </row>
    <row r="18" ht="15.75" customHeight="1">
      <c r="A18" s="8" t="str">
        <f>IFERROR(__xludf.DUMMYFUNCTION("""COMPUTED_VALUE"""),"https://www.sortlist.com/l/dubai-ae")</f>
        <v>https://www.sortlist.com/l/dubai-ae</v>
      </c>
      <c r="B18" s="8" t="str">
        <f>IFERROR(__xludf.DUMMYFUNCTION("""COMPUTED_VALUE"""),"sortlist.com")</f>
        <v>sortlist.com</v>
      </c>
      <c r="C18" s="11" t="str">
        <f>IFERROR(__xludf.DUMMYFUNCTION("""COMPUTED_VALUE"""),"CATEGORY_PAGE")</f>
        <v>CATEGORY_PAGE</v>
      </c>
      <c r="D18" s="11" t="str">
        <f>IFERROR(__xludf.DUMMYFUNCTION("""COMPUTED_VALUE"""),"CORPORATE")</f>
        <v>CORPORATE</v>
      </c>
      <c r="E18" s="11" t="str">
        <f>IFERROR(__xludf.DUMMYFUNCTION("""COMPUTED_VALUE"""),"Sortlist")</f>
        <v>Sortlist</v>
      </c>
      <c r="F18" s="11" t="str">
        <f>IFERROR(__xludf.DUMMYFUNCTION("""COMPUTED_VALUE"""),"Category Page")</f>
        <v>Category Page</v>
      </c>
      <c r="G18" s="11" t="b">
        <f>IFERROR(__xludf.DUMMYFUNCTION("""COMPUTED_VALUE"""),FALSE)</f>
        <v>0</v>
      </c>
      <c r="H18" s="11" t="str">
        <f>IFERROR(__xludf.DUMMYFUNCTION("""COMPUTED_VALUE"""),"Solved6, AlCaz Media, Praxis Advertising, LUMINA, Momentum, M3.agency, Ninja Promo, intouch, Push")</f>
        <v>Solved6, AlCaz Media, Praxis Advertising, LUMINA, Momentum, M3.agency, Ninja Promo, intouch, Push</v>
      </c>
      <c r="I18" s="11">
        <f>IFERROR(__xludf.DUMMYFUNCTION("""COMPUTED_VALUE"""),12.0)</f>
        <v>12</v>
      </c>
      <c r="J18" s="11">
        <f>IFERROR(__xludf.DUMMYFUNCTION("""COMPUTED_VALUE"""),0.01)</f>
        <v>0.01</v>
      </c>
      <c r="K18" s="11">
        <f>IFERROR(__xludf.DUMMYFUNCTION("""COMPUTED_VALUE"""),0.67)</f>
        <v>0.67</v>
      </c>
    </row>
    <row r="19" ht="15.75" customHeight="1">
      <c r="A19" s="8" t="str">
        <f>IFERROR(__xludf.DUMMYFUNCTION("""COMPUTED_VALUE"""),"https://www.sortlist.com/s/ai-marketing/united-arab-emirates-ae")</f>
        <v>https://www.sortlist.com/s/ai-marketing/united-arab-emirates-ae</v>
      </c>
      <c r="B19" s="8" t="str">
        <f>IFERROR(__xludf.DUMMYFUNCTION("""COMPUTED_VALUE"""),"sortlist.com")</f>
        <v>sortlist.com</v>
      </c>
      <c r="C19" s="11" t="str">
        <f>IFERROR(__xludf.DUMMYFUNCTION("""COMPUTED_VALUE"""),"CATEGORY_PAGE")</f>
        <v>CATEGORY_PAGE</v>
      </c>
      <c r="D19" s="11" t="str">
        <f>IFERROR(__xludf.DUMMYFUNCTION("""COMPUTED_VALUE"""),"CORPORATE")</f>
        <v>CORPORATE</v>
      </c>
      <c r="E19" s="11" t="str">
        <f>IFERROR(__xludf.DUMMYFUNCTION("""COMPUTED_VALUE"""),"The 10 Best AI Marketing Companies in the United Arab Emirates - 2026 Reviews")</f>
        <v>The 10 Best AI Marketing Companies in the United Arab Emirates - 2026 Reviews</v>
      </c>
      <c r="F19" s="11" t="str">
        <f>IFERROR(__xludf.DUMMYFUNCTION("""COMPUTED_VALUE"""),"Category Page")</f>
        <v>Category Page</v>
      </c>
      <c r="G19" s="11" t="b">
        <f>IFERROR(__xludf.DUMMYFUNCTION("""COMPUTED_VALUE"""),FALSE)</f>
        <v>0</v>
      </c>
      <c r="H19" s="11" t="str">
        <f>IFERROR(__xludf.DUMMYFUNCTION("""COMPUTED_VALUE"""),"Praxis Advertising, Adapts Media, Digital Gravity")</f>
        <v>Praxis Advertising, Adapts Media, Digital Gravity</v>
      </c>
      <c r="I19" s="11">
        <f>IFERROR(__xludf.DUMMYFUNCTION("""COMPUTED_VALUE"""),11.0)</f>
        <v>11</v>
      </c>
      <c r="J19" s="11">
        <f>IFERROR(__xludf.DUMMYFUNCTION("""COMPUTED_VALUE"""),0.01)</f>
        <v>0.01</v>
      </c>
      <c r="K19" s="11">
        <f>IFERROR(__xludf.DUMMYFUNCTION("""COMPUTED_VALUE"""),0.36)</f>
        <v>0.36</v>
      </c>
    </row>
    <row r="20" ht="15.75" customHeight="1">
      <c r="A20" s="8" t="str">
        <f>IFERROR(__xludf.DUMMYFUNCTION("""COMPUTED_VALUE"""),"https://www.sortlist.com/s/marketing-analytics/dubai-ae?page=2")</f>
        <v>https://www.sortlist.com/s/marketing-analytics/dubai-ae?page=2</v>
      </c>
      <c r="B20" s="8" t="str">
        <f>IFERROR(__xludf.DUMMYFUNCTION("""COMPUTED_VALUE"""),"sortlist.com")</f>
        <v>sortlist.com</v>
      </c>
      <c r="C20" s="11" t="str">
        <f>IFERROR(__xludf.DUMMYFUNCTION("""COMPUTED_VALUE"""),"CATEGORY_PAGE")</f>
        <v>CATEGORY_PAGE</v>
      </c>
      <c r="D20" s="11" t="str">
        <f>IFERROR(__xludf.DUMMYFUNCTION("""COMPUTED_VALUE"""),"CORPORATE")</f>
        <v>CORPORATE</v>
      </c>
      <c r="E20" s="11" t="str">
        <f>IFERROR(__xludf.DUMMYFUNCTION("""COMPUTED_VALUE"""),"The 10 Best Marketing Analytics Companies in Dubai - 2026 Reviews – Page 2")</f>
        <v>The 10 Best Marketing Analytics Companies in Dubai - 2026 Reviews – Page 2</v>
      </c>
      <c r="F20" s="11" t="str">
        <f>IFERROR(__xludf.DUMMYFUNCTION("""COMPUTED_VALUE"""),"Category Page")</f>
        <v>Category Page</v>
      </c>
      <c r="G20" s="11" t="b">
        <f>IFERROR(__xludf.DUMMYFUNCTION("""COMPUTED_VALUE"""),FALSE)</f>
        <v>0</v>
      </c>
      <c r="H20" s="11" t="str">
        <f>IFERROR(__xludf.DUMMYFUNCTION("""COMPUTED_VALUE"""),"Adapts Media, Hovi Digital Lab, ASTUDIO, Huge, Dot IT, Push, Measured, Web Tonic")</f>
        <v>Adapts Media, Hovi Digital Lab, ASTUDIO, Huge, Dot IT, Push, Measured, Web Tonic</v>
      </c>
      <c r="I20" s="11">
        <f>IFERROR(__xludf.DUMMYFUNCTION("""COMPUTED_VALUE"""),10.0)</f>
        <v>10</v>
      </c>
      <c r="J20" s="11">
        <f>IFERROR(__xludf.DUMMYFUNCTION("""COMPUTED_VALUE"""),0.01)</f>
        <v>0.01</v>
      </c>
      <c r="K20" s="11">
        <f>IFERROR(__xludf.DUMMYFUNCTION("""COMPUTED_VALUE"""),0.0)</f>
        <v>0</v>
      </c>
    </row>
    <row r="21" ht="15.75" customHeight="1">
      <c r="A21" s="8" t="str">
        <f>IFERROR(__xludf.DUMMYFUNCTION("""COMPUTED_VALUE"""),"https://www.sortlist.com/s/paid-media/united-arab-emirates-ae?page=2")</f>
        <v>https://www.sortlist.com/s/paid-media/united-arab-emirates-ae?page=2</v>
      </c>
      <c r="B21" s="8" t="str">
        <f>IFERROR(__xludf.DUMMYFUNCTION("""COMPUTED_VALUE"""),"sortlist.com")</f>
        <v>sortlist.com</v>
      </c>
      <c r="C21" s="11" t="str">
        <f>IFERROR(__xludf.DUMMYFUNCTION("""COMPUTED_VALUE"""),"CATEGORY_PAGE")</f>
        <v>CATEGORY_PAGE</v>
      </c>
      <c r="D21" s="11" t="str">
        <f>IFERROR(__xludf.DUMMYFUNCTION("""COMPUTED_VALUE"""),"CORPORATE")</f>
        <v>CORPORATE</v>
      </c>
      <c r="E21" s="11" t="str">
        <f>IFERROR(__xludf.DUMMYFUNCTION("""COMPUTED_VALUE"""),"The 10 Best Paid Media Agencies in the United Arab Emirates - 2026 Reviews – Page 2")</f>
        <v>The 10 Best Paid Media Agencies in the United Arab Emirates - 2026 Reviews – Page 2</v>
      </c>
      <c r="F21" s="11" t="str">
        <f>IFERROR(__xludf.DUMMYFUNCTION("""COMPUTED_VALUE"""),"Category Page")</f>
        <v>Category Page</v>
      </c>
      <c r="G21" s="11" t="b">
        <f>IFERROR(__xludf.DUMMYFUNCTION("""COMPUTED_VALUE"""),FALSE)</f>
        <v>0</v>
      </c>
      <c r="H21" s="11" t="str">
        <f>IFERROR(__xludf.DUMMYFUNCTION("""COMPUTED_VALUE"""),"Ninja Promo, ENH Marketing, Pixoo Media, Bird Marketing, Growth Hackers, Solved6, Push, Dot IT, ASTUDIO, Huge, Hovi Digital Lab, Web Tonic")</f>
        <v>Ninja Promo, ENH Marketing, Pixoo Media, Bird Marketing, Growth Hackers, Solved6, Push, Dot IT, ASTUDIO, Huge, Hovi Digital Lab, Web Tonic</v>
      </c>
      <c r="I21" s="11">
        <f>IFERROR(__xludf.DUMMYFUNCTION("""COMPUTED_VALUE"""),9.0)</f>
        <v>9</v>
      </c>
      <c r="J21" s="11">
        <f>IFERROR(__xludf.DUMMYFUNCTION("""COMPUTED_VALUE"""),0.01)</f>
        <v>0.01</v>
      </c>
      <c r="K21" s="11">
        <f>IFERROR(__xludf.DUMMYFUNCTION("""COMPUTED_VALUE"""),0.0)</f>
        <v>0</v>
      </c>
    </row>
    <row r="22" ht="15.75" customHeight="1">
      <c r="A22" s="8" t="str">
        <f>IFERROR(__xludf.DUMMYFUNCTION("""COMPUTED_VALUE"""),"https://www.sortlist.com/digital-marketing/dubai-ae")</f>
        <v>https://www.sortlist.com/digital-marketing/dubai-ae</v>
      </c>
      <c r="B22" s="8" t="str">
        <f>IFERROR(__xludf.DUMMYFUNCTION("""COMPUTED_VALUE"""),"sortlist.com")</f>
        <v>sortlist.com</v>
      </c>
      <c r="C22" s="11" t="str">
        <f>IFERROR(__xludf.DUMMYFUNCTION("""COMPUTED_VALUE"""),"CATEGORY_PAGE")</f>
        <v>CATEGORY_PAGE</v>
      </c>
      <c r="D22" s="11" t="str">
        <f>IFERROR(__xludf.DUMMYFUNCTION("""COMPUTED_VALUE"""),"CORPORATE")</f>
        <v>CORPORATE</v>
      </c>
      <c r="E22" s="11" t="str">
        <f>IFERROR(__xludf.DUMMYFUNCTION("""COMPUTED_VALUE"""),"The 100+ Best Digital Marketing Agencies in Dubai - 2026 Reviews")</f>
        <v>The 100+ Best Digital Marketing Agencies in Dubai - 2026 Reviews</v>
      </c>
      <c r="F22" s="11" t="str">
        <f>IFERROR(__xludf.DUMMYFUNCTION("""COMPUTED_VALUE"""),"Category Page")</f>
        <v>Category Page</v>
      </c>
      <c r="G22" s="11" t="b">
        <f>IFERROR(__xludf.DUMMYFUNCTION("""COMPUTED_VALUE"""),FALSE)</f>
        <v>0</v>
      </c>
      <c r="H22" s="11" t="str">
        <f>IFERROR(__xludf.DUMMYFUNCTION("""COMPUTED_VALUE"""),"intouch, Praxis Advertising, AlCaz Media, LUMINA, Momentum, M3.agency")</f>
        <v>intouch, Praxis Advertising, AlCaz Media, LUMINA, Momentum, M3.agency</v>
      </c>
      <c r="I22" s="11">
        <f>IFERROR(__xludf.DUMMYFUNCTION("""COMPUTED_VALUE"""),8.0)</f>
        <v>8</v>
      </c>
      <c r="J22" s="11">
        <f>IFERROR(__xludf.DUMMYFUNCTION("""COMPUTED_VALUE"""),0.01)</f>
        <v>0.01</v>
      </c>
      <c r="K22" s="11">
        <f>IFERROR(__xludf.DUMMYFUNCTION("""COMPUTED_VALUE"""),0.75)</f>
        <v>0.75</v>
      </c>
    </row>
    <row r="23" ht="15.75" customHeight="1">
      <c r="A23" s="8" t="str">
        <f>IFERROR(__xludf.DUMMYFUNCTION("""COMPUTED_VALUE"""),"https://www.sortlist.com/s/billboard-advertising/united-arab-emirates-ae")</f>
        <v>https://www.sortlist.com/s/billboard-advertising/united-arab-emirates-ae</v>
      </c>
      <c r="B23" s="8" t="str">
        <f>IFERROR(__xludf.DUMMYFUNCTION("""COMPUTED_VALUE"""),"sortlist.com")</f>
        <v>sortlist.com</v>
      </c>
      <c r="C23" s="11" t="str">
        <f>IFERROR(__xludf.DUMMYFUNCTION("""COMPUTED_VALUE"""),"CATEGORY_PAGE")</f>
        <v>CATEGORY_PAGE</v>
      </c>
      <c r="D23" s="11" t="str">
        <f>IFERROR(__xludf.DUMMYFUNCTION("""COMPUTED_VALUE"""),"CORPORATE")</f>
        <v>CORPORATE</v>
      </c>
      <c r="E23" s="11" t="str">
        <f>IFERROR(__xludf.DUMMYFUNCTION("""COMPUTED_VALUE"""),"The 10 Best Billboard Advertising Companies in the United Arab Emirates - 2026 Reviews")</f>
        <v>The 10 Best Billboard Advertising Companies in the United Arab Emirates - 2026 Reviews</v>
      </c>
      <c r="F23" s="11" t="str">
        <f>IFERROR(__xludf.DUMMYFUNCTION("""COMPUTED_VALUE"""),"Category Page")</f>
        <v>Category Page</v>
      </c>
      <c r="G23" s="11" t="b">
        <f>IFERROR(__xludf.DUMMYFUNCTION("""COMPUTED_VALUE"""),FALSE)</f>
        <v>0</v>
      </c>
      <c r="H23" s="11" t="str">
        <f>IFERROR(__xludf.DUMMYFUNCTION("""COMPUTED_VALUE"""),"Praxis Advertising, Adapts Media, Huge, EDS FZCO, Measured")</f>
        <v>Praxis Advertising, Adapts Media, Huge, EDS FZCO, Measured</v>
      </c>
      <c r="I23" s="11">
        <f>IFERROR(__xludf.DUMMYFUNCTION("""COMPUTED_VALUE"""),7.0)</f>
        <v>7</v>
      </c>
      <c r="J23" s="11">
        <f>IFERROR(__xludf.DUMMYFUNCTION("""COMPUTED_VALUE"""),0.01)</f>
        <v>0.01</v>
      </c>
      <c r="K23" s="11">
        <f>IFERROR(__xludf.DUMMYFUNCTION("""COMPUTED_VALUE"""),0.0)</f>
        <v>0</v>
      </c>
    </row>
    <row r="24" ht="15.75" customHeight="1">
      <c r="A24" s="8" t="str">
        <f>IFERROR(__xludf.DUMMYFUNCTION("""COMPUTED_VALUE"""),"https://www.sortlist.com/s/display-advertising/dubai-ae?page=2")</f>
        <v>https://www.sortlist.com/s/display-advertising/dubai-ae?page=2</v>
      </c>
      <c r="B24" s="8" t="str">
        <f>IFERROR(__xludf.DUMMYFUNCTION("""COMPUTED_VALUE"""),"sortlist.com")</f>
        <v>sortlist.com</v>
      </c>
      <c r="C24" s="11" t="str">
        <f>IFERROR(__xludf.DUMMYFUNCTION("""COMPUTED_VALUE"""),"CATEGORY_PAGE")</f>
        <v>CATEGORY_PAGE</v>
      </c>
      <c r="D24" s="11" t="str">
        <f>IFERROR(__xludf.DUMMYFUNCTION("""COMPUTED_VALUE"""),"CORPORATE")</f>
        <v>CORPORATE</v>
      </c>
      <c r="E24" s="11" t="str">
        <f>IFERROR(__xludf.DUMMYFUNCTION("""COMPUTED_VALUE"""),"The 10 Best Display Advertising Agencies in Dubai - 2026 Reviews – Page 2")</f>
        <v>The 10 Best Display Advertising Agencies in Dubai - 2026 Reviews – Page 2</v>
      </c>
      <c r="F24" s="11" t="str">
        <f>IFERROR(__xludf.DUMMYFUNCTION("""COMPUTED_VALUE"""),"Category Page")</f>
        <v>Category Page</v>
      </c>
      <c r="G24" s="11" t="b">
        <f>IFERROR(__xludf.DUMMYFUNCTION("""COMPUTED_VALUE"""),FALSE)</f>
        <v>0</v>
      </c>
      <c r="H24" s="11" t="str">
        <f>IFERROR(__xludf.DUMMYFUNCTION("""COMPUTED_VALUE"""),"ENH Marketing, Adapts Media, Pixoo Media, Bird Marketing, ASTUDIO, Huge, Dot IT, Hovi Digital Lab, Web Tonic, BIG LAB")</f>
        <v>ENH Marketing, Adapts Media, Pixoo Media, Bird Marketing, ASTUDIO, Huge, Dot IT, Hovi Digital Lab, Web Tonic, BIG LAB</v>
      </c>
      <c r="I24" s="11">
        <f>IFERROR(__xludf.DUMMYFUNCTION("""COMPUTED_VALUE"""),7.0)</f>
        <v>7</v>
      </c>
      <c r="J24" s="11">
        <f>IFERROR(__xludf.DUMMYFUNCTION("""COMPUTED_VALUE"""),0.01)</f>
        <v>0.01</v>
      </c>
      <c r="K24" s="11">
        <f>IFERROR(__xludf.DUMMYFUNCTION("""COMPUTED_VALUE"""),0.0)</f>
        <v>0</v>
      </c>
    </row>
    <row r="25" ht="15.75" customHeight="1">
      <c r="A25" s="8" t="str">
        <f>IFERROR(__xludf.DUMMYFUNCTION("""COMPUTED_VALUE"""),"https://www.sortlist.com/s/artificial-intelligence/united-arab-emirates-ae")</f>
        <v>https://www.sortlist.com/s/artificial-intelligence/united-arab-emirates-ae</v>
      </c>
      <c r="B25" s="8" t="str">
        <f>IFERROR(__xludf.DUMMYFUNCTION("""COMPUTED_VALUE"""),"sortlist.com")</f>
        <v>sortlist.com</v>
      </c>
      <c r="C25" s="11" t="str">
        <f>IFERROR(__xludf.DUMMYFUNCTION("""COMPUTED_VALUE"""),"CATEGORY_PAGE")</f>
        <v>CATEGORY_PAGE</v>
      </c>
      <c r="D25" s="11" t="str">
        <f>IFERROR(__xludf.DUMMYFUNCTION("""COMPUTED_VALUE"""),"CORPORATE")</f>
        <v>CORPORATE</v>
      </c>
      <c r="E25" s="11" t="str">
        <f>IFERROR(__xludf.DUMMYFUNCTION("""COMPUTED_VALUE"""),"The 10 Best Artificial Intelligence Agencies in the United Arab Emirates - 2026 Reviews")</f>
        <v>The 10 Best Artificial Intelligence Agencies in the United Arab Emirates - 2026 Reviews</v>
      </c>
      <c r="F25" s="11" t="str">
        <f>IFERROR(__xludf.DUMMYFUNCTION("""COMPUTED_VALUE"""),"Category Page")</f>
        <v>Category Page</v>
      </c>
      <c r="G25" s="11" t="b">
        <f>IFERROR(__xludf.DUMMYFUNCTION("""COMPUTED_VALUE"""),FALSE)</f>
        <v>0</v>
      </c>
      <c r="H25" s="11" t="str">
        <f>IFERROR(__xludf.DUMMYFUNCTION("""COMPUTED_VALUE"""),"Growth Hackers")</f>
        <v>Growth Hackers</v>
      </c>
      <c r="I25" s="11">
        <f>IFERROR(__xludf.DUMMYFUNCTION("""COMPUTED_VALUE"""),6.0)</f>
        <v>6</v>
      </c>
      <c r="J25" s="11">
        <f>IFERROR(__xludf.DUMMYFUNCTION("""COMPUTED_VALUE"""),0.01)</f>
        <v>0.01</v>
      </c>
      <c r="K25" s="11">
        <f>IFERROR(__xludf.DUMMYFUNCTION("""COMPUTED_VALUE"""),0.17)</f>
        <v>0.17</v>
      </c>
    </row>
    <row r="26" ht="15.75" customHeight="1">
      <c r="A26" s="8" t="str">
        <f>IFERROR(__xludf.DUMMYFUNCTION("""COMPUTED_VALUE"""),"https://www.sortlist.com/branding/dubai-ae")</f>
        <v>https://www.sortlist.com/branding/dubai-ae</v>
      </c>
      <c r="B26" s="8" t="str">
        <f>IFERROR(__xludf.DUMMYFUNCTION("""COMPUTED_VALUE"""),"sortlist.com")</f>
        <v>sortlist.com</v>
      </c>
      <c r="C26" s="11" t="str">
        <f>IFERROR(__xludf.DUMMYFUNCTION("""COMPUTED_VALUE"""),"CATEGORY_PAGE")</f>
        <v>CATEGORY_PAGE</v>
      </c>
      <c r="D26" s="11" t="str">
        <f>IFERROR(__xludf.DUMMYFUNCTION("""COMPUTED_VALUE"""),"CORPORATE")</f>
        <v>CORPORATE</v>
      </c>
      <c r="E26" s="11" t="str">
        <f>IFERROR(__xludf.DUMMYFUNCTION("""COMPUTED_VALUE"""),"Top 17 Branding Agencies in Dubai – 2026 Reviews &amp;amp; Pricing")</f>
        <v>Top 17 Branding Agencies in Dubai – 2026 Reviews &amp;amp; Pricing</v>
      </c>
      <c r="F26" s="11" t="str">
        <f>IFERROR(__xludf.DUMMYFUNCTION("""COMPUTED_VALUE"""),"Category Page")</f>
        <v>Category Page</v>
      </c>
      <c r="G26" s="11" t="b">
        <f>IFERROR(__xludf.DUMMYFUNCTION("""COMPUTED_VALUE"""),FALSE)</f>
        <v>0</v>
      </c>
      <c r="H26" s="11" t="str">
        <f>IFERROR(__xludf.DUMMYFUNCTION("""COMPUTED_VALUE"""),"intouch, Praxis Advertising, Momentum, M3.agency, Ninja Promo, Nielsen")</f>
        <v>intouch, Praxis Advertising, Momentum, M3.agency, Ninja Promo, Nielsen</v>
      </c>
      <c r="I26" s="11">
        <f>IFERROR(__xludf.DUMMYFUNCTION("""COMPUTED_VALUE"""),5.0)</f>
        <v>5</v>
      </c>
      <c r="J26" s="11">
        <f>IFERROR(__xludf.DUMMYFUNCTION("""COMPUTED_VALUE"""),0.0)</f>
        <v>0</v>
      </c>
      <c r="K26" s="11">
        <f>IFERROR(__xludf.DUMMYFUNCTION("""COMPUTED_VALUE"""),0.2)</f>
        <v>0.2</v>
      </c>
    </row>
    <row r="27" ht="15.75" customHeight="1">
      <c r="A27" s="8" t="str">
        <f>IFERROR(__xludf.DUMMYFUNCTION("""COMPUTED_VALUE"""),"https://www.sortlist.com/s/brand-advertising/united-arab-emirates-ae")</f>
        <v>https://www.sortlist.com/s/brand-advertising/united-arab-emirates-ae</v>
      </c>
      <c r="B27" s="8" t="str">
        <f>IFERROR(__xludf.DUMMYFUNCTION("""COMPUTED_VALUE"""),"sortlist.com")</f>
        <v>sortlist.com</v>
      </c>
      <c r="C27" s="11" t="str">
        <f>IFERROR(__xludf.DUMMYFUNCTION("""COMPUTED_VALUE"""),"CATEGORY_PAGE")</f>
        <v>CATEGORY_PAGE</v>
      </c>
      <c r="D27" s="11" t="str">
        <f>IFERROR(__xludf.DUMMYFUNCTION("""COMPUTED_VALUE"""),"CORPORATE")</f>
        <v>CORPORATE</v>
      </c>
      <c r="E27" s="11" t="str">
        <f>IFERROR(__xludf.DUMMYFUNCTION("""COMPUTED_VALUE"""),"The 10 Best Brand Advertising Agencies in the United Arab Emirates - 2026 Reviews")</f>
        <v>The 10 Best Brand Advertising Agencies in the United Arab Emirates - 2026 Reviews</v>
      </c>
      <c r="F27" s="11" t="str">
        <f>IFERROR(__xludf.DUMMYFUNCTION("""COMPUTED_VALUE"""),"Category Page")</f>
        <v>Category Page</v>
      </c>
      <c r="G27" s="11" t="b">
        <f>IFERROR(__xludf.DUMMYFUNCTION("""COMPUTED_VALUE"""),FALSE)</f>
        <v>0</v>
      </c>
      <c r="H27" s="11" t="str">
        <f>IFERROR(__xludf.DUMMYFUNCTION("""COMPUTED_VALUE"""),"Praxis Advertising, Ninja Promo, Pixoo Media, Push")</f>
        <v>Praxis Advertising, Ninja Promo, Pixoo Media, Push</v>
      </c>
      <c r="I27" s="11">
        <f>IFERROR(__xludf.DUMMYFUNCTION("""COMPUTED_VALUE"""),5.0)</f>
        <v>5</v>
      </c>
      <c r="J27" s="11">
        <f>IFERROR(__xludf.DUMMYFUNCTION("""COMPUTED_VALUE"""),0.0)</f>
        <v>0</v>
      </c>
      <c r="K27" s="11">
        <f>IFERROR(__xludf.DUMMYFUNCTION("""COMPUTED_VALUE"""),0.0)</f>
        <v>0</v>
      </c>
    </row>
    <row r="28" ht="15.75" customHeight="1">
      <c r="A28" s="8" t="str">
        <f>IFERROR(__xludf.DUMMYFUNCTION("""COMPUTED_VALUE"""),"https://www.sortlist.com/s/display-advertising/sharjah-ae")</f>
        <v>https://www.sortlist.com/s/display-advertising/sharjah-ae</v>
      </c>
      <c r="B28" s="8" t="str">
        <f>IFERROR(__xludf.DUMMYFUNCTION("""COMPUTED_VALUE"""),"sortlist.com")</f>
        <v>sortlist.com</v>
      </c>
      <c r="C28" s="11" t="str">
        <f>IFERROR(__xludf.DUMMYFUNCTION("""COMPUTED_VALUE"""),"CATEGORY_PAGE")</f>
        <v>CATEGORY_PAGE</v>
      </c>
      <c r="D28" s="11" t="str">
        <f>IFERROR(__xludf.DUMMYFUNCTION("""COMPUTED_VALUE"""),"CORPORATE")</f>
        <v>CORPORATE</v>
      </c>
      <c r="E28" s="11" t="str">
        <f>IFERROR(__xludf.DUMMYFUNCTION("""COMPUTED_VALUE"""),"The 10 Best Display Advertising Agencies in Sharjah - 2026 Reviews")</f>
        <v>The 10 Best Display Advertising Agencies in Sharjah - 2026 Reviews</v>
      </c>
      <c r="F28" s="11" t="str">
        <f>IFERROR(__xludf.DUMMYFUNCTION("""COMPUTED_VALUE"""),"Category Page")</f>
        <v>Category Page</v>
      </c>
      <c r="G28" s="11" t="b">
        <f>IFERROR(__xludf.DUMMYFUNCTION("""COMPUTED_VALUE"""),FALSE)</f>
        <v>0</v>
      </c>
      <c r="H28" s="11" t="str">
        <f>IFERROR(__xludf.DUMMYFUNCTION("""COMPUTED_VALUE"""),"AlCaz Media, intouch, Praxis Advertising, Ninja Promo, Momentum, M3.agency, Growth Hackers")</f>
        <v>AlCaz Media, intouch, Praxis Advertising, Ninja Promo, Momentum, M3.agency, Growth Hackers</v>
      </c>
      <c r="I28" s="11">
        <f>IFERROR(__xludf.DUMMYFUNCTION("""COMPUTED_VALUE"""),5.0)</f>
        <v>5</v>
      </c>
      <c r="J28" s="11">
        <f>IFERROR(__xludf.DUMMYFUNCTION("""COMPUTED_VALUE"""),0.0)</f>
        <v>0</v>
      </c>
      <c r="K28" s="11">
        <f>IFERROR(__xludf.DUMMYFUNCTION("""COMPUTED_VALUE"""),0.0)</f>
        <v>0</v>
      </c>
    </row>
    <row r="29" ht="15.75" customHeight="1">
      <c r="A29" s="8" t="str">
        <f>IFERROR(__xludf.DUMMYFUNCTION("""COMPUTED_VALUE"""),"https://www.sortlist.com/s/media-buying/united-arab-emirates-ae")</f>
        <v>https://www.sortlist.com/s/media-buying/united-arab-emirates-ae</v>
      </c>
      <c r="B29" s="8" t="str">
        <f>IFERROR(__xludf.DUMMYFUNCTION("""COMPUTED_VALUE"""),"sortlist.com")</f>
        <v>sortlist.com</v>
      </c>
      <c r="C29" s="11" t="str">
        <f>IFERROR(__xludf.DUMMYFUNCTION("""COMPUTED_VALUE"""),"CATEGORY_PAGE")</f>
        <v>CATEGORY_PAGE</v>
      </c>
      <c r="D29" s="11" t="str">
        <f>IFERROR(__xludf.DUMMYFUNCTION("""COMPUTED_VALUE"""),"CORPORATE")</f>
        <v>CORPORATE</v>
      </c>
      <c r="E29" s="11" t="str">
        <f>IFERROR(__xludf.DUMMYFUNCTION("""COMPUTED_VALUE"""),"The 10 Best Media Buying Agencies in the United Arab Emirates - 2026 Reviews")</f>
        <v>The 10 Best Media Buying Agencies in the United Arab Emirates - 2026 Reviews</v>
      </c>
      <c r="F29" s="11" t="str">
        <f>IFERROR(__xludf.DUMMYFUNCTION("""COMPUTED_VALUE"""),"Category Page")</f>
        <v>Category Page</v>
      </c>
      <c r="G29" s="11" t="b">
        <f>IFERROR(__xludf.DUMMYFUNCTION("""COMPUTED_VALUE"""),FALSE)</f>
        <v>0</v>
      </c>
      <c r="H29" s="11" t="str">
        <f>IFERROR(__xludf.DUMMYFUNCTION("""COMPUTED_VALUE"""),"intouch, AlCaz Media, Momentum, M3.agency, Praxis Advertising, Growth Hackers, Ninja Promo, Pixoo Media, Adapts Media")</f>
        <v>intouch, AlCaz Media, Momentum, M3.agency, Praxis Advertising, Growth Hackers, Ninja Promo, Pixoo Media, Adapts Media</v>
      </c>
      <c r="I29" s="11">
        <f>IFERROR(__xludf.DUMMYFUNCTION("""COMPUTED_VALUE"""),5.0)</f>
        <v>5</v>
      </c>
      <c r="J29" s="11">
        <f>IFERROR(__xludf.DUMMYFUNCTION("""COMPUTED_VALUE"""),0.0)</f>
        <v>0</v>
      </c>
      <c r="K29" s="11">
        <f>IFERROR(__xludf.DUMMYFUNCTION("""COMPUTED_VALUE"""),0.4)</f>
        <v>0.4</v>
      </c>
    </row>
    <row r="30" ht="15.75" customHeight="1">
      <c r="A30" s="8" t="str">
        <f>IFERROR(__xludf.DUMMYFUNCTION("""COMPUTED_VALUE"""),"https://www.sortlist.com/s/paid-media/abu-dhabi-ae")</f>
        <v>https://www.sortlist.com/s/paid-media/abu-dhabi-ae</v>
      </c>
      <c r="B30" s="8" t="str">
        <f>IFERROR(__xludf.DUMMYFUNCTION("""COMPUTED_VALUE"""),"sortlist.com")</f>
        <v>sortlist.com</v>
      </c>
      <c r="C30" s="11" t="str">
        <f>IFERROR(__xludf.DUMMYFUNCTION("""COMPUTED_VALUE"""),"CATEGORY_PAGE")</f>
        <v>CATEGORY_PAGE</v>
      </c>
      <c r="D30" s="11" t="str">
        <f>IFERROR(__xludf.DUMMYFUNCTION("""COMPUTED_VALUE"""),"CORPORATE")</f>
        <v>CORPORATE</v>
      </c>
      <c r="E30" s="11" t="str">
        <f>IFERROR(__xludf.DUMMYFUNCTION("""COMPUTED_VALUE"""),"The 10 Best Paid Media Agencies in Abu Dhabi - 2026 Reviews")</f>
        <v>The 10 Best Paid Media Agencies in Abu Dhabi - 2026 Reviews</v>
      </c>
      <c r="F30" s="11" t="str">
        <f>IFERROR(__xludf.DUMMYFUNCTION("""COMPUTED_VALUE"""),"Category Page")</f>
        <v>Category Page</v>
      </c>
      <c r="G30" s="11" t="b">
        <f>IFERROR(__xludf.DUMMYFUNCTION("""COMPUTED_VALUE"""),FALSE)</f>
        <v>0</v>
      </c>
      <c r="H30" s="11" t="str">
        <f>IFERROR(__xludf.DUMMYFUNCTION("""COMPUTED_VALUE"""),"Bird Marketing, Push, Pixoo Media, LUMINA, Praxis Advertising, intouch, Ninja Promo, Momentum, M3.agency")</f>
        <v>Bird Marketing, Push, Pixoo Media, LUMINA, Praxis Advertising, intouch, Ninja Promo, Momentum, M3.agency</v>
      </c>
      <c r="I30" s="11">
        <f>IFERROR(__xludf.DUMMYFUNCTION("""COMPUTED_VALUE"""),5.0)</f>
        <v>5</v>
      </c>
      <c r="J30" s="11">
        <f>IFERROR(__xludf.DUMMYFUNCTION("""COMPUTED_VALUE"""),0.0)</f>
        <v>0</v>
      </c>
      <c r="K30" s="11">
        <f>IFERROR(__xludf.DUMMYFUNCTION("""COMPUTED_VALUE"""),0.0)</f>
        <v>0</v>
      </c>
    </row>
    <row r="31" ht="15.75" customHeight="1">
      <c r="A31" s="8" t="str">
        <f>IFERROR(__xludf.DUMMYFUNCTION("""COMPUTED_VALUE"""),"https://www.sortlist.com/s/creative/united-arab-emirates-ae")</f>
        <v>https://www.sortlist.com/s/creative/united-arab-emirates-ae</v>
      </c>
      <c r="B31" s="8" t="str">
        <f>IFERROR(__xludf.DUMMYFUNCTION("""COMPUTED_VALUE"""),"sortlist.com")</f>
        <v>sortlist.com</v>
      </c>
      <c r="C31" s="11" t="str">
        <f>IFERROR(__xludf.DUMMYFUNCTION("""COMPUTED_VALUE"""),"CATEGORY_PAGE")</f>
        <v>CATEGORY_PAGE</v>
      </c>
      <c r="D31" s="11" t="str">
        <f>IFERROR(__xludf.DUMMYFUNCTION("""COMPUTED_VALUE"""),"CORPORATE")</f>
        <v>CORPORATE</v>
      </c>
      <c r="E31" s="11" t="str">
        <f>IFERROR(__xludf.DUMMYFUNCTION("""COMPUTED_VALUE"""),"The 10 Best Creative Agencies in the United Arab Emirates - 2026 Reviews")</f>
        <v>The 10 Best Creative Agencies in the United Arab Emirates - 2026 Reviews</v>
      </c>
      <c r="F31" s="11" t="str">
        <f>IFERROR(__xludf.DUMMYFUNCTION("""COMPUTED_VALUE"""),"Category Page")</f>
        <v>Category Page</v>
      </c>
      <c r="G31" s="11" t="b">
        <f>IFERROR(__xludf.DUMMYFUNCTION("""COMPUTED_VALUE"""),FALSE)</f>
        <v>0</v>
      </c>
      <c r="H31" s="11" t="str">
        <f>IFERROR(__xludf.DUMMYFUNCTION("""COMPUTED_VALUE"""),"Ninja Promo, Praxis Advertising, Adapts Media")</f>
        <v>Ninja Promo, Praxis Advertising, Adapts Media</v>
      </c>
      <c r="I31" s="11">
        <f>IFERROR(__xludf.DUMMYFUNCTION("""COMPUTED_VALUE"""),4.0)</f>
        <v>4</v>
      </c>
      <c r="J31" s="11">
        <f>IFERROR(__xludf.DUMMYFUNCTION("""COMPUTED_VALUE"""),0.0)</f>
        <v>0</v>
      </c>
      <c r="K31" s="11">
        <f>IFERROR(__xludf.DUMMYFUNCTION("""COMPUTED_VALUE"""),0.0)</f>
        <v>0</v>
      </c>
    </row>
    <row r="32" ht="15.75" customHeight="1">
      <c r="A32" s="8" t="str">
        <f>IFERROR(__xludf.DUMMYFUNCTION("""COMPUTED_VALUE"""),"https://www.sortlist.com/s/data-driven-marketing/dubai-ae")</f>
        <v>https://www.sortlist.com/s/data-driven-marketing/dubai-ae</v>
      </c>
      <c r="B32" s="8" t="str">
        <f>IFERROR(__xludf.DUMMYFUNCTION("""COMPUTED_VALUE"""),"sortlist.com")</f>
        <v>sortlist.com</v>
      </c>
      <c r="C32" s="11" t="str">
        <f>IFERROR(__xludf.DUMMYFUNCTION("""COMPUTED_VALUE"""),"CATEGORY_PAGE")</f>
        <v>CATEGORY_PAGE</v>
      </c>
      <c r="D32" s="11" t="str">
        <f>IFERROR(__xludf.DUMMYFUNCTION("""COMPUTED_VALUE"""),"CORPORATE")</f>
        <v>CORPORATE</v>
      </c>
      <c r="E32" s="11" t="str">
        <f>IFERROR(__xludf.DUMMYFUNCTION("""COMPUTED_VALUE"""),"The 10 Best Data Driven Marketing Agencies in Dubai - 2026 Reviews")</f>
        <v>The 10 Best Data Driven Marketing Agencies in Dubai - 2026 Reviews</v>
      </c>
      <c r="F32" s="11" t="str">
        <f>IFERROR(__xludf.DUMMYFUNCTION("""COMPUTED_VALUE"""),"Category Page")</f>
        <v>Category Page</v>
      </c>
      <c r="G32" s="11" t="b">
        <f>IFERROR(__xludf.DUMMYFUNCTION("""COMPUTED_VALUE"""),FALSE)</f>
        <v>0</v>
      </c>
      <c r="H32" s="11" t="str">
        <f>IFERROR(__xludf.DUMMYFUNCTION("""COMPUTED_VALUE"""),"Momentum, M3.agency, Ninja Promo, intouch, Bird Marketing, Adapts Media")</f>
        <v>Momentum, M3.agency, Ninja Promo, intouch, Bird Marketing, Adapts Media</v>
      </c>
      <c r="I32" s="11">
        <f>IFERROR(__xludf.DUMMYFUNCTION("""COMPUTED_VALUE"""),4.0)</f>
        <v>4</v>
      </c>
      <c r="J32" s="11">
        <f>IFERROR(__xludf.DUMMYFUNCTION("""COMPUTED_VALUE"""),0.0)</f>
        <v>0</v>
      </c>
      <c r="K32" s="11">
        <f>IFERROR(__xludf.DUMMYFUNCTION("""COMPUTED_VALUE"""),0.25)</f>
        <v>0.25</v>
      </c>
    </row>
    <row r="33" ht="15.75" customHeight="1">
      <c r="A33" s="8" t="str">
        <f>IFERROR(__xludf.DUMMYFUNCTION("""COMPUTED_VALUE"""),"https://www.sortlist.com/s/marketing-analytics/sharjah-ae")</f>
        <v>https://www.sortlist.com/s/marketing-analytics/sharjah-ae</v>
      </c>
      <c r="B33" s="8" t="str">
        <f>IFERROR(__xludf.DUMMYFUNCTION("""COMPUTED_VALUE"""),"sortlist.com")</f>
        <v>sortlist.com</v>
      </c>
      <c r="C33" s="11" t="str">
        <f>IFERROR(__xludf.DUMMYFUNCTION("""COMPUTED_VALUE"""),"CATEGORY_PAGE")</f>
        <v>CATEGORY_PAGE</v>
      </c>
      <c r="D33" s="11" t="str">
        <f>IFERROR(__xludf.DUMMYFUNCTION("""COMPUTED_VALUE"""),"CORPORATE")</f>
        <v>CORPORATE</v>
      </c>
      <c r="E33" s="11" t="str">
        <f>IFERROR(__xludf.DUMMYFUNCTION("""COMPUTED_VALUE"""),"The 10 Best Marketing Analytics Companies in the United Arab Emirates - 2026 Reviews")</f>
        <v>The 10 Best Marketing Analytics Companies in the United Arab Emirates - 2026 Reviews</v>
      </c>
      <c r="F33" s="11" t="str">
        <f>IFERROR(__xludf.DUMMYFUNCTION("""COMPUTED_VALUE"""),"Category Page")</f>
        <v>Category Page</v>
      </c>
      <c r="G33" s="11" t="b">
        <f>IFERROR(__xludf.DUMMYFUNCTION("""COMPUTED_VALUE"""),FALSE)</f>
        <v>0</v>
      </c>
      <c r="H33" s="11" t="str">
        <f>IFERROR(__xludf.DUMMYFUNCTION("""COMPUTED_VALUE"""),"Créo Global, AlCaz Media, M3.agency, Momentum, Praxis Advertising, Growth Hackers, intouch, Ninja Promo, Bird Marketing, Pixoo Media")</f>
        <v>Créo Global, AlCaz Media, M3.agency, Momentum, Praxis Advertising, Growth Hackers, intouch, Ninja Promo, Bird Marketing, Pixoo Media</v>
      </c>
      <c r="I33" s="11">
        <f>IFERROR(__xludf.DUMMYFUNCTION("""COMPUTED_VALUE"""),4.0)</f>
        <v>4</v>
      </c>
      <c r="J33" s="11">
        <f>IFERROR(__xludf.DUMMYFUNCTION("""COMPUTED_VALUE"""),0.0)</f>
        <v>0</v>
      </c>
      <c r="K33" s="11">
        <f>IFERROR(__xludf.DUMMYFUNCTION("""COMPUTED_VALUE"""),0.0)</f>
        <v>0</v>
      </c>
    </row>
    <row r="34" ht="15.75" customHeight="1">
      <c r="A34" s="8" t="str">
        <f>IFERROR(__xludf.DUMMYFUNCTION("""COMPUTED_VALUE"""),"https://www.sortlist.com/s/performance-marketing/abu-dhabi-ae")</f>
        <v>https://www.sortlist.com/s/performance-marketing/abu-dhabi-ae</v>
      </c>
      <c r="B34" s="8" t="str">
        <f>IFERROR(__xludf.DUMMYFUNCTION("""COMPUTED_VALUE"""),"sortlist.com")</f>
        <v>sortlist.com</v>
      </c>
      <c r="C34" s="11" t="str">
        <f>IFERROR(__xludf.DUMMYFUNCTION("""COMPUTED_VALUE"""),"LISTICLE")</f>
        <v>LISTICLE</v>
      </c>
      <c r="D34" s="11" t="str">
        <f>IFERROR(__xludf.DUMMYFUNCTION("""COMPUTED_VALUE"""),"CORPORATE")</f>
        <v>CORPORATE</v>
      </c>
      <c r="E34" s="11" t="str">
        <f>IFERROR(__xludf.DUMMYFUNCTION("""COMPUTED_VALUE"""),"The 10 Best Performance Marketing Agencies in Abu Dhabi - 2026 Reviews")</f>
        <v>The 10 Best Performance Marketing Agencies in Abu Dhabi - 2026 Reviews</v>
      </c>
      <c r="F34" s="11" t="str">
        <f>IFERROR(__xludf.DUMMYFUNCTION("""COMPUTED_VALUE"""),"Listicle")</f>
        <v>Listicle</v>
      </c>
      <c r="G34" s="11" t="b">
        <f>IFERROR(__xludf.DUMMYFUNCTION("""COMPUTED_VALUE"""),FALSE)</f>
        <v>0</v>
      </c>
      <c r="H34" s="11" t="str">
        <f>IFERROR(__xludf.DUMMYFUNCTION("""COMPUTED_VALUE"""),"LUMINA, Praxis Advertising, Push, intouch, Momentum, M3.agency")</f>
        <v>LUMINA, Praxis Advertising, Push, intouch, Momentum, M3.agency</v>
      </c>
      <c r="I34" s="11">
        <f>IFERROR(__xludf.DUMMYFUNCTION("""COMPUTED_VALUE"""),4.0)</f>
        <v>4</v>
      </c>
      <c r="J34" s="11">
        <f>IFERROR(__xludf.DUMMYFUNCTION("""COMPUTED_VALUE"""),0.0)</f>
        <v>0</v>
      </c>
      <c r="K34" s="11">
        <f>IFERROR(__xludf.DUMMYFUNCTION("""COMPUTED_VALUE"""),0.0)</f>
        <v>0</v>
      </c>
    </row>
    <row r="35" ht="15.75" customHeight="1">
      <c r="A35" s="8" t="str">
        <f>IFERROR(__xludf.DUMMYFUNCTION("""COMPUTED_VALUE"""),"https://www.sortlist.com/media-planning/dubai-ae")</f>
        <v>https://www.sortlist.com/media-planning/dubai-ae</v>
      </c>
      <c r="B35" s="8" t="str">
        <f>IFERROR(__xludf.DUMMYFUNCTION("""COMPUTED_VALUE"""),"sortlist.com")</f>
        <v>sortlist.com</v>
      </c>
      <c r="C35" s="11" t="str">
        <f>IFERROR(__xludf.DUMMYFUNCTION("""COMPUTED_VALUE"""),"CATEGORY_PAGE")</f>
        <v>CATEGORY_PAGE</v>
      </c>
      <c r="D35" s="11" t="str">
        <f>IFERROR(__xludf.DUMMYFUNCTION("""COMPUTED_VALUE"""),"CORPORATE")</f>
        <v>CORPORATE</v>
      </c>
      <c r="E35" s="11" t="str">
        <f>IFERROR(__xludf.DUMMYFUNCTION("""COMPUTED_VALUE"""),"The 10 Best Media Agencies in Dubai - 2026 Reviews")</f>
        <v>The 10 Best Media Agencies in Dubai - 2026 Reviews</v>
      </c>
      <c r="F35" s="11" t="str">
        <f>IFERROR(__xludf.DUMMYFUNCTION("""COMPUTED_VALUE"""),"Category Page")</f>
        <v>Category Page</v>
      </c>
      <c r="G35" s="11" t="b">
        <f>IFERROR(__xludf.DUMMYFUNCTION("""COMPUTED_VALUE"""),FALSE)</f>
        <v>0</v>
      </c>
      <c r="H35" s="11" t="str">
        <f>IFERROR(__xludf.DUMMYFUNCTION("""COMPUTED_VALUE"""),"intouch, AlCaz Media, Praxis Advertising, Growth Hackers, Momentum, M3.agency, Ninja Promo")</f>
        <v>intouch, AlCaz Media, Praxis Advertising, Growth Hackers, Momentum, M3.agency, Ninja Promo</v>
      </c>
      <c r="I35" s="11">
        <f>IFERROR(__xludf.DUMMYFUNCTION("""COMPUTED_VALUE"""),2.0)</f>
        <v>2</v>
      </c>
      <c r="J35" s="11">
        <f>IFERROR(__xludf.DUMMYFUNCTION("""COMPUTED_VALUE"""),0.0)</f>
        <v>0</v>
      </c>
      <c r="K35" s="11">
        <f>IFERROR(__xludf.DUMMYFUNCTION("""COMPUTED_VALUE"""),0.0)</f>
        <v>0</v>
      </c>
    </row>
    <row r="36" ht="15.75" customHeight="1">
      <c r="A36" s="8" t="str">
        <f>IFERROR(__xludf.DUMMYFUNCTION("""COMPUTED_VALUE"""),"https://www.sortlist.com/s/google-ads/dubai-ae")</f>
        <v>https://www.sortlist.com/s/google-ads/dubai-ae</v>
      </c>
      <c r="B36" s="8" t="str">
        <f>IFERROR(__xludf.DUMMYFUNCTION("""COMPUTED_VALUE"""),"sortlist.com")</f>
        <v>sortlist.com</v>
      </c>
      <c r="C36" s="11" t="str">
        <f>IFERROR(__xludf.DUMMYFUNCTION("""COMPUTED_VALUE"""),"CATEGORY_PAGE")</f>
        <v>CATEGORY_PAGE</v>
      </c>
      <c r="D36" s="11" t="str">
        <f>IFERROR(__xludf.DUMMYFUNCTION("""COMPUTED_VALUE"""),"CORPORATE")</f>
        <v>CORPORATE</v>
      </c>
      <c r="E36" s="11" t="str">
        <f>IFERROR(__xludf.DUMMYFUNCTION("""COMPUTED_VALUE"""),"The 10 Best Google Ads Agencies in Dubai - 2026 Reviews")</f>
        <v>The 10 Best Google Ads Agencies in Dubai - 2026 Reviews</v>
      </c>
      <c r="F36" s="11" t="str">
        <f>IFERROR(__xludf.DUMMYFUNCTION("""COMPUTED_VALUE"""),"Category Page")</f>
        <v>Category Page</v>
      </c>
      <c r="G36" s="11" t="b">
        <f>IFERROR(__xludf.DUMMYFUNCTION("""COMPUTED_VALUE"""),FALSE)</f>
        <v>0</v>
      </c>
      <c r="H36" s="11" t="str">
        <f>IFERROR(__xludf.DUMMYFUNCTION("""COMPUTED_VALUE"""),"LUMINA, Praxis Advertising, Ninja Promo, Pixoo Media, Admoon")</f>
        <v>LUMINA, Praxis Advertising, Ninja Promo, Pixoo Media, Admoon</v>
      </c>
      <c r="I36" s="11">
        <f>IFERROR(__xludf.DUMMYFUNCTION("""COMPUTED_VALUE"""),2.0)</f>
        <v>2</v>
      </c>
      <c r="J36" s="11">
        <f>IFERROR(__xludf.DUMMYFUNCTION("""COMPUTED_VALUE"""),0.0)</f>
        <v>0</v>
      </c>
      <c r="K36" s="11">
        <f>IFERROR(__xludf.DUMMYFUNCTION("""COMPUTED_VALUE"""),0.0)</f>
        <v>0</v>
      </c>
    </row>
    <row r="37" ht="15.75" customHeight="1">
      <c r="A37" s="8" t="str">
        <f>IFERROR(__xludf.DUMMYFUNCTION("""COMPUTED_VALUE"""),"https://www.sortlist.com/advertising/abu-dhabi-ae")</f>
        <v>https://www.sortlist.com/advertising/abu-dhabi-ae</v>
      </c>
      <c r="B37" s="8" t="str">
        <f>IFERROR(__xludf.DUMMYFUNCTION("""COMPUTED_VALUE"""),"sortlist.com")</f>
        <v>sortlist.com</v>
      </c>
      <c r="C37" s="11" t="str">
        <f>IFERROR(__xludf.DUMMYFUNCTION("""COMPUTED_VALUE"""),"LISTICLE")</f>
        <v>LISTICLE</v>
      </c>
      <c r="D37" s="11" t="str">
        <f>IFERROR(__xludf.DUMMYFUNCTION("""COMPUTED_VALUE"""),"CORPORATE")</f>
        <v>CORPORATE</v>
      </c>
      <c r="E37" s="11" t="str">
        <f>IFERROR(__xludf.DUMMYFUNCTION("""COMPUTED_VALUE"""),"The 10 Best Advertising Agencies in Abu Dhabi - 2026 Reviews")</f>
        <v>The 10 Best Advertising Agencies in Abu Dhabi - 2026 Reviews</v>
      </c>
      <c r="F37" s="11" t="str">
        <f>IFERROR(__xludf.DUMMYFUNCTION("""COMPUTED_VALUE"""),"Listicle")</f>
        <v>Listicle</v>
      </c>
      <c r="G37" s="11" t="b">
        <f>IFERROR(__xludf.DUMMYFUNCTION("""COMPUTED_VALUE"""),FALSE)</f>
        <v>0</v>
      </c>
      <c r="H37" s="11" t="str">
        <f>IFERROR(__xludf.DUMMYFUNCTION("""COMPUTED_VALUE"""),"Bird Marketing, DigitalFarm, Ninja Promo, Pixoo Media, Praxis Advertising, Push")</f>
        <v>Bird Marketing, DigitalFarm, Ninja Promo, Pixoo Media, Praxis Advertising, Push</v>
      </c>
      <c r="I37" s="11">
        <f>IFERROR(__xludf.DUMMYFUNCTION("""COMPUTED_VALUE"""),1.0)</f>
        <v>1</v>
      </c>
      <c r="J37" s="11">
        <f>IFERROR(__xludf.DUMMYFUNCTION("""COMPUTED_VALUE"""),0.0)</f>
        <v>0</v>
      </c>
      <c r="K37" s="11">
        <f>IFERROR(__xludf.DUMMYFUNCTION("""COMPUTED_VALUE"""),0.0)</f>
        <v>0</v>
      </c>
    </row>
    <row r="38" ht="15.75" customHeight="1">
      <c r="A38" s="8" t="str">
        <f>IFERROR(__xludf.DUMMYFUNCTION("""COMPUTED_VALUE"""),"https://www.sortlist.com/advertising/algeria-dz")</f>
        <v>https://www.sortlist.com/advertising/algeria-dz</v>
      </c>
      <c r="B38" s="8" t="str">
        <f>IFERROR(__xludf.DUMMYFUNCTION("""COMPUTED_VALUE"""),"sortlist.com")</f>
        <v>sortlist.com</v>
      </c>
      <c r="C38" s="11" t="str">
        <f>IFERROR(__xludf.DUMMYFUNCTION("""COMPUTED_VALUE"""),"CATEGORY_PAGE")</f>
        <v>CATEGORY_PAGE</v>
      </c>
      <c r="D38" s="11" t="str">
        <f>IFERROR(__xludf.DUMMYFUNCTION("""COMPUTED_VALUE"""),"CORPORATE")</f>
        <v>CORPORATE</v>
      </c>
      <c r="E38" s="11" t="str">
        <f>IFERROR(__xludf.DUMMYFUNCTION("""COMPUTED_VALUE"""),"The 10 Best Advertising Agencies in Algeria - 2026 Reviews")</f>
        <v>The 10 Best Advertising Agencies in Algeria - 2026 Reviews</v>
      </c>
      <c r="F38" s="11" t="str">
        <f>IFERROR(__xludf.DUMMYFUNCTION("""COMPUTED_VALUE"""),"Category Page")</f>
        <v>Category Page</v>
      </c>
      <c r="G38" s="11" t="b">
        <f>IFERROR(__xludf.DUMMYFUNCTION("""COMPUTED_VALUE"""),FALSE)</f>
        <v>0</v>
      </c>
      <c r="H38" s="11"/>
      <c r="I38" s="11">
        <f>IFERROR(__xludf.DUMMYFUNCTION("""COMPUTED_VALUE"""),1.0)</f>
        <v>1</v>
      </c>
      <c r="J38" s="11">
        <f>IFERROR(__xludf.DUMMYFUNCTION("""COMPUTED_VALUE"""),0.0)</f>
        <v>0</v>
      </c>
      <c r="K38" s="11">
        <f>IFERROR(__xludf.DUMMYFUNCTION("""COMPUTED_VALUE"""),0.0)</f>
        <v>0</v>
      </c>
    </row>
    <row r="39" ht="15.75" customHeight="1">
      <c r="A39" s="8" t="str">
        <f>IFERROR(__xludf.DUMMYFUNCTION("""COMPUTED_VALUE"""),"https://www.sortlist.com/media-planning/abu-dhabi-ae")</f>
        <v>https://www.sortlist.com/media-planning/abu-dhabi-ae</v>
      </c>
      <c r="B39" s="8" t="str">
        <f>IFERROR(__xludf.DUMMYFUNCTION("""COMPUTED_VALUE"""),"sortlist.com")</f>
        <v>sortlist.com</v>
      </c>
      <c r="C39" s="11" t="str">
        <f>IFERROR(__xludf.DUMMYFUNCTION("""COMPUTED_VALUE"""),"ARTICLE")</f>
        <v>ARTICLE</v>
      </c>
      <c r="D39" s="11" t="str">
        <f>IFERROR(__xludf.DUMMYFUNCTION("""COMPUTED_VALUE"""),"CORPORATE")</f>
        <v>CORPORATE</v>
      </c>
      <c r="E39" s="11" t="str">
        <f>IFERROR(__xludf.DUMMYFUNCTION("""COMPUTED_VALUE"""),"The 10 Best Media Agencies in Abu Dhabi - 2026 Reviews")</f>
        <v>The 10 Best Media Agencies in Abu Dhabi - 2026 Reviews</v>
      </c>
      <c r="F39" s="11" t="str">
        <f>IFERROR(__xludf.DUMMYFUNCTION("""COMPUTED_VALUE"""),"Article")</f>
        <v>Article</v>
      </c>
      <c r="G39" s="11" t="b">
        <f>IFERROR(__xludf.DUMMYFUNCTION("""COMPUTED_VALUE"""),FALSE)</f>
        <v>0</v>
      </c>
      <c r="H39" s="11" t="str">
        <f>IFERROR(__xludf.DUMMYFUNCTION("""COMPUTED_VALUE"""),"Push, intouch, Pixoo Media, Praxis Advertising, Ninja Promo, EDS FZCO, Measured")</f>
        <v>Push, intouch, Pixoo Media, Praxis Advertising, Ninja Promo, EDS FZCO, Measured</v>
      </c>
      <c r="I39" s="11">
        <f>IFERROR(__xludf.DUMMYFUNCTION("""COMPUTED_VALUE"""),1.0)</f>
        <v>1</v>
      </c>
      <c r="J39" s="11">
        <f>IFERROR(__xludf.DUMMYFUNCTION("""COMPUTED_VALUE"""),0.0)</f>
        <v>0</v>
      </c>
      <c r="K39" s="11">
        <f>IFERROR(__xludf.DUMMYFUNCTION("""COMPUTED_VALUE"""),1.0)</f>
        <v>1</v>
      </c>
    </row>
    <row r="40" ht="15.75" customHeight="1">
      <c r="A40" s="8" t="str">
        <f>IFERROR(__xludf.DUMMYFUNCTION("""COMPUTED_VALUE"""),"https://www.sortlist.com/media-planning/united-arab-emirates-ae")</f>
        <v>https://www.sortlist.com/media-planning/united-arab-emirates-ae</v>
      </c>
      <c r="B40" s="8" t="str">
        <f>IFERROR(__xludf.DUMMYFUNCTION("""COMPUTED_VALUE"""),"sortlist.com")</f>
        <v>sortlist.com</v>
      </c>
      <c r="C40" s="11" t="str">
        <f>IFERROR(__xludf.DUMMYFUNCTION("""COMPUTED_VALUE"""),"CATEGORY_PAGE")</f>
        <v>CATEGORY_PAGE</v>
      </c>
      <c r="D40" s="11" t="str">
        <f>IFERROR(__xludf.DUMMYFUNCTION("""COMPUTED_VALUE"""),"CORPORATE")</f>
        <v>CORPORATE</v>
      </c>
      <c r="E40" s="11" t="str">
        <f>IFERROR(__xludf.DUMMYFUNCTION("""COMPUTED_VALUE"""),"The 10 Best Media Agencies in the United Arab Emirates - 2026 Reviews")</f>
        <v>The 10 Best Media Agencies in the United Arab Emirates - 2026 Reviews</v>
      </c>
      <c r="F40" s="11" t="str">
        <f>IFERROR(__xludf.DUMMYFUNCTION("""COMPUTED_VALUE"""),"Category Page")</f>
        <v>Category Page</v>
      </c>
      <c r="G40" s="11" t="b">
        <f>IFERROR(__xludf.DUMMYFUNCTION("""COMPUTED_VALUE"""),FALSE)</f>
        <v>0</v>
      </c>
      <c r="H40" s="11" t="str">
        <f>IFERROR(__xludf.DUMMYFUNCTION("""COMPUTED_VALUE"""),"intouch, AlCaz Media, Praxis Advertising, Growth Hackers, Momentum, M3.agency, Ninja Promo, Pixoo Media")</f>
        <v>intouch, AlCaz Media, Praxis Advertising, Growth Hackers, Momentum, M3.agency, Ninja Promo, Pixoo Media</v>
      </c>
      <c r="I40" s="11">
        <f>IFERROR(__xludf.DUMMYFUNCTION("""COMPUTED_VALUE"""),1.0)</f>
        <v>1</v>
      </c>
      <c r="J40" s="11">
        <f>IFERROR(__xludf.DUMMYFUNCTION("""COMPUTED_VALUE"""),0.0)</f>
        <v>0</v>
      </c>
      <c r="K40" s="11">
        <f>IFERROR(__xludf.DUMMYFUNCTION("""COMPUTED_VALUE"""),0.0)</f>
        <v>0</v>
      </c>
    </row>
    <row r="41" ht="15.75" customHeight="1">
      <c r="A41" s="8" t="str">
        <f>IFERROR(__xludf.DUMMYFUNCTION("""COMPUTED_VALUE"""),"https://www.sortlist.com/s/artificial-intelligence/abu-dhabi-ae")</f>
        <v>https://www.sortlist.com/s/artificial-intelligence/abu-dhabi-ae</v>
      </c>
      <c r="B41" s="8" t="str">
        <f>IFERROR(__xludf.DUMMYFUNCTION("""COMPUTED_VALUE"""),"sortlist.com")</f>
        <v>sortlist.com</v>
      </c>
      <c r="C41" s="11" t="str">
        <f>IFERROR(__xludf.DUMMYFUNCTION("""COMPUTED_VALUE"""),"CATEGORY_PAGE")</f>
        <v>CATEGORY_PAGE</v>
      </c>
      <c r="D41" s="11" t="str">
        <f>IFERROR(__xludf.DUMMYFUNCTION("""COMPUTED_VALUE"""),"CORPORATE")</f>
        <v>CORPORATE</v>
      </c>
      <c r="E41" s="11" t="str">
        <f>IFERROR(__xludf.DUMMYFUNCTION("""COMPUTED_VALUE"""),"The 10 Best Artificial Intelligence Agencies in Abu Dhabi - 2026 Reviews")</f>
        <v>The 10 Best Artificial Intelligence Agencies in Abu Dhabi - 2026 Reviews</v>
      </c>
      <c r="F41" s="11" t="str">
        <f>IFERROR(__xludf.DUMMYFUNCTION("""COMPUTED_VALUE"""),"Category Page")</f>
        <v>Category Page</v>
      </c>
      <c r="G41" s="11" t="b">
        <f>IFERROR(__xludf.DUMMYFUNCTION("""COMPUTED_VALUE"""),FALSE)</f>
        <v>0</v>
      </c>
      <c r="H41" s="11" t="str">
        <f>IFERROR(__xludf.DUMMYFUNCTION("""COMPUTED_VALUE"""),"DigitalFarm")</f>
        <v>DigitalFarm</v>
      </c>
      <c r="I41" s="11">
        <f>IFERROR(__xludf.DUMMYFUNCTION("""COMPUTED_VALUE"""),1.0)</f>
        <v>1</v>
      </c>
      <c r="J41" s="11">
        <f>IFERROR(__xludf.DUMMYFUNCTION("""COMPUTED_VALUE"""),0.0)</f>
        <v>0</v>
      </c>
      <c r="K41" s="11">
        <f>IFERROR(__xludf.DUMMYFUNCTION("""COMPUTED_VALUE"""),0.0)</f>
        <v>0</v>
      </c>
    </row>
    <row r="42" ht="15.75" customHeight="1">
      <c r="A42" s="8" t="str">
        <f>IFERROR(__xludf.DUMMYFUNCTION("""COMPUTED_VALUE"""),"https://www.sortlist.com/s/artificial-intelligence/dubai-ae")</f>
        <v>https://www.sortlist.com/s/artificial-intelligence/dubai-ae</v>
      </c>
      <c r="B42" s="8" t="str">
        <f>IFERROR(__xludf.DUMMYFUNCTION("""COMPUTED_VALUE"""),"sortlist.com")</f>
        <v>sortlist.com</v>
      </c>
      <c r="C42" s="11" t="str">
        <f>IFERROR(__xludf.DUMMYFUNCTION("""COMPUTED_VALUE"""),"CATEGORY_PAGE")</f>
        <v>CATEGORY_PAGE</v>
      </c>
      <c r="D42" s="11" t="str">
        <f>IFERROR(__xludf.DUMMYFUNCTION("""COMPUTED_VALUE"""),"CORPORATE")</f>
        <v>CORPORATE</v>
      </c>
      <c r="E42" s="11" t="str">
        <f>IFERROR(__xludf.DUMMYFUNCTION("""COMPUTED_VALUE"""),"The 10 Best Artificial Intelligence Agencies in Dubai - 2026 Reviews")</f>
        <v>The 10 Best Artificial Intelligence Agencies in Dubai - 2026 Reviews</v>
      </c>
      <c r="F42" s="11" t="str">
        <f>IFERROR(__xludf.DUMMYFUNCTION("""COMPUTED_VALUE"""),"Category Page")</f>
        <v>Category Page</v>
      </c>
      <c r="G42" s="11" t="b">
        <f>IFERROR(__xludf.DUMMYFUNCTION("""COMPUTED_VALUE"""),FALSE)</f>
        <v>0</v>
      </c>
      <c r="H42" s="11" t="str">
        <f>IFERROR(__xludf.DUMMYFUNCTION("""COMPUTED_VALUE"""),"Growth Hackers")</f>
        <v>Growth Hackers</v>
      </c>
      <c r="I42" s="11">
        <f>IFERROR(__xludf.DUMMYFUNCTION("""COMPUTED_VALUE"""),1.0)</f>
        <v>1</v>
      </c>
      <c r="J42" s="11">
        <f>IFERROR(__xludf.DUMMYFUNCTION("""COMPUTED_VALUE"""),0.0)</f>
        <v>0</v>
      </c>
      <c r="K42" s="11">
        <f>IFERROR(__xludf.DUMMYFUNCTION("""COMPUTED_VALUE"""),0.0)</f>
        <v>0</v>
      </c>
    </row>
    <row r="43" ht="15.75" customHeight="1">
      <c r="A43" s="8" t="str">
        <f>IFERROR(__xludf.DUMMYFUNCTION("""COMPUTED_VALUE"""),"https://www.sortlist.com/s/creative/abu-dhabi-ae")</f>
        <v>https://www.sortlist.com/s/creative/abu-dhabi-ae</v>
      </c>
      <c r="B43" s="8" t="str">
        <f>IFERROR(__xludf.DUMMYFUNCTION("""COMPUTED_VALUE"""),"sortlist.com")</f>
        <v>sortlist.com</v>
      </c>
      <c r="C43" s="11" t="str">
        <f>IFERROR(__xludf.DUMMYFUNCTION("""COMPUTED_VALUE"""),"CATEGORY_PAGE")</f>
        <v>CATEGORY_PAGE</v>
      </c>
      <c r="D43" s="11" t="str">
        <f>IFERROR(__xludf.DUMMYFUNCTION("""COMPUTED_VALUE"""),"CORPORATE")</f>
        <v>CORPORATE</v>
      </c>
      <c r="E43" s="11" t="str">
        <f>IFERROR(__xludf.DUMMYFUNCTION("""COMPUTED_VALUE"""),"The 10 Best Creative Agencies in Abu Dhabi - 2026 Reviews")</f>
        <v>The 10 Best Creative Agencies in Abu Dhabi - 2026 Reviews</v>
      </c>
      <c r="F43" s="11" t="str">
        <f>IFERROR(__xludf.DUMMYFUNCTION("""COMPUTED_VALUE"""),"Category Page")</f>
        <v>Category Page</v>
      </c>
      <c r="G43" s="11" t="b">
        <f>IFERROR(__xludf.DUMMYFUNCTION("""COMPUTED_VALUE"""),FALSE)</f>
        <v>0</v>
      </c>
      <c r="H43" s="11" t="str">
        <f>IFERROR(__xludf.DUMMYFUNCTION("""COMPUTED_VALUE"""),"Ninja Promo, Praxis Advertising")</f>
        <v>Ninja Promo, Praxis Advertising</v>
      </c>
      <c r="I43" s="11">
        <f>IFERROR(__xludf.DUMMYFUNCTION("""COMPUTED_VALUE"""),1.0)</f>
        <v>1</v>
      </c>
      <c r="J43" s="11">
        <f>IFERROR(__xludf.DUMMYFUNCTION("""COMPUTED_VALUE"""),0.0)</f>
        <v>0</v>
      </c>
      <c r="K43" s="11">
        <f>IFERROR(__xludf.DUMMYFUNCTION("""COMPUTED_VALUE"""),1.0)</f>
        <v>1</v>
      </c>
    </row>
    <row r="44" ht="15.75" customHeight="1">
      <c r="A44" s="8" t="str">
        <f>IFERROR(__xludf.DUMMYFUNCTION("""COMPUTED_VALUE"""),"https://www.sortlist.com/s/paid-media/beirut-beirut")</f>
        <v>https://www.sortlist.com/s/paid-media/beirut-beirut</v>
      </c>
      <c r="B44" s="8" t="str">
        <f>IFERROR(__xludf.DUMMYFUNCTION("""COMPUTED_VALUE"""),"sortlist.com")</f>
        <v>sortlist.com</v>
      </c>
      <c r="C44" s="11" t="str">
        <f>IFERROR(__xludf.DUMMYFUNCTION("""COMPUTED_VALUE"""),"CATEGORY_PAGE")</f>
        <v>CATEGORY_PAGE</v>
      </c>
      <c r="D44" s="11" t="str">
        <f>IFERROR(__xludf.DUMMYFUNCTION("""COMPUTED_VALUE"""),"CORPORATE")</f>
        <v>CORPORATE</v>
      </c>
      <c r="E44" s="11" t="str">
        <f>IFERROR(__xludf.DUMMYFUNCTION("""COMPUTED_VALUE"""),"The 10 Best Paid Media Agencies in Beirut - 2026 Reviews")</f>
        <v>The 10 Best Paid Media Agencies in Beirut - 2026 Reviews</v>
      </c>
      <c r="F44" s="11" t="str">
        <f>IFERROR(__xludf.DUMMYFUNCTION("""COMPUTED_VALUE"""),"Category Page")</f>
        <v>Category Page</v>
      </c>
      <c r="G44" s="11" t="b">
        <f>IFERROR(__xludf.DUMMYFUNCTION("""COMPUTED_VALUE"""),FALSE)</f>
        <v>0</v>
      </c>
      <c r="H44" s="11" t="str">
        <f>IFERROR(__xludf.DUMMYFUNCTION("""COMPUTED_VALUE"""),"Hovi Digital Lab, intouch")</f>
        <v>Hovi Digital Lab, intouch</v>
      </c>
      <c r="I44" s="11">
        <f>IFERROR(__xludf.DUMMYFUNCTION("""COMPUTED_VALUE"""),1.0)</f>
        <v>1</v>
      </c>
      <c r="J44" s="11">
        <f>IFERROR(__xludf.DUMMYFUNCTION("""COMPUTED_VALUE"""),0.0)</f>
        <v>0</v>
      </c>
      <c r="K44" s="11">
        <f>IFERROR(__xludf.DUMMYFUNCTION("""COMPUTED_VALUE"""),0.0)</f>
        <v>0</v>
      </c>
    </row>
    <row r="45" ht="15.75" customHeight="1">
      <c r="A45" s="8" t="str">
        <f>IFERROR(__xludf.DUMMYFUNCTION("""COMPUTED_VALUE"""),"https://www.sortlist.com/s/performance-marketing/india-in")</f>
        <v>https://www.sortlist.com/s/performance-marketing/india-in</v>
      </c>
      <c r="B45" s="8" t="str">
        <f>IFERROR(__xludf.DUMMYFUNCTION("""COMPUTED_VALUE"""),"sortlist.com")</f>
        <v>sortlist.com</v>
      </c>
      <c r="C45" s="11" t="str">
        <f>IFERROR(__xludf.DUMMYFUNCTION("""COMPUTED_VALUE"""),"CATEGORY_PAGE")</f>
        <v>CATEGORY_PAGE</v>
      </c>
      <c r="D45" s="11" t="str">
        <f>IFERROR(__xludf.DUMMYFUNCTION("""COMPUTED_VALUE"""),"CORPORATE")</f>
        <v>CORPORATE</v>
      </c>
      <c r="E45" s="11" t="str">
        <f>IFERROR(__xludf.DUMMYFUNCTION("""COMPUTED_VALUE"""),"The 10 Best Performance Marketing Agencies in India - 2026 Reviews")</f>
        <v>The 10 Best Performance Marketing Agencies in India - 2026 Reviews</v>
      </c>
      <c r="F45" s="11" t="str">
        <f>IFERROR(__xludf.DUMMYFUNCTION("""COMPUTED_VALUE"""),"Category Page")</f>
        <v>Category Page</v>
      </c>
      <c r="G45" s="11" t="b">
        <f>IFERROR(__xludf.DUMMYFUNCTION("""COMPUTED_VALUE"""),FALSE)</f>
        <v>0</v>
      </c>
      <c r="H45" s="11"/>
      <c r="I45" s="11">
        <f>IFERROR(__xludf.DUMMYFUNCTION("""COMPUTED_VALUE"""),1.0)</f>
        <v>1</v>
      </c>
      <c r="J45" s="11">
        <f>IFERROR(__xludf.DUMMYFUNCTION("""COMPUTED_VALUE"""),0.0)</f>
        <v>0</v>
      </c>
      <c r="K45" s="11">
        <f>IFERROR(__xludf.DUMMYFUNCTION("""COMPUTED_VALUE"""),1.0)</f>
        <v>1</v>
      </c>
    </row>
    <row r="46" ht="15.75" customHeight="1">
      <c r="A46" s="8" t="str">
        <f>IFERROR(__xludf.DUMMYFUNCTION("""COMPUTED_VALUE"""),"https://www.sortlist.com/seo/united-arab-emirates-ae")</f>
        <v>https://www.sortlist.com/seo/united-arab-emirates-ae</v>
      </c>
      <c r="B46" s="8" t="str">
        <f>IFERROR(__xludf.DUMMYFUNCTION("""COMPUTED_VALUE"""),"sortlist.com")</f>
        <v>sortlist.com</v>
      </c>
      <c r="C46" s="11" t="str">
        <f>IFERROR(__xludf.DUMMYFUNCTION("""COMPUTED_VALUE"""),"CATEGORY_PAGE")</f>
        <v>CATEGORY_PAGE</v>
      </c>
      <c r="D46" s="11" t="str">
        <f>IFERROR(__xludf.DUMMYFUNCTION("""COMPUTED_VALUE"""),"CORPORATE")</f>
        <v>CORPORATE</v>
      </c>
      <c r="E46" s="11" t="str">
        <f>IFERROR(__xludf.DUMMYFUNCTION("""COMPUTED_VALUE"""),"The 10 Best SEO Agencies in the United Arab Emirates - 2026 Reviews")</f>
        <v>The 10 Best SEO Agencies in the United Arab Emirates - 2026 Reviews</v>
      </c>
      <c r="F46" s="11" t="str">
        <f>IFERROR(__xludf.DUMMYFUNCTION("""COMPUTED_VALUE"""),"Category Page")</f>
        <v>Category Page</v>
      </c>
      <c r="G46" s="11" t="b">
        <f>IFERROR(__xludf.DUMMYFUNCTION("""COMPUTED_VALUE"""),FALSE)</f>
        <v>0</v>
      </c>
      <c r="H46" s="11" t="str">
        <f>IFERROR(__xludf.DUMMYFUNCTION("""COMPUTED_VALUE"""),"LUMINA, Adapts Media, intouch, Ninja Promo, Momentum, M3.agency")</f>
        <v>LUMINA, Adapts Media, intouch, Ninja Promo, Momentum, M3.agency</v>
      </c>
      <c r="I46" s="11">
        <f>IFERROR(__xludf.DUMMYFUNCTION("""COMPUTED_VALUE"""),1.0)</f>
        <v>1</v>
      </c>
      <c r="J46" s="11">
        <f>IFERROR(__xludf.DUMMYFUNCTION("""COMPUTED_VALUE"""),0.0)</f>
        <v>0</v>
      </c>
      <c r="K46" s="11">
        <f>IFERROR(__xludf.DUMMYFUNCTION("""COMPUTED_VALUE"""),0.0)</f>
        <v>0</v>
      </c>
    </row>
    <row r="47" ht="15.75" customHeight="1">
      <c r="A47" s="8" t="str">
        <f>IFERROR(__xludf.DUMMYFUNCTION("""COMPUTED_VALUE"""),"https://www.sortlist.com/social-media-optimization")</f>
        <v>https://www.sortlist.com/social-media-optimization</v>
      </c>
      <c r="B47" s="8" t="str">
        <f>IFERROR(__xludf.DUMMYFUNCTION("""COMPUTED_VALUE"""),"sortlist.com")</f>
        <v>sortlist.com</v>
      </c>
      <c r="C47" s="11" t="str">
        <f>IFERROR(__xludf.DUMMYFUNCTION("""COMPUTED_VALUE"""),"CATEGORY_PAGE")</f>
        <v>CATEGORY_PAGE</v>
      </c>
      <c r="D47" s="11" t="str">
        <f>IFERROR(__xludf.DUMMYFUNCTION("""COMPUTED_VALUE"""),"CORPORATE")</f>
        <v>CORPORATE</v>
      </c>
      <c r="E47" s="11" t="str">
        <f>IFERROR(__xludf.DUMMYFUNCTION("""COMPUTED_VALUE"""),"The 100 Best Social Media Optimization Agencies - 2026 Reviews")</f>
        <v>The 100 Best Social Media Optimization Agencies - 2026 Reviews</v>
      </c>
      <c r="F47" s="11" t="str">
        <f>IFERROR(__xludf.DUMMYFUNCTION("""COMPUTED_VALUE"""),"Category Page")</f>
        <v>Category Page</v>
      </c>
      <c r="G47" s="11" t="b">
        <f>IFERROR(__xludf.DUMMYFUNCTION("""COMPUTED_VALUE"""),FALSE)</f>
        <v>0</v>
      </c>
      <c r="H47" s="11" t="str">
        <f>IFERROR(__xludf.DUMMYFUNCTION("""COMPUTED_VALUE"""),"intouch")</f>
        <v>intouch</v>
      </c>
      <c r="I47" s="11">
        <f>IFERROR(__xludf.DUMMYFUNCTION("""COMPUTED_VALUE"""),1.0)</f>
        <v>1</v>
      </c>
      <c r="J47" s="11">
        <f>IFERROR(__xludf.DUMMYFUNCTION("""COMPUTED_VALUE"""),0.0)</f>
        <v>0</v>
      </c>
      <c r="K47" s="11">
        <f>IFERROR(__xludf.DUMMYFUNCTION("""COMPUTED_VALUE"""),0.0)</f>
        <v>0</v>
      </c>
    </row>
    <row r="48" ht="15.75" customHeight="1">
      <c r="A48" s="8" t="str">
        <f>IFERROR(__xludf.DUMMYFUNCTION("""COMPUTED_VALUE"""),"https://www.sortlist.com/web-analytics/dubai-ae")</f>
        <v>https://www.sortlist.com/web-analytics/dubai-ae</v>
      </c>
      <c r="B48" s="8" t="str">
        <f>IFERROR(__xludf.DUMMYFUNCTION("""COMPUTED_VALUE"""),"sortlist.com")</f>
        <v>sortlist.com</v>
      </c>
      <c r="C48" s="11" t="str">
        <f>IFERROR(__xludf.DUMMYFUNCTION("""COMPUTED_VALUE"""),"CATEGORY_PAGE")</f>
        <v>CATEGORY_PAGE</v>
      </c>
      <c r="D48" s="11" t="str">
        <f>IFERROR(__xludf.DUMMYFUNCTION("""COMPUTED_VALUE"""),"CORPORATE")</f>
        <v>CORPORATE</v>
      </c>
      <c r="E48" s="11" t="str">
        <f>IFERROR(__xludf.DUMMYFUNCTION("""COMPUTED_VALUE"""),"The 10 Best Web Analytics Agencies in Dubai - 2026 Reviews")</f>
        <v>The 10 Best Web Analytics Agencies in Dubai - 2026 Reviews</v>
      </c>
      <c r="F48" s="11" t="str">
        <f>IFERROR(__xludf.DUMMYFUNCTION("""COMPUTED_VALUE"""),"Category Page")</f>
        <v>Category Page</v>
      </c>
      <c r="G48" s="11" t="b">
        <f>IFERROR(__xludf.DUMMYFUNCTION("""COMPUTED_VALUE"""),FALSE)</f>
        <v>0</v>
      </c>
      <c r="H48" s="11" t="str">
        <f>IFERROR(__xludf.DUMMYFUNCTION("""COMPUTED_VALUE"""),"Growth Hackers, Pixoo Media, Bird Marketing, Adapts Media")</f>
        <v>Growth Hackers, Pixoo Media, Bird Marketing, Adapts Media</v>
      </c>
      <c r="I48" s="11">
        <f>IFERROR(__xludf.DUMMYFUNCTION("""COMPUTED_VALUE"""),1.0)</f>
        <v>1</v>
      </c>
      <c r="J48" s="11">
        <f>IFERROR(__xludf.DUMMYFUNCTION("""COMPUTED_VALUE"""),0.0)</f>
        <v>0</v>
      </c>
      <c r="K48" s="11">
        <f>IFERROR(__xludf.DUMMYFUNCTION("""COMPUTED_VALUE"""),0.0)</f>
        <v>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 r:id="rId58" ref="A31"/>
    <hyperlink r:id="rId59" ref="B31"/>
    <hyperlink r:id="rId60" ref="A32"/>
    <hyperlink r:id="rId61" ref="B32"/>
    <hyperlink r:id="rId62" ref="A33"/>
    <hyperlink r:id="rId63" ref="B33"/>
    <hyperlink r:id="rId64" ref="A34"/>
    <hyperlink r:id="rId65" ref="B34"/>
    <hyperlink r:id="rId66" ref="A35"/>
    <hyperlink r:id="rId67" ref="B35"/>
    <hyperlink r:id="rId68" ref="A36"/>
    <hyperlink r:id="rId69" ref="B36"/>
    <hyperlink r:id="rId70" ref="A37"/>
    <hyperlink r:id="rId71" ref="B37"/>
    <hyperlink r:id="rId72" ref="A38"/>
    <hyperlink r:id="rId73" ref="B38"/>
    <hyperlink r:id="rId74" ref="A39"/>
    <hyperlink r:id="rId75" ref="B39"/>
    <hyperlink r:id="rId76" ref="A40"/>
    <hyperlink r:id="rId77" ref="B40"/>
    <hyperlink r:id="rId78" ref="A41"/>
    <hyperlink r:id="rId79" ref="B41"/>
    <hyperlink r:id="rId80" ref="A42"/>
    <hyperlink r:id="rId81" ref="B42"/>
    <hyperlink r:id="rId82" ref="A43"/>
    <hyperlink r:id="rId83" ref="B43"/>
    <hyperlink r:id="rId84" ref="A44"/>
    <hyperlink r:id="rId85" ref="B44"/>
    <hyperlink r:id="rId86" ref="A45"/>
    <hyperlink r:id="rId87" ref="B45"/>
    <hyperlink r:id="rId88" ref="A46"/>
    <hyperlink r:id="rId89" ref="B46"/>
    <hyperlink r:id="rId90" ref="A47"/>
    <hyperlink r:id="rId91" ref="B47"/>
    <hyperlink r:id="rId92" ref="A48"/>
    <hyperlink r:id="rId93" ref="B48"/>
  </hyperlinks>
  <drawing r:id="rId9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All'!A2:A1000)),""pushgroup"")
  ),
  """"
)"),"https://www.pushgroup.ae/blog/top-9-geo-agencies-in-dubai")</f>
        <v>https://www.pushgroup.ae/blog/top-9-geo-agencies-in-dubai</v>
      </c>
      <c r="B2" s="8" t="str">
        <f>IFERROR(__xludf.DUMMYFUNCTION("""COMPUTED_VALUE"""),"pushgroup.ae")</f>
        <v>pushgroup.ae</v>
      </c>
      <c r="C2" s="11" t="str">
        <f>IFERROR(__xludf.DUMMYFUNCTION("""COMPUTED_VALUE"""),"LISTICLE")</f>
        <v>LISTICLE</v>
      </c>
      <c r="D2" s="11" t="str">
        <f>IFERROR(__xludf.DUMMYFUNCTION("""COMPUTED_VALUE"""),"COMPETITOR")</f>
        <v>COMPETITOR</v>
      </c>
      <c r="E2" s="11" t="str">
        <f>IFERROR(__xludf.DUMMYFUNCTION("""COMPUTED_VALUE"""),"Top 9 GEO Agencies in Dubai (2026) | PUSH")</f>
        <v>Top 9 GEO Agencies in Dubai (2026) | PUSH</v>
      </c>
      <c r="F2" s="11" t="str">
        <f>IFERROR(__xludf.DUMMYFUNCTION("""COMPUTED_VALUE"""),"Listicle")</f>
        <v>Listicle</v>
      </c>
      <c r="G2" s="11" t="b">
        <f>IFERROR(__xludf.DUMMYFUNCTION("""COMPUTED_VALUE"""),FALSE)</f>
        <v>0</v>
      </c>
      <c r="H2" s="11" t="str">
        <f>IFERROR(__xludf.DUMMYFUNCTION("""COMPUTED_VALUE"""),"Push, Chain Reaction, Tenet, KPMG, Digital Gravity, Global Media Insight, Royex Technologies, intouch, Push MENA")</f>
        <v>Push, Chain Reaction, Tenet, KPMG, Digital Gravity, Global Media Insight, Royex Technologies, intouch, Push MENA</v>
      </c>
      <c r="I2" s="11">
        <f>IFERROR(__xludf.DUMMYFUNCTION("""COMPUTED_VALUE"""),84.0)</f>
        <v>84</v>
      </c>
      <c r="J2" s="11">
        <f>IFERROR(__xludf.DUMMYFUNCTION("""COMPUTED_VALUE"""),0.08)</f>
        <v>0.08</v>
      </c>
      <c r="K2" s="11">
        <f>IFERROR(__xludf.DUMMYFUNCTION("""COMPUTED_VALUE"""),1.94)</f>
        <v>1.94</v>
      </c>
    </row>
    <row r="3" ht="15.75" customHeight="1">
      <c r="A3" s="8" t="str">
        <f>IFERROR(__xludf.DUMMYFUNCTION("""COMPUTED_VALUE"""),"https://www.pushgroup.ae/blog/top-9-social-media-agencies-in-dubai")</f>
        <v>https://www.pushgroup.ae/blog/top-9-social-media-agencies-in-dubai</v>
      </c>
      <c r="B3" s="8" t="str">
        <f>IFERROR(__xludf.DUMMYFUNCTION("""COMPUTED_VALUE"""),"pushgroup.ae")</f>
        <v>pushgroup.ae</v>
      </c>
      <c r="C3" s="11" t="str">
        <f>IFERROR(__xludf.DUMMYFUNCTION("""COMPUTED_VALUE"""),"LISTICLE")</f>
        <v>LISTICLE</v>
      </c>
      <c r="D3" s="11" t="str">
        <f>IFERROR(__xludf.DUMMYFUNCTION("""COMPUTED_VALUE"""),"COMPETITOR")</f>
        <v>COMPETITOR</v>
      </c>
      <c r="E3" s="11" t="str">
        <f>IFERROR(__xludf.DUMMYFUNCTION("""COMPUTED_VALUE"""),"Top 9 Social Media Agencies in Dubai (2026) | PUSH")</f>
        <v>Top 9 Social Media Agencies in Dubai (2026) | PUSH</v>
      </c>
      <c r="F3" s="11" t="str">
        <f>IFERROR(__xludf.DUMMYFUNCTION("""COMPUTED_VALUE"""),"Listicle")</f>
        <v>Listicle</v>
      </c>
      <c r="G3" s="11" t="b">
        <f>IFERROR(__xludf.DUMMYFUNCTION("""COMPUTED_VALUE"""),FALSE)</f>
        <v>0</v>
      </c>
      <c r="H3" s="11" t="str">
        <f>IFERROR(__xludf.DUMMYFUNCTION("""COMPUTED_VALUE"""),"Push MENA, Push, Prism Digital, Chain Reaction, Digital Gravity, intouch")</f>
        <v>Push MENA, Push, Prism Digital, Chain Reaction, Digital Gravity, intouch</v>
      </c>
      <c r="I3" s="11">
        <f>IFERROR(__xludf.DUMMYFUNCTION("""COMPUTED_VALUE"""),23.0)</f>
        <v>23</v>
      </c>
      <c r="J3" s="11">
        <f>IFERROR(__xludf.DUMMYFUNCTION("""COMPUTED_VALUE"""),0.02)</f>
        <v>0.02</v>
      </c>
      <c r="K3" s="11">
        <f>IFERROR(__xludf.DUMMYFUNCTION("""COMPUTED_VALUE"""),1.35)</f>
        <v>1.35</v>
      </c>
    </row>
    <row r="4" ht="15.75" customHeight="1">
      <c r="A4" s="8" t="str">
        <f>IFERROR(__xludf.DUMMYFUNCTION("""COMPUTED_VALUE"""),"https://www.pushgroup.ae/blog/top-9-marketing-agencies-dubai")</f>
        <v>https://www.pushgroup.ae/blog/top-9-marketing-agencies-dubai</v>
      </c>
      <c r="B4" s="8" t="str">
        <f>IFERROR(__xludf.DUMMYFUNCTION("""COMPUTED_VALUE"""),"pushgroup.ae")</f>
        <v>pushgroup.ae</v>
      </c>
      <c r="C4" s="11" t="str">
        <f>IFERROR(__xludf.DUMMYFUNCTION("""COMPUTED_VALUE"""),"LISTICLE")</f>
        <v>LISTICLE</v>
      </c>
      <c r="D4" s="11" t="str">
        <f>IFERROR(__xludf.DUMMYFUNCTION("""COMPUTED_VALUE"""),"COMPETITOR")</f>
        <v>COMPETITOR</v>
      </c>
      <c r="E4" s="11" t="str">
        <f>IFERROR(__xludf.DUMMYFUNCTION("""COMPUTED_VALUE"""),"Top 9 Marketing Agencies in Dubai (2026) | PUSH")</f>
        <v>Top 9 Marketing Agencies in Dubai (2026) | PUSH</v>
      </c>
      <c r="F4" s="11" t="str">
        <f>IFERROR(__xludf.DUMMYFUNCTION("""COMPUTED_VALUE"""),"Listicle")</f>
        <v>Listicle</v>
      </c>
      <c r="G4" s="11" t="b">
        <f>IFERROR(__xludf.DUMMYFUNCTION("""COMPUTED_VALUE"""),FALSE)</f>
        <v>0</v>
      </c>
      <c r="H4" s="11" t="str">
        <f>IFERROR(__xludf.DUMMYFUNCTION("""COMPUTED_VALUE"""),"intouch, Push MENA, Push, FP7 McCann, Memac Ogilvy, WPP, Publicis Groupe, NEXA, Chain Reaction, TIDAL Digital")</f>
        <v>intouch, Push MENA, Push, FP7 McCann, Memac Ogilvy, WPP, Publicis Groupe, NEXA, Chain Reaction, TIDAL Digital</v>
      </c>
      <c r="I4" s="11">
        <f>IFERROR(__xludf.DUMMYFUNCTION("""COMPUTED_VALUE"""),13.0)</f>
        <v>13</v>
      </c>
      <c r="J4" s="11">
        <f>IFERROR(__xludf.DUMMYFUNCTION("""COMPUTED_VALUE"""),0.01)</f>
        <v>0.01</v>
      </c>
      <c r="K4" s="11">
        <f>IFERROR(__xludf.DUMMYFUNCTION("""COMPUTED_VALUE"""),2.23)</f>
        <v>2.23</v>
      </c>
    </row>
    <row r="5" ht="15.75" customHeight="1">
      <c r="A5" s="8" t="str">
        <f>IFERROR(__xludf.DUMMYFUNCTION("""COMPUTED_VALUE"""),"https://www.pushgroup.ae/blog/property-marketing-agencies-in-dubai")</f>
        <v>https://www.pushgroup.ae/blog/property-marketing-agencies-in-dubai</v>
      </c>
      <c r="B5" s="8" t="str">
        <f>IFERROR(__xludf.DUMMYFUNCTION("""COMPUTED_VALUE"""),"pushgroup.ae")</f>
        <v>pushgroup.ae</v>
      </c>
      <c r="C5" s="11" t="str">
        <f>IFERROR(__xludf.DUMMYFUNCTION("""COMPUTED_VALUE"""),"LISTICLE")</f>
        <v>LISTICLE</v>
      </c>
      <c r="D5" s="11" t="str">
        <f>IFERROR(__xludf.DUMMYFUNCTION("""COMPUTED_VALUE"""),"COMPETITOR")</f>
        <v>COMPETITOR</v>
      </c>
      <c r="E5" s="11" t="str">
        <f>IFERROR(__xludf.DUMMYFUNCTION("""COMPUTED_VALUE"""),"Top 9 Property Marketing Agencies in Dubai (2026) | PUSH")</f>
        <v>Top 9 Property Marketing Agencies in Dubai (2026) | PUSH</v>
      </c>
      <c r="F5" s="11" t="str">
        <f>IFERROR(__xludf.DUMMYFUNCTION("""COMPUTED_VALUE"""),"Listicle")</f>
        <v>Listicle</v>
      </c>
      <c r="G5" s="11" t="b">
        <f>IFERROR(__xludf.DUMMYFUNCTION("""COMPUTED_VALUE"""),FALSE)</f>
        <v>0</v>
      </c>
      <c r="H5" s="11" t="str">
        <f>IFERROR(__xludf.DUMMYFUNCTION("""COMPUTED_VALUE"""),"intouch, Push MENA, Push, Momentum, NEXA, Chain Reaction, SEO Sherpa, Digital Gravity, Bird Marketing")</f>
        <v>intouch, Push MENA, Push, Momentum, NEXA, Chain Reaction, SEO Sherpa, Digital Gravity, Bird Marketing</v>
      </c>
      <c r="I5" s="11">
        <f>IFERROR(__xludf.DUMMYFUNCTION("""COMPUTED_VALUE"""),1.0)</f>
        <v>1</v>
      </c>
      <c r="J5" s="11">
        <f>IFERROR(__xludf.DUMMYFUNCTION("""COMPUTED_VALUE"""),0.0)</f>
        <v>0</v>
      </c>
      <c r="K5" s="11">
        <f>IFERROR(__xludf.DUMMYFUNCTION("""COMPUTED_VALUE"""),1.0)</f>
        <v>1</v>
      </c>
    </row>
    <row r="6" ht="15.75" customHeight="1">
      <c r="A6" s="8" t="str">
        <f>IFERROR(__xludf.DUMMYFUNCTION("""COMPUTED_VALUE"""),"https://www.pushgroup.ae/blog/top-ppc-agencies-in-dubai")</f>
        <v>https://www.pushgroup.ae/blog/top-ppc-agencies-in-dubai</v>
      </c>
      <c r="B6" s="8" t="str">
        <f>IFERROR(__xludf.DUMMYFUNCTION("""COMPUTED_VALUE"""),"pushgroup.ae")</f>
        <v>pushgroup.ae</v>
      </c>
      <c r="C6" s="11" t="str">
        <f>IFERROR(__xludf.DUMMYFUNCTION("""COMPUTED_VALUE"""),"LISTICLE")</f>
        <v>LISTICLE</v>
      </c>
      <c r="D6" s="11" t="str">
        <f>IFERROR(__xludf.DUMMYFUNCTION("""COMPUTED_VALUE"""),"COMPETITOR")</f>
        <v>COMPETITOR</v>
      </c>
      <c r="E6" s="11" t="str">
        <f>IFERROR(__xludf.DUMMYFUNCTION("""COMPUTED_VALUE"""),"Top 9 PPC Agencies in Dubai (2026) | PUSH")</f>
        <v>Top 9 PPC Agencies in Dubai (2026) | PUSH</v>
      </c>
      <c r="F6" s="11" t="str">
        <f>IFERROR(__xludf.DUMMYFUNCTION("""COMPUTED_VALUE"""),"Listicle")</f>
        <v>Listicle</v>
      </c>
      <c r="G6" s="11" t="b">
        <f>IFERROR(__xludf.DUMMYFUNCTION("""COMPUTED_VALUE"""),FALSE)</f>
        <v>0</v>
      </c>
      <c r="H6" s="11" t="str">
        <f>IFERROR(__xludf.DUMMYFUNCTION("""COMPUTED_VALUE"""),"Push MENA, Push, Digital Gravity, Prism Digital, Bird Marketing, Red Berries")</f>
        <v>Push MENA, Push, Digital Gravity, Prism Digital, Bird Marketing, Red Berries</v>
      </c>
      <c r="I6" s="11">
        <f>IFERROR(__xludf.DUMMYFUNCTION("""COMPUTED_VALUE"""),1.0)</f>
        <v>1</v>
      </c>
      <c r="J6" s="11">
        <f>IFERROR(__xludf.DUMMYFUNCTION("""COMPUTED_VALUE"""),0.0)</f>
        <v>0</v>
      </c>
      <c r="K6" s="11">
        <f>IFERROR(__xludf.DUMMYFUNCTION("""COMPUTED_VALUE"""),3.0)</f>
        <v>3</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All'!A2:A1000)),""topdevelopers.co"")
  ),
  """"
)"),"https://www.topdevelopers.co/directory/digital-marketing-agencies-in-uae")</f>
        <v>https://www.topdevelopers.co/directory/digital-marketing-agencies-in-uae</v>
      </c>
      <c r="B2" s="8" t="str">
        <f>IFERROR(__xludf.DUMMYFUNCTION("""COMPUTED_VALUE"""),"topdevelopers.co")</f>
        <v>topdevelopers.co</v>
      </c>
      <c r="C2" s="11" t="str">
        <f>IFERROR(__xludf.DUMMYFUNCTION("""COMPUTED_VALUE"""),"CATEGORY_PAGE")</f>
        <v>CATEGORY_PAGE</v>
      </c>
      <c r="D2" s="11" t="str">
        <f>IFERROR(__xludf.DUMMYFUNCTION("""COMPUTED_VALUE"""),"UGC")</f>
        <v>UGC</v>
      </c>
      <c r="E2" s="11" t="str">
        <f>IFERROR(__xludf.DUMMYFUNCTION("""COMPUTED_VALUE"""),"Top 50+ Digital Marketing Agencies in UAE - July 2026 Reviews | Topdevelopers.co")</f>
        <v>Top 50+ Digital Marketing Agencies in UAE - July 2026 Reviews | Topdevelopers.co</v>
      </c>
      <c r="F2" s="11" t="str">
        <f>IFERROR(__xludf.DUMMYFUNCTION("""COMPUTED_VALUE"""),"Category Page")</f>
        <v>Category Page</v>
      </c>
      <c r="G2" s="11" t="b">
        <f>IFERROR(__xludf.DUMMYFUNCTION("""COMPUTED_VALUE"""),FALSE)</f>
        <v>0</v>
      </c>
      <c r="H2" s="11" t="str">
        <f>IFERROR(__xludf.DUMMYFUNCTION("""COMPUTED_VALUE"""),"Digital Gravity, Integrate Solutions, Global Media Insight, GCC Marketing, Bird Marketing, Prism Digital, Huge, Digital Media Sapiens, intouch")</f>
        <v>Digital Gravity, Integrate Solutions, Global Media Insight, GCC Marketing, Bird Marketing, Prism Digital, Huge, Digital Media Sapiens, intouch</v>
      </c>
      <c r="I2" s="11">
        <f>IFERROR(__xludf.DUMMYFUNCTION("""COMPUTED_VALUE"""),97.0)</f>
        <v>97</v>
      </c>
      <c r="J2" s="11">
        <f>IFERROR(__xludf.DUMMYFUNCTION("""COMPUTED_VALUE"""),0.09)</f>
        <v>0.09</v>
      </c>
      <c r="K2" s="11">
        <f>IFERROR(__xludf.DUMMYFUNCTION("""COMPUTED_VALUE"""),0.05)</f>
        <v>0.05</v>
      </c>
    </row>
    <row r="3" ht="15.75" customHeight="1">
      <c r="A3" s="8" t="str">
        <f>IFERROR(__xludf.DUMMYFUNCTION("""COMPUTED_VALUE"""),"https://www.topdevelopers.co/companies/ai-consulting/uae")</f>
        <v>https://www.topdevelopers.co/companies/ai-consulting/uae</v>
      </c>
      <c r="B3" s="8" t="str">
        <f>IFERROR(__xludf.DUMMYFUNCTION("""COMPUTED_VALUE"""),"topdevelopers.co")</f>
        <v>topdevelopers.co</v>
      </c>
      <c r="C3" s="11" t="str">
        <f>IFERROR(__xludf.DUMMYFUNCTION("""COMPUTED_VALUE"""),"CATEGORY_PAGE")</f>
        <v>CATEGORY_PAGE</v>
      </c>
      <c r="D3" s="11" t="str">
        <f>IFERROR(__xludf.DUMMYFUNCTION("""COMPUTED_VALUE"""),"UGC")</f>
        <v>UGC</v>
      </c>
      <c r="E3" s="11" t="str">
        <f>IFERROR(__xludf.DUMMYFUNCTION("""COMPUTED_VALUE"""),"Top AI Consulting Companies in UAE - July 2026 Reviews | Topdevelopers.co")</f>
        <v>Top AI Consulting Companies in UAE - July 2026 Reviews | Topdevelopers.co</v>
      </c>
      <c r="F3" s="11" t="str">
        <f>IFERROR(__xludf.DUMMYFUNCTION("""COMPUTED_VALUE"""),"Category Page")</f>
        <v>Category Page</v>
      </c>
      <c r="G3" s="11" t="b">
        <f>IFERROR(__xludf.DUMMYFUNCTION("""COMPUTED_VALUE"""),FALSE)</f>
        <v>0</v>
      </c>
      <c r="H3" s="11" t="str">
        <f>IFERROR(__xludf.DUMMYFUNCTION("""COMPUTED_VALUE"""),"Dot IT")</f>
        <v>Dot IT</v>
      </c>
      <c r="I3" s="11">
        <f>IFERROR(__xludf.DUMMYFUNCTION("""COMPUTED_VALUE"""),10.0)</f>
        <v>10</v>
      </c>
      <c r="J3" s="11">
        <f>IFERROR(__xludf.DUMMYFUNCTION("""COMPUTED_VALUE"""),0.01)</f>
        <v>0.01</v>
      </c>
      <c r="K3" s="11">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All'!A2:A1000)),""semrush"")
  ),
  """"
)"),"https://agencies.semrush.com/list/dubai/")</f>
        <v>https://agencies.semrush.com/list/dubai/</v>
      </c>
      <c r="B2" s="8" t="str">
        <f>IFERROR(__xludf.DUMMYFUNCTION("""COMPUTED_VALUE"""),"semrush.com")</f>
        <v>semrush.com</v>
      </c>
      <c r="C2" s="11" t="str">
        <f>IFERROR(__xludf.DUMMYFUNCTION("""COMPUTED_VALUE"""),"PROFILE")</f>
        <v>PROFILE</v>
      </c>
      <c r="D2" s="11" t="str">
        <f>IFERROR(__xludf.DUMMYFUNCTION("""COMPUTED_VALUE"""),"CORPORATE")</f>
        <v>CORPORATE</v>
      </c>
      <c r="E2" s="11" t="str">
        <f>IFERROR(__xludf.DUMMYFUNCTION("""COMPUTED_VALUE"""),"Best Digital Marketing Agencies in Dubai 2026 | Semrush")</f>
        <v>Best Digital Marketing Agencies in Dubai 2026 | Semrush</v>
      </c>
      <c r="F2" s="11" t="str">
        <f>IFERROR(__xludf.DUMMYFUNCTION("""COMPUTED_VALUE"""),"Profile")</f>
        <v>Profile</v>
      </c>
      <c r="G2" s="11" t="b">
        <f>IFERROR(__xludf.DUMMYFUNCTION("""COMPUTED_VALUE"""),FALSE)</f>
        <v>0</v>
      </c>
      <c r="H2" s="11" t="str">
        <f>IFERROR(__xludf.DUMMYFUNCTION("""COMPUTED_VALUE"""),"Bird Marketing, Leads Dubai, Kleosa, Dot IT, Acquisit, Chain Reaction, SEO Sherpa, Measured, Web Tonic")</f>
        <v>Bird Marketing, Leads Dubai, Kleosa, Dot IT, Acquisit, Chain Reaction, SEO Sherpa, Measured, Web Tonic</v>
      </c>
      <c r="I2" s="11">
        <f>IFERROR(__xludf.DUMMYFUNCTION("""COMPUTED_VALUE"""),47.0)</f>
        <v>47</v>
      </c>
      <c r="J2" s="11">
        <f>IFERROR(__xludf.DUMMYFUNCTION("""COMPUTED_VALUE"""),0.04)</f>
        <v>0.04</v>
      </c>
      <c r="K2" s="11">
        <f>IFERROR(__xludf.DUMMYFUNCTION("""COMPUTED_VALUE"""),0.36)</f>
        <v>0.36</v>
      </c>
    </row>
    <row r="3" ht="15.75" customHeight="1">
      <c r="A3" s="8" t="str">
        <f>IFERROR(__xludf.DUMMYFUNCTION("""COMPUTED_VALUE"""),"https://agencies.semrush.com/list/advertising/dubai/")</f>
        <v>https://agencies.semrush.com/list/advertising/dubai/</v>
      </c>
      <c r="B3" s="8" t="str">
        <f>IFERROR(__xludf.DUMMYFUNCTION("""COMPUTED_VALUE"""),"semrush.com")</f>
        <v>semrush.com</v>
      </c>
      <c r="C3" s="11" t="str">
        <f>IFERROR(__xludf.DUMMYFUNCTION("""COMPUTED_VALUE"""),"CATEGORY_PAGE")</f>
        <v>CATEGORY_PAGE</v>
      </c>
      <c r="D3" s="11" t="str">
        <f>IFERROR(__xludf.DUMMYFUNCTION("""COMPUTED_VALUE"""),"CORPORATE")</f>
        <v>CORPORATE</v>
      </c>
      <c r="E3" s="11" t="str">
        <f>IFERROR(__xludf.DUMMYFUNCTION("""COMPUTED_VALUE"""),"Best Advertising Agencies in Dubai 2026 | Semrush")</f>
        <v>Best Advertising Agencies in Dubai 2026 | Semrush</v>
      </c>
      <c r="F3" s="11" t="str">
        <f>IFERROR(__xludf.DUMMYFUNCTION("""COMPUTED_VALUE"""),"Category Page")</f>
        <v>Category Page</v>
      </c>
      <c r="G3" s="11" t="b">
        <f>IFERROR(__xludf.DUMMYFUNCTION("""COMPUTED_VALUE"""),FALSE)</f>
        <v>0</v>
      </c>
      <c r="H3" s="11" t="str">
        <f>IFERROR(__xludf.DUMMYFUNCTION("""COMPUTED_VALUE"""),"Leads Dubai, Kleosa, Dot IT, Acquisit, Chain Reaction, SEO Sherpa, Web Tonic, DigitalFarm")</f>
        <v>Leads Dubai, Kleosa, Dot IT, Acquisit, Chain Reaction, SEO Sherpa, Web Tonic, DigitalFarm</v>
      </c>
      <c r="I3" s="11">
        <f>IFERROR(__xludf.DUMMYFUNCTION("""COMPUTED_VALUE"""),32.0)</f>
        <v>32</v>
      </c>
      <c r="J3" s="11">
        <f>IFERROR(__xludf.DUMMYFUNCTION("""COMPUTED_VALUE"""),0.03)</f>
        <v>0.03</v>
      </c>
      <c r="K3" s="11">
        <f>IFERROR(__xludf.DUMMYFUNCTION("""COMPUTED_VALUE"""),0.69)</f>
        <v>0.69</v>
      </c>
    </row>
    <row r="4" ht="15.75" customHeight="1">
      <c r="A4" s="8" t="str">
        <f>IFERROR(__xludf.DUMMYFUNCTION("""COMPUTED_VALUE"""),"https://agencies.semrush.com/list/ai-optimization/dubai/")</f>
        <v>https://agencies.semrush.com/list/ai-optimization/dubai/</v>
      </c>
      <c r="B4" s="8" t="str">
        <f>IFERROR(__xludf.DUMMYFUNCTION("""COMPUTED_VALUE"""),"semrush.com")</f>
        <v>semrush.com</v>
      </c>
      <c r="C4" s="11" t="str">
        <f>IFERROR(__xludf.DUMMYFUNCTION("""COMPUTED_VALUE"""),"CATEGORY_PAGE")</f>
        <v>CATEGORY_PAGE</v>
      </c>
      <c r="D4" s="11" t="str">
        <f>IFERROR(__xludf.DUMMYFUNCTION("""COMPUTED_VALUE"""),"CORPORATE")</f>
        <v>CORPORATE</v>
      </c>
      <c r="E4" s="11" t="str">
        <f>IFERROR(__xludf.DUMMYFUNCTION("""COMPUTED_VALUE"""),"Best AI Search Optimization Agencies in Dubai 2026 | Semrush")</f>
        <v>Best AI Search Optimization Agencies in Dubai 2026 | Semrush</v>
      </c>
      <c r="F4" s="11" t="str">
        <f>IFERROR(__xludf.DUMMYFUNCTION("""COMPUTED_VALUE"""),"Category Page")</f>
        <v>Category Page</v>
      </c>
      <c r="G4" s="11" t="b">
        <f>IFERROR(__xludf.DUMMYFUNCTION("""COMPUTED_VALUE"""),FALSE)</f>
        <v>0</v>
      </c>
      <c r="H4" s="11" t="str">
        <f>IFERROR(__xludf.DUMMYFUNCTION("""COMPUTED_VALUE"""),"Kleosa, Leads Dubai, Measured, Web Tonic")</f>
        <v>Kleosa, Leads Dubai, Measured, Web Tonic</v>
      </c>
      <c r="I4" s="11">
        <f>IFERROR(__xludf.DUMMYFUNCTION("""COMPUTED_VALUE"""),30.0)</f>
        <v>30</v>
      </c>
      <c r="J4" s="11">
        <f>IFERROR(__xludf.DUMMYFUNCTION("""COMPUTED_VALUE"""),0.03)</f>
        <v>0.03</v>
      </c>
      <c r="K4" s="11">
        <f>IFERROR(__xludf.DUMMYFUNCTION("""COMPUTED_VALUE"""),0.97)</f>
        <v>0.97</v>
      </c>
    </row>
    <row r="5" ht="15.75" customHeight="1">
      <c r="A5" s="8" t="str">
        <f>IFERROR(__xludf.DUMMYFUNCTION("""COMPUTED_VALUE"""),"https://agencies.semrush.com/list/ai-optimization/united-arab-emirates/")</f>
        <v>https://agencies.semrush.com/list/ai-optimization/united-arab-emirates/</v>
      </c>
      <c r="B5" s="8" t="str">
        <f>IFERROR(__xludf.DUMMYFUNCTION("""COMPUTED_VALUE"""),"semrush.com")</f>
        <v>semrush.com</v>
      </c>
      <c r="C5" s="11" t="str">
        <f>IFERROR(__xludf.DUMMYFUNCTION("""COMPUTED_VALUE"""),"CATEGORY_PAGE")</f>
        <v>CATEGORY_PAGE</v>
      </c>
      <c r="D5" s="11" t="str">
        <f>IFERROR(__xludf.DUMMYFUNCTION("""COMPUTED_VALUE"""),"CORPORATE")</f>
        <v>CORPORATE</v>
      </c>
      <c r="E5" s="11" t="str">
        <f>IFERROR(__xludf.DUMMYFUNCTION("""COMPUTED_VALUE"""),"Best AI Search Optimization Agencies in United Arab Emirates 2026 | Semrush")</f>
        <v>Best AI Search Optimization Agencies in United Arab Emirates 2026 | Semrush</v>
      </c>
      <c r="F5" s="11" t="str">
        <f>IFERROR(__xludf.DUMMYFUNCTION("""COMPUTED_VALUE"""),"Category Page")</f>
        <v>Category Page</v>
      </c>
      <c r="G5" s="11" t="b">
        <f>IFERROR(__xludf.DUMMYFUNCTION("""COMPUTED_VALUE"""),FALSE)</f>
        <v>0</v>
      </c>
      <c r="H5" s="11" t="str">
        <f>IFERROR(__xludf.DUMMYFUNCTION("""COMPUTED_VALUE"""),"Kleosa, Leads Dubai, Measured, Web Tonic")</f>
        <v>Kleosa, Leads Dubai, Measured, Web Tonic</v>
      </c>
      <c r="I5" s="11">
        <f>IFERROR(__xludf.DUMMYFUNCTION("""COMPUTED_VALUE"""),26.0)</f>
        <v>26</v>
      </c>
      <c r="J5" s="11">
        <f>IFERROR(__xludf.DUMMYFUNCTION("""COMPUTED_VALUE"""),0.02)</f>
        <v>0.02</v>
      </c>
      <c r="K5" s="11">
        <f>IFERROR(__xludf.DUMMYFUNCTION("""COMPUTED_VALUE"""),1.81)</f>
        <v>1.81</v>
      </c>
    </row>
    <row r="6" ht="15.75" customHeight="1">
      <c r="A6" s="8" t="str">
        <f>IFERROR(__xludf.DUMMYFUNCTION("""COMPUTED_VALUE"""),"https://agencies.semrush.com/list/smm/dubai/")</f>
        <v>https://agencies.semrush.com/list/smm/dubai/</v>
      </c>
      <c r="B6" s="8" t="str">
        <f>IFERROR(__xludf.DUMMYFUNCTION("""COMPUTED_VALUE"""),"semrush.com")</f>
        <v>semrush.com</v>
      </c>
      <c r="C6" s="11" t="str">
        <f>IFERROR(__xludf.DUMMYFUNCTION("""COMPUTED_VALUE"""),"CATEGORY_PAGE")</f>
        <v>CATEGORY_PAGE</v>
      </c>
      <c r="D6" s="11" t="str">
        <f>IFERROR(__xludf.DUMMYFUNCTION("""COMPUTED_VALUE"""),"CORPORATE")</f>
        <v>CORPORATE</v>
      </c>
      <c r="E6" s="11" t="str">
        <f>IFERROR(__xludf.DUMMYFUNCTION("""COMPUTED_VALUE"""),"Best Social Media Marketing Agencies in Dubai 2026 | Semrush")</f>
        <v>Best Social Media Marketing Agencies in Dubai 2026 | Semrush</v>
      </c>
      <c r="F6" s="11" t="str">
        <f>IFERROR(__xludf.DUMMYFUNCTION("""COMPUTED_VALUE"""),"Category Page")</f>
        <v>Category Page</v>
      </c>
      <c r="G6" s="11" t="b">
        <f>IFERROR(__xludf.DUMMYFUNCTION("""COMPUTED_VALUE"""),FALSE)</f>
        <v>0</v>
      </c>
      <c r="H6" s="11" t="str">
        <f>IFERROR(__xludf.DUMMYFUNCTION("""COMPUTED_VALUE"""),"Leads Dubai, Dot IT, Acquisit, DigitalFarm")</f>
        <v>Leads Dubai, Dot IT, Acquisit, DigitalFarm</v>
      </c>
      <c r="I6" s="11">
        <f>IFERROR(__xludf.DUMMYFUNCTION("""COMPUTED_VALUE"""),21.0)</f>
        <v>21</v>
      </c>
      <c r="J6" s="11">
        <f>IFERROR(__xludf.DUMMYFUNCTION("""COMPUTED_VALUE"""),0.02)</f>
        <v>0.02</v>
      </c>
      <c r="K6" s="11">
        <f>IFERROR(__xludf.DUMMYFUNCTION("""COMPUTED_VALUE"""),0.38)</f>
        <v>0.38</v>
      </c>
    </row>
    <row r="7" ht="15.75" customHeight="1">
      <c r="A7" s="8" t="str">
        <f>IFERROR(__xludf.DUMMYFUNCTION("""COMPUTED_VALUE"""),"https://agencies.semrush.com/list/display-advertising/dubai/")</f>
        <v>https://agencies.semrush.com/list/display-advertising/dubai/</v>
      </c>
      <c r="B7" s="8" t="str">
        <f>IFERROR(__xludf.DUMMYFUNCTION("""COMPUTED_VALUE"""),"semrush.com")</f>
        <v>semrush.com</v>
      </c>
      <c r="C7" s="11" t="str">
        <f>IFERROR(__xludf.DUMMYFUNCTION("""COMPUTED_VALUE"""),"OTHER")</f>
        <v>OTHER</v>
      </c>
      <c r="D7" s="11" t="str">
        <f>IFERROR(__xludf.DUMMYFUNCTION("""COMPUTED_VALUE"""),"CORPORATE")</f>
        <v>CORPORATE</v>
      </c>
      <c r="E7" s="11" t="str">
        <f>IFERROR(__xludf.DUMMYFUNCTION("""COMPUTED_VALUE"""),"Best Display Ads Agencies in Dubai 2026 | Semrush")</f>
        <v>Best Display Ads Agencies in Dubai 2026 | Semrush</v>
      </c>
      <c r="F7" s="11" t="str">
        <f>IFERROR(__xludf.DUMMYFUNCTION("""COMPUTED_VALUE"""),"Other")</f>
        <v>Other</v>
      </c>
      <c r="G7" s="11" t="b">
        <f>IFERROR(__xludf.DUMMYFUNCTION("""COMPUTED_VALUE"""),FALSE)</f>
        <v>0</v>
      </c>
      <c r="H7" s="11" t="str">
        <f>IFERROR(__xludf.DUMMYFUNCTION("""COMPUTED_VALUE"""),"Leads Dubai, Dot IT, Chain Reaction, DigitalFarm")</f>
        <v>Leads Dubai, Dot IT, Chain Reaction, DigitalFarm</v>
      </c>
      <c r="I7" s="11">
        <f>IFERROR(__xludf.DUMMYFUNCTION("""COMPUTED_VALUE"""),20.0)</f>
        <v>20</v>
      </c>
      <c r="J7" s="11">
        <f>IFERROR(__xludf.DUMMYFUNCTION("""COMPUTED_VALUE"""),0.02)</f>
        <v>0.02</v>
      </c>
      <c r="K7" s="11">
        <f>IFERROR(__xludf.DUMMYFUNCTION("""COMPUTED_VALUE"""),0.6)</f>
        <v>0.6</v>
      </c>
    </row>
    <row r="8" ht="15.75" customHeight="1">
      <c r="A8" s="8" t="str">
        <f>IFERROR(__xludf.DUMMYFUNCTION("""COMPUTED_VALUE"""),"https://agencies.semrush.com/list/united-arab-emirates/")</f>
        <v>https://agencies.semrush.com/list/united-arab-emirates/</v>
      </c>
      <c r="B8" s="8" t="str">
        <f>IFERROR(__xludf.DUMMYFUNCTION("""COMPUTED_VALUE"""),"semrush.com")</f>
        <v>semrush.com</v>
      </c>
      <c r="C8" s="11" t="str">
        <f>IFERROR(__xludf.DUMMYFUNCTION("""COMPUTED_VALUE"""),"CATEGORY_PAGE")</f>
        <v>CATEGORY_PAGE</v>
      </c>
      <c r="D8" s="11" t="str">
        <f>IFERROR(__xludf.DUMMYFUNCTION("""COMPUTED_VALUE"""),"CORPORATE")</f>
        <v>CORPORATE</v>
      </c>
      <c r="E8" s="11" t="str">
        <f>IFERROR(__xludf.DUMMYFUNCTION("""COMPUTED_VALUE"""),"Best Digital Marketing Agencies in United Arab Emirates 2026 | Semrush")</f>
        <v>Best Digital Marketing Agencies in United Arab Emirates 2026 | Semrush</v>
      </c>
      <c r="F8" s="11" t="str">
        <f>IFERROR(__xludf.DUMMYFUNCTION("""COMPUTED_VALUE"""),"Category Page")</f>
        <v>Category Page</v>
      </c>
      <c r="G8" s="11" t="b">
        <f>IFERROR(__xludf.DUMMYFUNCTION("""COMPUTED_VALUE"""),FALSE)</f>
        <v>0</v>
      </c>
      <c r="H8" s="11" t="str">
        <f>IFERROR(__xludf.DUMMYFUNCTION("""COMPUTED_VALUE"""),"Bird Marketing, Leads Dubai, Kleosa, Dot IT, Acquisit, Chain Reaction, DigitalFarm, SEO Sherpa, Measured")</f>
        <v>Bird Marketing, Leads Dubai, Kleosa, Dot IT, Acquisit, Chain Reaction, DigitalFarm, SEO Sherpa, Measured</v>
      </c>
      <c r="I8" s="11">
        <f>IFERROR(__xludf.DUMMYFUNCTION("""COMPUTED_VALUE"""),20.0)</f>
        <v>20</v>
      </c>
      <c r="J8" s="11">
        <f>IFERROR(__xludf.DUMMYFUNCTION("""COMPUTED_VALUE"""),0.02)</f>
        <v>0.02</v>
      </c>
      <c r="K8" s="11">
        <f>IFERROR(__xludf.DUMMYFUNCTION("""COMPUTED_VALUE"""),0.55)</f>
        <v>0.55</v>
      </c>
    </row>
    <row r="9" ht="15.75" customHeight="1">
      <c r="A9" s="8" t="str">
        <f>IFERROR(__xludf.DUMMYFUNCTION("""COMPUTED_VALUE"""),"https://agencies.semrush.com/list/advertising/united-arab-emirates/")</f>
        <v>https://agencies.semrush.com/list/advertising/united-arab-emirates/</v>
      </c>
      <c r="B9" s="8" t="str">
        <f>IFERROR(__xludf.DUMMYFUNCTION("""COMPUTED_VALUE"""),"semrush.com")</f>
        <v>semrush.com</v>
      </c>
      <c r="C9" s="11" t="str">
        <f>IFERROR(__xludf.DUMMYFUNCTION("""COMPUTED_VALUE"""),"CATEGORY_PAGE")</f>
        <v>CATEGORY_PAGE</v>
      </c>
      <c r="D9" s="11" t="str">
        <f>IFERROR(__xludf.DUMMYFUNCTION("""COMPUTED_VALUE"""),"CORPORATE")</f>
        <v>CORPORATE</v>
      </c>
      <c r="E9" s="11" t="str">
        <f>IFERROR(__xludf.DUMMYFUNCTION("""COMPUTED_VALUE"""),"Best Advertising Agencies in United Arab Emirates 2026 | Semrush")</f>
        <v>Best Advertising Agencies in United Arab Emirates 2026 | Semrush</v>
      </c>
      <c r="F9" s="11" t="str">
        <f>IFERROR(__xludf.DUMMYFUNCTION("""COMPUTED_VALUE"""),"Category Page")</f>
        <v>Category Page</v>
      </c>
      <c r="G9" s="11" t="b">
        <f>IFERROR(__xludf.DUMMYFUNCTION("""COMPUTED_VALUE"""),FALSE)</f>
        <v>0</v>
      </c>
      <c r="H9" s="11" t="str">
        <f>IFERROR(__xludf.DUMMYFUNCTION("""COMPUTED_VALUE"""),"Leads Dubai, Kleosa, Dot IT, Acquisit, Chain Reaction, DigitalFarm, SEO Sherpa, Web Tonic")</f>
        <v>Leads Dubai, Kleosa, Dot IT, Acquisit, Chain Reaction, DigitalFarm, SEO Sherpa, Web Tonic</v>
      </c>
      <c r="I9" s="11">
        <f>IFERROR(__xludf.DUMMYFUNCTION("""COMPUTED_VALUE"""),19.0)</f>
        <v>19</v>
      </c>
      <c r="J9" s="11">
        <f>IFERROR(__xludf.DUMMYFUNCTION("""COMPUTED_VALUE"""),0.02)</f>
        <v>0.02</v>
      </c>
      <c r="K9" s="11">
        <f>IFERROR(__xludf.DUMMYFUNCTION("""COMPUTED_VALUE"""),0.42)</f>
        <v>0.42</v>
      </c>
    </row>
    <row r="10" ht="15.75" customHeight="1">
      <c r="A10" s="8" t="str">
        <f>IFERROR(__xludf.DUMMYFUNCTION("""COMPUTED_VALUE"""),"https://agencies.semrush.com/list/display-advertising/united-arab-emirates/")</f>
        <v>https://agencies.semrush.com/list/display-advertising/united-arab-emirates/</v>
      </c>
      <c r="B10" s="8" t="str">
        <f>IFERROR(__xludf.DUMMYFUNCTION("""COMPUTED_VALUE"""),"semrush.com")</f>
        <v>semrush.com</v>
      </c>
      <c r="C10" s="11" t="str">
        <f>IFERROR(__xludf.DUMMYFUNCTION("""COMPUTED_VALUE"""),"CATEGORY_PAGE")</f>
        <v>CATEGORY_PAGE</v>
      </c>
      <c r="D10" s="11" t="str">
        <f>IFERROR(__xludf.DUMMYFUNCTION("""COMPUTED_VALUE"""),"CORPORATE")</f>
        <v>CORPORATE</v>
      </c>
      <c r="E10" s="11" t="str">
        <f>IFERROR(__xludf.DUMMYFUNCTION("""COMPUTED_VALUE"""),"Best Display Ads Agencies in United Arab Emirates 2026 | Semrush")</f>
        <v>Best Display Ads Agencies in United Arab Emirates 2026 | Semrush</v>
      </c>
      <c r="F10" s="11" t="str">
        <f>IFERROR(__xludf.DUMMYFUNCTION("""COMPUTED_VALUE"""),"Category Page")</f>
        <v>Category Page</v>
      </c>
      <c r="G10" s="11" t="b">
        <f>IFERROR(__xludf.DUMMYFUNCTION("""COMPUTED_VALUE"""),FALSE)</f>
        <v>0</v>
      </c>
      <c r="H10" s="11" t="str">
        <f>IFERROR(__xludf.DUMMYFUNCTION("""COMPUTED_VALUE"""),"Leads Dubai, Dot IT, Chain Reaction, DigitalFarm")</f>
        <v>Leads Dubai, Dot IT, Chain Reaction, DigitalFarm</v>
      </c>
      <c r="I10" s="11">
        <f>IFERROR(__xludf.DUMMYFUNCTION("""COMPUTED_VALUE"""),17.0)</f>
        <v>17</v>
      </c>
      <c r="J10" s="11">
        <f>IFERROR(__xludf.DUMMYFUNCTION("""COMPUTED_VALUE"""),0.02)</f>
        <v>0.02</v>
      </c>
      <c r="K10" s="11">
        <f>IFERROR(__xludf.DUMMYFUNCTION("""COMPUTED_VALUE"""),0.18)</f>
        <v>0.18</v>
      </c>
    </row>
    <row r="11" ht="15.75" customHeight="1">
      <c r="A11" s="8" t="str">
        <f>IFERROR(__xludf.DUMMYFUNCTION("""COMPUTED_VALUE"""),"https://www.semrush.com/agencies/list/display-advertising/dubai/")</f>
        <v>https://www.semrush.com/agencies/list/display-advertising/dubai/</v>
      </c>
      <c r="B11" s="8" t="str">
        <f>IFERROR(__xludf.DUMMYFUNCTION("""COMPUTED_VALUE"""),"semrush.com")</f>
        <v>semrush.com</v>
      </c>
      <c r="C11" s="11" t="str">
        <f>IFERROR(__xludf.DUMMYFUNCTION("""COMPUTED_VALUE"""),"PROFILE")</f>
        <v>PROFILE</v>
      </c>
      <c r="D11" s="11" t="str">
        <f>IFERROR(__xludf.DUMMYFUNCTION("""COMPUTED_VALUE"""),"CORPORATE")</f>
        <v>CORPORATE</v>
      </c>
      <c r="E11" s="11" t="str">
        <f>IFERROR(__xludf.DUMMYFUNCTION("""COMPUTED_VALUE"""),"Best Display Ads Agencies in Dubai 2026 \| Semrush")</f>
        <v>Best Display Ads Agencies in Dubai 2026 \| Semrush</v>
      </c>
      <c r="F11" s="11" t="str">
        <f>IFERROR(__xludf.DUMMYFUNCTION("""COMPUTED_VALUE"""),"Profile")</f>
        <v>Profile</v>
      </c>
      <c r="G11" s="11" t="b">
        <f>IFERROR(__xludf.DUMMYFUNCTION("""COMPUTED_VALUE"""),FALSE)</f>
        <v>0</v>
      </c>
      <c r="H11" s="11" t="str">
        <f>IFERROR(__xludf.DUMMYFUNCTION("""COMPUTED_VALUE"""),"intouch, Leads Dubai, Dot IT, Chain Reaction, DigitalFarm")</f>
        <v>intouch, Leads Dubai, Dot IT, Chain Reaction, DigitalFarm</v>
      </c>
      <c r="I11" s="11">
        <f>IFERROR(__xludf.DUMMYFUNCTION("""COMPUTED_VALUE"""),14.0)</f>
        <v>14</v>
      </c>
      <c r="J11" s="11">
        <f>IFERROR(__xludf.DUMMYFUNCTION("""COMPUTED_VALUE"""),0.01)</f>
        <v>0.01</v>
      </c>
      <c r="K11" s="11">
        <f>IFERROR(__xludf.DUMMYFUNCTION("""COMPUTED_VALUE"""),2.21)</f>
        <v>2.21</v>
      </c>
    </row>
    <row r="12" ht="15.75" customHeight="1">
      <c r="A12" s="8" t="str">
        <f>IFERROR(__xludf.DUMMYFUNCTION("""COMPUTED_VALUE"""),"https://agencies.semrush.com/list/ppc/united-arab-emirates/")</f>
        <v>https://agencies.semrush.com/list/ppc/united-arab-emirates/</v>
      </c>
      <c r="B12" s="8" t="str">
        <f>IFERROR(__xludf.DUMMYFUNCTION("""COMPUTED_VALUE"""),"semrush.com")</f>
        <v>semrush.com</v>
      </c>
      <c r="C12" s="11" t="str">
        <f>IFERROR(__xludf.DUMMYFUNCTION("""COMPUTED_VALUE"""),"CATEGORY_PAGE")</f>
        <v>CATEGORY_PAGE</v>
      </c>
      <c r="D12" s="11" t="str">
        <f>IFERROR(__xludf.DUMMYFUNCTION("""COMPUTED_VALUE"""),"CORPORATE")</f>
        <v>CORPORATE</v>
      </c>
      <c r="E12" s="11" t="str">
        <f>IFERROR(__xludf.DUMMYFUNCTION("""COMPUTED_VALUE"""),"Best PPC Agencies in United Arab Emirates 2026 | Semrush")</f>
        <v>Best PPC Agencies in United Arab Emirates 2026 | Semrush</v>
      </c>
      <c r="F12" s="11" t="str">
        <f>IFERROR(__xludf.DUMMYFUNCTION("""COMPUTED_VALUE"""),"Category Page")</f>
        <v>Category Page</v>
      </c>
      <c r="G12" s="11" t="b">
        <f>IFERROR(__xludf.DUMMYFUNCTION("""COMPUTED_VALUE"""),FALSE)</f>
        <v>0</v>
      </c>
      <c r="H12" s="11" t="str">
        <f>IFERROR(__xludf.DUMMYFUNCTION("""COMPUTED_VALUE"""),"Leads Dubai, Kleosa, Dot IT, Acquisit, Chain Reaction, DigitalFarm, SEO Sherpa, Web Tonic")</f>
        <v>Leads Dubai, Kleosa, Dot IT, Acquisit, Chain Reaction, DigitalFarm, SEO Sherpa, Web Tonic</v>
      </c>
      <c r="I12" s="11">
        <f>IFERROR(__xludf.DUMMYFUNCTION("""COMPUTED_VALUE"""),12.0)</f>
        <v>12</v>
      </c>
      <c r="J12" s="11">
        <f>IFERROR(__xludf.DUMMYFUNCTION("""COMPUTED_VALUE"""),0.01)</f>
        <v>0.01</v>
      </c>
      <c r="K12" s="11">
        <f>IFERROR(__xludf.DUMMYFUNCTION("""COMPUTED_VALUE"""),0.0)</f>
        <v>0</v>
      </c>
    </row>
    <row r="13" ht="15.75" customHeight="1">
      <c r="A13" s="8" t="str">
        <f>IFERROR(__xludf.DUMMYFUNCTION("""COMPUTED_VALUE"""),"https://agencies.semrush.com/list/smm/united-arab-emirates/")</f>
        <v>https://agencies.semrush.com/list/smm/united-arab-emirates/</v>
      </c>
      <c r="B13" s="8" t="str">
        <f>IFERROR(__xludf.DUMMYFUNCTION("""COMPUTED_VALUE"""),"semrush.com")</f>
        <v>semrush.com</v>
      </c>
      <c r="C13" s="11" t="str">
        <f>IFERROR(__xludf.DUMMYFUNCTION("""COMPUTED_VALUE"""),"CATEGORY_PAGE")</f>
        <v>CATEGORY_PAGE</v>
      </c>
      <c r="D13" s="11" t="str">
        <f>IFERROR(__xludf.DUMMYFUNCTION("""COMPUTED_VALUE"""),"CORPORATE")</f>
        <v>CORPORATE</v>
      </c>
      <c r="E13" s="11" t="str">
        <f>IFERROR(__xludf.DUMMYFUNCTION("""COMPUTED_VALUE"""),"Best Social Media Marketing Agencies in United Arab Emirates 2026 | Semrush")</f>
        <v>Best Social Media Marketing Agencies in United Arab Emirates 2026 | Semrush</v>
      </c>
      <c r="F13" s="11" t="str">
        <f>IFERROR(__xludf.DUMMYFUNCTION("""COMPUTED_VALUE"""),"Category Page")</f>
        <v>Category Page</v>
      </c>
      <c r="G13" s="11" t="b">
        <f>IFERROR(__xludf.DUMMYFUNCTION("""COMPUTED_VALUE"""),FALSE)</f>
        <v>0</v>
      </c>
      <c r="H13" s="11" t="str">
        <f>IFERROR(__xludf.DUMMYFUNCTION("""COMPUTED_VALUE"""),"Leads Dubai, Dot IT, Acquisit, DigitalFarm")</f>
        <v>Leads Dubai, Dot IT, Acquisit, DigitalFarm</v>
      </c>
      <c r="I13" s="11">
        <f>IFERROR(__xludf.DUMMYFUNCTION("""COMPUTED_VALUE"""),12.0)</f>
        <v>12</v>
      </c>
      <c r="J13" s="11">
        <f>IFERROR(__xludf.DUMMYFUNCTION("""COMPUTED_VALUE"""),0.01)</f>
        <v>0.01</v>
      </c>
      <c r="K13" s="11">
        <f>IFERROR(__xludf.DUMMYFUNCTION("""COMPUTED_VALUE"""),1.5)</f>
        <v>1.5</v>
      </c>
    </row>
    <row r="14" ht="15.75" customHeight="1">
      <c r="A14" s="8" t="str">
        <f>IFERROR(__xludf.DUMMYFUNCTION("""COMPUTED_VALUE"""),"https://agencies.semrush.com/list/ppc/dubai/")</f>
        <v>https://agencies.semrush.com/list/ppc/dubai/</v>
      </c>
      <c r="B14" s="8" t="str">
        <f>IFERROR(__xludf.DUMMYFUNCTION("""COMPUTED_VALUE"""),"semrush.com")</f>
        <v>semrush.com</v>
      </c>
      <c r="C14" s="11" t="str">
        <f>IFERROR(__xludf.DUMMYFUNCTION("""COMPUTED_VALUE"""),"CATEGORY_PAGE")</f>
        <v>CATEGORY_PAGE</v>
      </c>
      <c r="D14" s="11" t="str">
        <f>IFERROR(__xludf.DUMMYFUNCTION("""COMPUTED_VALUE"""),"CORPORATE")</f>
        <v>CORPORATE</v>
      </c>
      <c r="E14" s="11" t="str">
        <f>IFERROR(__xludf.DUMMYFUNCTION("""COMPUTED_VALUE"""),"Best PPC Agencies in Dubai 2026 | Semrush")</f>
        <v>Best PPC Agencies in Dubai 2026 | Semrush</v>
      </c>
      <c r="F14" s="11" t="str">
        <f>IFERROR(__xludf.DUMMYFUNCTION("""COMPUTED_VALUE"""),"Category Page")</f>
        <v>Category Page</v>
      </c>
      <c r="G14" s="11" t="b">
        <f>IFERROR(__xludf.DUMMYFUNCTION("""COMPUTED_VALUE"""),FALSE)</f>
        <v>0</v>
      </c>
      <c r="H14" s="11" t="str">
        <f>IFERROR(__xludf.DUMMYFUNCTION("""COMPUTED_VALUE"""),"Leads Dubai, Kleosa, Dot IT, Acquisit, Chain Reaction, SEO Sherpa, Web Tonic, DigitalFarm")</f>
        <v>Leads Dubai, Kleosa, Dot IT, Acquisit, Chain Reaction, SEO Sherpa, Web Tonic, DigitalFarm</v>
      </c>
      <c r="I14" s="11">
        <f>IFERROR(__xludf.DUMMYFUNCTION("""COMPUTED_VALUE"""),10.0)</f>
        <v>10</v>
      </c>
      <c r="J14" s="11">
        <f>IFERROR(__xludf.DUMMYFUNCTION("""COMPUTED_VALUE"""),0.01)</f>
        <v>0.01</v>
      </c>
      <c r="K14" s="11">
        <f>IFERROR(__xludf.DUMMYFUNCTION("""COMPUTED_VALUE"""),0.0)</f>
        <v>0</v>
      </c>
    </row>
    <row r="15" ht="15.75" customHeight="1">
      <c r="A15" s="8" t="str">
        <f>IFERROR(__xludf.DUMMYFUNCTION("""COMPUTED_VALUE"""),"https://agencies.semrush.com/list/ai-optimization/dubai/small-business/")</f>
        <v>https://agencies.semrush.com/list/ai-optimization/dubai/small-business/</v>
      </c>
      <c r="B15" s="8" t="str">
        <f>IFERROR(__xludf.DUMMYFUNCTION("""COMPUTED_VALUE"""),"semrush.com")</f>
        <v>semrush.com</v>
      </c>
      <c r="C15" s="11" t="str">
        <f>IFERROR(__xludf.DUMMYFUNCTION("""COMPUTED_VALUE"""),"CATEGORY_PAGE")</f>
        <v>CATEGORY_PAGE</v>
      </c>
      <c r="D15" s="11" t="str">
        <f>IFERROR(__xludf.DUMMYFUNCTION("""COMPUTED_VALUE"""),"CORPORATE")</f>
        <v>CORPORATE</v>
      </c>
      <c r="E15" s="11" t="str">
        <f>IFERROR(__xludf.DUMMYFUNCTION("""COMPUTED_VALUE"""),"Best AI Search Optimization Agencies for Small Business in Dubai 2026 | Semrush")</f>
        <v>Best AI Search Optimization Agencies for Small Business in Dubai 2026 | Semrush</v>
      </c>
      <c r="F15" s="11" t="str">
        <f>IFERROR(__xludf.DUMMYFUNCTION("""COMPUTED_VALUE"""),"Category Page")</f>
        <v>Category Page</v>
      </c>
      <c r="G15" s="11" t="b">
        <f>IFERROR(__xludf.DUMMYFUNCTION("""COMPUTED_VALUE"""),FALSE)</f>
        <v>0</v>
      </c>
      <c r="H15" s="11" t="str">
        <f>IFERROR(__xludf.DUMMYFUNCTION("""COMPUTED_VALUE"""),"Kleosa, Leads Dubai, Measured")</f>
        <v>Kleosa, Leads Dubai, Measured</v>
      </c>
      <c r="I15" s="11">
        <f>IFERROR(__xludf.DUMMYFUNCTION("""COMPUTED_VALUE"""),9.0)</f>
        <v>9</v>
      </c>
      <c r="J15" s="11">
        <f>IFERROR(__xludf.DUMMYFUNCTION("""COMPUTED_VALUE"""),0.01)</f>
        <v>0.01</v>
      </c>
      <c r="K15" s="11">
        <f>IFERROR(__xludf.DUMMYFUNCTION("""COMPUTED_VALUE"""),0.0)</f>
        <v>0</v>
      </c>
    </row>
    <row r="16" ht="15.75" customHeight="1">
      <c r="A16" s="8" t="str">
        <f>IFERROR(__xludf.DUMMYFUNCTION("""COMPUTED_VALUE"""),"https://www.semrush.com/agencies/list/analytics-data-science/dubai/small-business/")</f>
        <v>https://www.semrush.com/agencies/list/analytics-data-science/dubai/small-business/</v>
      </c>
      <c r="B16" s="8" t="str">
        <f>IFERROR(__xludf.DUMMYFUNCTION("""COMPUTED_VALUE"""),"semrush.com")</f>
        <v>semrush.com</v>
      </c>
      <c r="C16" s="11" t="str">
        <f>IFERROR(__xludf.DUMMYFUNCTION("""COMPUTED_VALUE"""),"PROFILE")</f>
        <v>PROFILE</v>
      </c>
      <c r="D16" s="11" t="str">
        <f>IFERROR(__xludf.DUMMYFUNCTION("""COMPUTED_VALUE"""),"CORPORATE")</f>
        <v>CORPORATE</v>
      </c>
      <c r="E16" s="11" t="str">
        <f>IFERROR(__xludf.DUMMYFUNCTION("""COMPUTED_VALUE"""),"Best Data Analytics Services for Small Business in Dubai 2026 \| Semrush")</f>
        <v>Best Data Analytics Services for Small Business in Dubai 2026 \| Semrush</v>
      </c>
      <c r="F16" s="11" t="str">
        <f>IFERROR(__xludf.DUMMYFUNCTION("""COMPUTED_VALUE"""),"Profile")</f>
        <v>Profile</v>
      </c>
      <c r="G16" s="11" t="b">
        <f>IFERROR(__xludf.DUMMYFUNCTION("""COMPUTED_VALUE"""),FALSE)</f>
        <v>0</v>
      </c>
      <c r="H16" s="11" t="str">
        <f>IFERROR(__xludf.DUMMYFUNCTION("""COMPUTED_VALUE"""),"intouch, Leads Dubai, United SEO, Chain Reaction")</f>
        <v>intouch, Leads Dubai, United SEO, Chain Reaction</v>
      </c>
      <c r="I16" s="11">
        <f>IFERROR(__xludf.DUMMYFUNCTION("""COMPUTED_VALUE"""),8.0)</f>
        <v>8</v>
      </c>
      <c r="J16" s="11">
        <f>IFERROR(__xludf.DUMMYFUNCTION("""COMPUTED_VALUE"""),0.01)</f>
        <v>0.01</v>
      </c>
      <c r="K16" s="11">
        <f>IFERROR(__xludf.DUMMYFUNCTION("""COMPUTED_VALUE"""),0.0)</f>
        <v>0</v>
      </c>
    </row>
    <row r="17" ht="15.75" customHeight="1">
      <c r="A17" s="8" t="str">
        <f>IFERROR(__xludf.DUMMYFUNCTION("""COMPUTED_VALUE"""),"https://agencies.semrush.com/list/analytics-data-science/business-professional-services/dubai/")</f>
        <v>https://agencies.semrush.com/list/analytics-data-science/business-professional-services/dubai/</v>
      </c>
      <c r="B17" s="8" t="str">
        <f>IFERROR(__xludf.DUMMYFUNCTION("""COMPUTED_VALUE"""),"semrush.com")</f>
        <v>semrush.com</v>
      </c>
      <c r="C17" s="11" t="str">
        <f>IFERROR(__xludf.DUMMYFUNCTION("""COMPUTED_VALUE"""),"OTHER")</f>
        <v>OTHER</v>
      </c>
      <c r="D17" s="11" t="str">
        <f>IFERROR(__xludf.DUMMYFUNCTION("""COMPUTED_VALUE"""),"CORPORATE")</f>
        <v>CORPORATE</v>
      </c>
      <c r="E17" s="11" t="str">
        <f>IFERROR(__xludf.DUMMYFUNCTION("""COMPUTED_VALUE"""),"Best B2B Services Data Analytics Services in Dubai 2026 | Semrush")</f>
        <v>Best B2B Services Data Analytics Services in Dubai 2026 | Semrush</v>
      </c>
      <c r="F17" s="11" t="str">
        <f>IFERROR(__xludf.DUMMYFUNCTION("""COMPUTED_VALUE"""),"Other")</f>
        <v>Other</v>
      </c>
      <c r="G17" s="11" t="b">
        <f>IFERROR(__xludf.DUMMYFUNCTION("""COMPUTED_VALUE"""),FALSE)</f>
        <v>0</v>
      </c>
      <c r="H17" s="11" t="str">
        <f>IFERROR(__xludf.DUMMYFUNCTION("""COMPUTED_VALUE"""),"Leads Dubai, United SEO, Chain Reaction")</f>
        <v>Leads Dubai, United SEO, Chain Reaction</v>
      </c>
      <c r="I17" s="11">
        <f>IFERROR(__xludf.DUMMYFUNCTION("""COMPUTED_VALUE"""),4.0)</f>
        <v>4</v>
      </c>
      <c r="J17" s="11">
        <f>IFERROR(__xludf.DUMMYFUNCTION("""COMPUTED_VALUE"""),0.0)</f>
        <v>0</v>
      </c>
      <c r="K17" s="11">
        <f>IFERROR(__xludf.DUMMYFUNCTION("""COMPUTED_VALUE"""),0.75)</f>
        <v>0.75</v>
      </c>
    </row>
    <row r="18" ht="15.75" customHeight="1">
      <c r="A18" s="8" t="str">
        <f>IFERROR(__xludf.DUMMYFUNCTION("""COMPUTED_VALUE"""),"https://agencies.semrush.com/list/analytics-data-science/united-arab-emirates/")</f>
        <v>https://agencies.semrush.com/list/analytics-data-science/united-arab-emirates/</v>
      </c>
      <c r="B18" s="8" t="str">
        <f>IFERROR(__xludf.DUMMYFUNCTION("""COMPUTED_VALUE"""),"semrush.com")</f>
        <v>semrush.com</v>
      </c>
      <c r="C18" s="11" t="str">
        <f>IFERROR(__xludf.DUMMYFUNCTION("""COMPUTED_VALUE"""),"OTHER")</f>
        <v>OTHER</v>
      </c>
      <c r="D18" s="11" t="str">
        <f>IFERROR(__xludf.DUMMYFUNCTION("""COMPUTED_VALUE"""),"CORPORATE")</f>
        <v>CORPORATE</v>
      </c>
      <c r="E18" s="11" t="str">
        <f>IFERROR(__xludf.DUMMYFUNCTION("""COMPUTED_VALUE"""),"Best Data Analytics Services in United Arab Emirates 2026 | Semrush")</f>
        <v>Best Data Analytics Services in United Arab Emirates 2026 | Semrush</v>
      </c>
      <c r="F18" s="11" t="str">
        <f>IFERROR(__xludf.DUMMYFUNCTION("""COMPUTED_VALUE"""),"Other")</f>
        <v>Other</v>
      </c>
      <c r="G18" s="11" t="b">
        <f>IFERROR(__xludf.DUMMYFUNCTION("""COMPUTED_VALUE"""),FALSE)</f>
        <v>0</v>
      </c>
      <c r="H18" s="11" t="str">
        <f>IFERROR(__xludf.DUMMYFUNCTION("""COMPUTED_VALUE"""),"Leads Dubai, United SEO, Chain Reaction")</f>
        <v>Leads Dubai, United SEO, Chain Reaction</v>
      </c>
      <c r="I18" s="11">
        <f>IFERROR(__xludf.DUMMYFUNCTION("""COMPUTED_VALUE"""),3.0)</f>
        <v>3</v>
      </c>
      <c r="J18" s="11">
        <f>IFERROR(__xludf.DUMMYFUNCTION("""COMPUTED_VALUE"""),0.0)</f>
        <v>0</v>
      </c>
      <c r="K18" s="11">
        <f>IFERROR(__xludf.DUMMYFUNCTION("""COMPUTED_VALUE"""),0.0)</f>
        <v>0</v>
      </c>
    </row>
    <row r="19" ht="15.75" customHeight="1">
      <c r="A19" s="8" t="str">
        <f>IFERROR(__xludf.DUMMYFUNCTION("""COMPUTED_VALUE"""),"https://agencies.semrush.com/list/display-advertising/business-professional-services/united-arab-emirates/")</f>
        <v>https://agencies.semrush.com/list/display-advertising/business-professional-services/united-arab-emirates/</v>
      </c>
      <c r="B19" s="8" t="str">
        <f>IFERROR(__xludf.DUMMYFUNCTION("""COMPUTED_VALUE"""),"semrush.com")</f>
        <v>semrush.com</v>
      </c>
      <c r="C19" s="11" t="str">
        <f>IFERROR(__xludf.DUMMYFUNCTION("""COMPUTED_VALUE"""),"CATEGORY_PAGE")</f>
        <v>CATEGORY_PAGE</v>
      </c>
      <c r="D19" s="11" t="str">
        <f>IFERROR(__xludf.DUMMYFUNCTION("""COMPUTED_VALUE"""),"CORPORATE")</f>
        <v>CORPORATE</v>
      </c>
      <c r="E19" s="11" t="str">
        <f>IFERROR(__xludf.DUMMYFUNCTION("""COMPUTED_VALUE"""),"Best B2B Services Display Ads Agencies in United Arab Emirates 2026 | Semrush")</f>
        <v>Best B2B Services Display Ads Agencies in United Arab Emirates 2026 | Semrush</v>
      </c>
      <c r="F19" s="11" t="str">
        <f>IFERROR(__xludf.DUMMYFUNCTION("""COMPUTED_VALUE"""),"Category Page")</f>
        <v>Category Page</v>
      </c>
      <c r="G19" s="11" t="b">
        <f>IFERROR(__xludf.DUMMYFUNCTION("""COMPUTED_VALUE"""),FALSE)</f>
        <v>0</v>
      </c>
      <c r="H19" s="11" t="str">
        <f>IFERROR(__xludf.DUMMYFUNCTION("""COMPUTED_VALUE"""),"Leads Dubai, Dot IT, United SEO, Chain Reaction, DigitalFarm")</f>
        <v>Leads Dubai, Dot IT, United SEO, Chain Reaction, DigitalFarm</v>
      </c>
      <c r="I19" s="11">
        <f>IFERROR(__xludf.DUMMYFUNCTION("""COMPUTED_VALUE"""),3.0)</f>
        <v>3</v>
      </c>
      <c r="J19" s="11">
        <f>IFERROR(__xludf.DUMMYFUNCTION("""COMPUTED_VALUE"""),0.0)</f>
        <v>0</v>
      </c>
      <c r="K19" s="11">
        <f>IFERROR(__xludf.DUMMYFUNCTION("""COMPUTED_VALUE"""),0.0)</f>
        <v>0</v>
      </c>
    </row>
    <row r="20" ht="15.75" customHeight="1">
      <c r="A20" s="8" t="str">
        <f>IFERROR(__xludf.DUMMYFUNCTION("""COMPUTED_VALUE"""),"https://agencies.semrush.com/list/display-advertising/ecommerce/united-arab-emirates/")</f>
        <v>https://agencies.semrush.com/list/display-advertising/ecommerce/united-arab-emirates/</v>
      </c>
      <c r="B20" s="8" t="str">
        <f>IFERROR(__xludf.DUMMYFUNCTION("""COMPUTED_VALUE"""),"semrush.com")</f>
        <v>semrush.com</v>
      </c>
      <c r="C20" s="11" t="str">
        <f>IFERROR(__xludf.DUMMYFUNCTION("""COMPUTED_VALUE"""),"OTHER")</f>
        <v>OTHER</v>
      </c>
      <c r="D20" s="11" t="str">
        <f>IFERROR(__xludf.DUMMYFUNCTION("""COMPUTED_VALUE"""),"CORPORATE")</f>
        <v>CORPORATE</v>
      </c>
      <c r="E20" s="11" t="str">
        <f>IFERROR(__xludf.DUMMYFUNCTION("""COMPUTED_VALUE"""),"Best Ecommerce Display Ads Agencies in United Arab Emirates 2026 | Semrush")</f>
        <v>Best Ecommerce Display Ads Agencies in United Arab Emirates 2026 | Semrush</v>
      </c>
      <c r="F20" s="11" t="str">
        <f>IFERROR(__xludf.DUMMYFUNCTION("""COMPUTED_VALUE"""),"Other")</f>
        <v>Other</v>
      </c>
      <c r="G20" s="11" t="b">
        <f>IFERROR(__xludf.DUMMYFUNCTION("""COMPUTED_VALUE"""),FALSE)</f>
        <v>0</v>
      </c>
      <c r="H20" s="11" t="str">
        <f>IFERROR(__xludf.DUMMYFUNCTION("""COMPUTED_VALUE"""),"Leads Dubai, Dot IT, United SEO, Chain Reaction")</f>
        <v>Leads Dubai, Dot IT, United SEO, Chain Reaction</v>
      </c>
      <c r="I20" s="11">
        <f>IFERROR(__xludf.DUMMYFUNCTION("""COMPUTED_VALUE"""),3.0)</f>
        <v>3</v>
      </c>
      <c r="J20" s="11">
        <f>IFERROR(__xludf.DUMMYFUNCTION("""COMPUTED_VALUE"""),0.0)</f>
        <v>0</v>
      </c>
      <c r="K20" s="11">
        <f>IFERROR(__xludf.DUMMYFUNCTION("""COMPUTED_VALUE"""),0.0)</f>
        <v>0</v>
      </c>
    </row>
    <row r="21" ht="15.75" customHeight="1">
      <c r="A21" s="8" t="str">
        <f>IFERROR(__xludf.DUMMYFUNCTION("""COMPUTED_VALUE"""),"https://agencies.semrush.com/list/display-advertising/united-arab-emirates/enterprise-business/")</f>
        <v>https://agencies.semrush.com/list/display-advertising/united-arab-emirates/enterprise-business/</v>
      </c>
      <c r="B21" s="8" t="str">
        <f>IFERROR(__xludf.DUMMYFUNCTION("""COMPUTED_VALUE"""),"semrush.com")</f>
        <v>semrush.com</v>
      </c>
      <c r="C21" s="11" t="str">
        <f>IFERROR(__xludf.DUMMYFUNCTION("""COMPUTED_VALUE"""),"OTHER")</f>
        <v>OTHER</v>
      </c>
      <c r="D21" s="11" t="str">
        <f>IFERROR(__xludf.DUMMYFUNCTION("""COMPUTED_VALUE"""),"CORPORATE")</f>
        <v>CORPORATE</v>
      </c>
      <c r="E21" s="11" t="str">
        <f>IFERROR(__xludf.DUMMYFUNCTION("""COMPUTED_VALUE"""),"Best Display Ads Agencies for Enterprise Business in United Arab Emirates 2026 | Semrush")</f>
        <v>Best Display Ads Agencies for Enterprise Business in United Arab Emirates 2026 | Semrush</v>
      </c>
      <c r="F21" s="11" t="str">
        <f>IFERROR(__xludf.DUMMYFUNCTION("""COMPUTED_VALUE"""),"Other")</f>
        <v>Other</v>
      </c>
      <c r="G21" s="11" t="b">
        <f>IFERROR(__xludf.DUMMYFUNCTION("""COMPUTED_VALUE"""),FALSE)</f>
        <v>0</v>
      </c>
      <c r="H21" s="11" t="str">
        <f>IFERROR(__xludf.DUMMYFUNCTION("""COMPUTED_VALUE"""),"Leads Dubai, Dot IT, United SEO, Chain Reaction, DigitalFarm")</f>
        <v>Leads Dubai, Dot IT, United SEO, Chain Reaction, DigitalFarm</v>
      </c>
      <c r="I21" s="11">
        <f>IFERROR(__xludf.DUMMYFUNCTION("""COMPUTED_VALUE"""),3.0)</f>
        <v>3</v>
      </c>
      <c r="J21" s="11">
        <f>IFERROR(__xludf.DUMMYFUNCTION("""COMPUTED_VALUE"""),0.0)</f>
        <v>0</v>
      </c>
      <c r="K21" s="11">
        <f>IFERROR(__xludf.DUMMYFUNCTION("""COMPUTED_VALUE"""),0.0)</f>
        <v>0</v>
      </c>
    </row>
    <row r="22" ht="15.75" customHeight="1">
      <c r="A22" s="8" t="str">
        <f>IFERROR(__xludf.DUMMYFUNCTION("""COMPUTED_VALUE"""),"https://agencies.semrush.com/list/machine-learning-and-ai/united-arab-emirates/")</f>
        <v>https://agencies.semrush.com/list/machine-learning-and-ai/united-arab-emirates/</v>
      </c>
      <c r="B22" s="8" t="str">
        <f>IFERROR(__xludf.DUMMYFUNCTION("""COMPUTED_VALUE"""),"semrush.com")</f>
        <v>semrush.com</v>
      </c>
      <c r="C22" s="11" t="str">
        <f>IFERROR(__xludf.DUMMYFUNCTION("""COMPUTED_VALUE"""),"CATEGORY_PAGE")</f>
        <v>CATEGORY_PAGE</v>
      </c>
      <c r="D22" s="11" t="str">
        <f>IFERROR(__xludf.DUMMYFUNCTION("""COMPUTED_VALUE"""),"CORPORATE")</f>
        <v>CORPORATE</v>
      </c>
      <c r="E22" s="11" t="str">
        <f>IFERROR(__xludf.DUMMYFUNCTION("""COMPUTED_VALUE"""),"Best Machine Learning and AI Services in United Arab Emirates 2026 | Semrush")</f>
        <v>Best Machine Learning and AI Services in United Arab Emirates 2026 | Semrush</v>
      </c>
      <c r="F22" s="11" t="str">
        <f>IFERROR(__xludf.DUMMYFUNCTION("""COMPUTED_VALUE"""),"Category Page")</f>
        <v>Category Page</v>
      </c>
      <c r="G22" s="11" t="b">
        <f>IFERROR(__xludf.DUMMYFUNCTION("""COMPUTED_VALUE"""),FALSE)</f>
        <v>0</v>
      </c>
      <c r="H22" s="11" t="str">
        <f>IFERROR(__xludf.DUMMYFUNCTION("""COMPUTED_VALUE"""),"Leads Dubai, United SEO")</f>
        <v>Leads Dubai, United SEO</v>
      </c>
      <c r="I22" s="11">
        <f>IFERROR(__xludf.DUMMYFUNCTION("""COMPUTED_VALUE"""),3.0)</f>
        <v>3</v>
      </c>
      <c r="J22" s="11">
        <f>IFERROR(__xludf.DUMMYFUNCTION("""COMPUTED_VALUE"""),0.0)</f>
        <v>0</v>
      </c>
      <c r="K22" s="11">
        <f>IFERROR(__xludf.DUMMYFUNCTION("""COMPUTED_VALUE"""),0.0)</f>
        <v>0</v>
      </c>
    </row>
    <row r="23" ht="15.75" customHeight="1">
      <c r="A23" s="8" t="str">
        <f>IFERROR(__xludf.DUMMYFUNCTION("""COMPUTED_VALUE"""),"https://agencies.semrush.com/legend1st-marketing-and-mobile-applications-fze-llc/")</f>
        <v>https://agencies.semrush.com/legend1st-marketing-and-mobile-applications-fze-llc/</v>
      </c>
      <c r="B23" s="8" t="str">
        <f>IFERROR(__xludf.DUMMYFUNCTION("""COMPUTED_VALUE"""),"semrush.com")</f>
        <v>semrush.com</v>
      </c>
      <c r="C23" s="11" t="str">
        <f>IFERROR(__xludf.DUMMYFUNCTION("""COMPUTED_VALUE"""),"PROFILE")</f>
        <v>PROFILE</v>
      </c>
      <c r="D23" s="11" t="str">
        <f>IFERROR(__xludf.DUMMYFUNCTION("""COMPUTED_VALUE"""),"CORPORATE")</f>
        <v>CORPORATE</v>
      </c>
      <c r="E23" s="11" t="str">
        <f>IFERROR(__xludf.DUMMYFUNCTION("""COMPUTED_VALUE"""),"Legend1st Marketing | Semrush Agency Partner")</f>
        <v>Legend1st Marketing | Semrush Agency Partner</v>
      </c>
      <c r="F23" s="11" t="str">
        <f>IFERROR(__xludf.DUMMYFUNCTION("""COMPUTED_VALUE"""),"Profile")</f>
        <v>Profile</v>
      </c>
      <c r="G23" s="11" t="b">
        <f>IFERROR(__xludf.DUMMYFUNCTION("""COMPUTED_VALUE"""),FALSE)</f>
        <v>0</v>
      </c>
      <c r="H23" s="11" t="str">
        <f>IFERROR(__xludf.DUMMYFUNCTION("""COMPUTED_VALUE"""),"Kleosa")</f>
        <v>Kleosa</v>
      </c>
      <c r="I23" s="11">
        <f>IFERROR(__xludf.DUMMYFUNCTION("""COMPUTED_VALUE"""),1.0)</f>
        <v>1</v>
      </c>
      <c r="J23" s="11">
        <f>IFERROR(__xludf.DUMMYFUNCTION("""COMPUTED_VALUE"""),0.0)</f>
        <v>0</v>
      </c>
      <c r="K23" s="11">
        <f>IFERROR(__xludf.DUMMYFUNCTION("""COMPUTED_VALUE"""),2.0)</f>
        <v>2</v>
      </c>
    </row>
    <row r="24" ht="15.75" customHeight="1">
      <c r="A24" s="8" t="str">
        <f>IFERROR(__xludf.DUMMYFUNCTION("""COMPUTED_VALUE"""),"https://agencies.semrush.com/list/ai-optimization/united-arab-emirates/enterprise-business/")</f>
        <v>https://agencies.semrush.com/list/ai-optimization/united-arab-emirates/enterprise-business/</v>
      </c>
      <c r="B24" s="8" t="str">
        <f>IFERROR(__xludf.DUMMYFUNCTION("""COMPUTED_VALUE"""),"semrush.com")</f>
        <v>semrush.com</v>
      </c>
      <c r="C24" s="11" t="str">
        <f>IFERROR(__xludf.DUMMYFUNCTION("""COMPUTED_VALUE"""),"CATEGORY_PAGE")</f>
        <v>CATEGORY_PAGE</v>
      </c>
      <c r="D24" s="11" t="str">
        <f>IFERROR(__xludf.DUMMYFUNCTION("""COMPUTED_VALUE"""),"CORPORATE")</f>
        <v>CORPORATE</v>
      </c>
      <c r="E24" s="11" t="str">
        <f>IFERROR(__xludf.DUMMYFUNCTION("""COMPUTED_VALUE"""),"Best AI Search Optimization Agencies for Enterprise Business in United Arab Emirates 2026 | Semrush")</f>
        <v>Best AI Search Optimization Agencies for Enterprise Business in United Arab Emirates 2026 | Semrush</v>
      </c>
      <c r="F24" s="11" t="str">
        <f>IFERROR(__xludf.DUMMYFUNCTION("""COMPUTED_VALUE"""),"Category Page")</f>
        <v>Category Page</v>
      </c>
      <c r="G24" s="11" t="b">
        <f>IFERROR(__xludf.DUMMYFUNCTION("""COMPUTED_VALUE"""),FALSE)</f>
        <v>0</v>
      </c>
      <c r="H24" s="11" t="str">
        <f>IFERROR(__xludf.DUMMYFUNCTION("""COMPUTED_VALUE"""),"Leads Dubai, Measured, Web Tonic")</f>
        <v>Leads Dubai, Measured, Web Tonic</v>
      </c>
      <c r="I24" s="11">
        <f>IFERROR(__xludf.DUMMYFUNCTION("""COMPUTED_VALUE"""),1.0)</f>
        <v>1</v>
      </c>
      <c r="J24" s="11">
        <f>IFERROR(__xludf.DUMMYFUNCTION("""COMPUTED_VALUE"""),0.0)</f>
        <v>0</v>
      </c>
      <c r="K24" s="11">
        <f>IFERROR(__xludf.DUMMYFUNCTION("""COMPUTED_VALUE"""),0.0)</f>
        <v>0</v>
      </c>
    </row>
    <row r="25" ht="15.75" customHeight="1">
      <c r="A25" s="8" t="str">
        <f>IFERROR(__xludf.DUMMYFUNCTION("""COMPUTED_VALUE"""),"https://agencies.semrush.com/list/analytics-data-science/dubai/")</f>
        <v>https://agencies.semrush.com/list/analytics-data-science/dubai/</v>
      </c>
      <c r="B25" s="8" t="str">
        <f>IFERROR(__xludf.DUMMYFUNCTION("""COMPUTED_VALUE"""),"semrush.com")</f>
        <v>semrush.com</v>
      </c>
      <c r="C25" s="11" t="str">
        <f>IFERROR(__xludf.DUMMYFUNCTION("""COMPUTED_VALUE"""),"CATEGORY_PAGE")</f>
        <v>CATEGORY_PAGE</v>
      </c>
      <c r="D25" s="11" t="str">
        <f>IFERROR(__xludf.DUMMYFUNCTION("""COMPUTED_VALUE"""),"CORPORATE")</f>
        <v>CORPORATE</v>
      </c>
      <c r="E25" s="11" t="str">
        <f>IFERROR(__xludf.DUMMYFUNCTION("""COMPUTED_VALUE"""),"Best Data Analytics Services in Dubai 2026 | Semrush")</f>
        <v>Best Data Analytics Services in Dubai 2026 | Semrush</v>
      </c>
      <c r="F25" s="11" t="str">
        <f>IFERROR(__xludf.DUMMYFUNCTION("""COMPUTED_VALUE"""),"Category Page")</f>
        <v>Category Page</v>
      </c>
      <c r="G25" s="11" t="b">
        <f>IFERROR(__xludf.DUMMYFUNCTION("""COMPUTED_VALUE"""),FALSE)</f>
        <v>0</v>
      </c>
      <c r="H25" s="11" t="str">
        <f>IFERROR(__xludf.DUMMYFUNCTION("""COMPUTED_VALUE"""),"Leads Dubai, United SEO, Chain Reaction")</f>
        <v>Leads Dubai, United SEO, Chain Reaction</v>
      </c>
      <c r="I25" s="11">
        <f>IFERROR(__xludf.DUMMYFUNCTION("""COMPUTED_VALUE"""),1.0)</f>
        <v>1</v>
      </c>
      <c r="J25" s="11">
        <f>IFERROR(__xludf.DUMMYFUNCTION("""COMPUTED_VALUE"""),0.0)</f>
        <v>0</v>
      </c>
      <c r="K25" s="11">
        <f>IFERROR(__xludf.DUMMYFUNCTION("""COMPUTED_VALUE"""),0.0)</f>
        <v>0</v>
      </c>
    </row>
    <row r="26" ht="15.75" customHeight="1">
      <c r="A26" s="8" t="str">
        <f>IFERROR(__xludf.DUMMYFUNCTION("""COMPUTED_VALUE"""),"https://agencies.semrush.com/list/display-advertising/ecommerce/dubai/")</f>
        <v>https://agencies.semrush.com/list/display-advertising/ecommerce/dubai/</v>
      </c>
      <c r="B26" s="8" t="str">
        <f>IFERROR(__xludf.DUMMYFUNCTION("""COMPUTED_VALUE"""),"semrush.com")</f>
        <v>semrush.com</v>
      </c>
      <c r="C26" s="11" t="str">
        <f>IFERROR(__xludf.DUMMYFUNCTION("""COMPUTED_VALUE"""),"CATEGORY_PAGE")</f>
        <v>CATEGORY_PAGE</v>
      </c>
      <c r="D26" s="11" t="str">
        <f>IFERROR(__xludf.DUMMYFUNCTION("""COMPUTED_VALUE"""),"CORPORATE")</f>
        <v>CORPORATE</v>
      </c>
      <c r="E26" s="11" t="str">
        <f>IFERROR(__xludf.DUMMYFUNCTION("""COMPUTED_VALUE"""),"Best Ecommerce Display Ads Agencies in Dubai 2026 | Semrush")</f>
        <v>Best Ecommerce Display Ads Agencies in Dubai 2026 | Semrush</v>
      </c>
      <c r="F26" s="11" t="str">
        <f>IFERROR(__xludf.DUMMYFUNCTION("""COMPUTED_VALUE"""),"Category Page")</f>
        <v>Category Page</v>
      </c>
      <c r="G26" s="11" t="b">
        <f>IFERROR(__xludf.DUMMYFUNCTION("""COMPUTED_VALUE"""),FALSE)</f>
        <v>0</v>
      </c>
      <c r="H26" s="11" t="str">
        <f>IFERROR(__xludf.DUMMYFUNCTION("""COMPUTED_VALUE"""),"Leads Dubai, Dot IT, United SEO, Chain Reaction")</f>
        <v>Leads Dubai, Dot IT, United SEO, Chain Reaction</v>
      </c>
      <c r="I26" s="11">
        <f>IFERROR(__xludf.DUMMYFUNCTION("""COMPUTED_VALUE"""),1.0)</f>
        <v>1</v>
      </c>
      <c r="J26" s="11">
        <f>IFERROR(__xludf.DUMMYFUNCTION("""COMPUTED_VALUE"""),0.0)</f>
        <v>0</v>
      </c>
      <c r="K26" s="11">
        <f>IFERROR(__xludf.DUMMYFUNCTION("""COMPUTED_VALUE"""),0.0)</f>
        <v>0</v>
      </c>
    </row>
    <row r="27" ht="15.75" customHeight="1">
      <c r="A27" s="8" t="str">
        <f>IFERROR(__xludf.DUMMYFUNCTION("""COMPUTED_VALUE"""),"https://agencies.semrush.com/list/los-angeles/")</f>
        <v>https://agencies.semrush.com/list/los-angeles/</v>
      </c>
      <c r="B27" s="8" t="str">
        <f>IFERROR(__xludf.DUMMYFUNCTION("""COMPUTED_VALUE"""),"semrush.com")</f>
        <v>semrush.com</v>
      </c>
      <c r="C27" s="11" t="str">
        <f>IFERROR(__xludf.DUMMYFUNCTION("""COMPUTED_VALUE"""),"CATEGORY_PAGE")</f>
        <v>CATEGORY_PAGE</v>
      </c>
      <c r="D27" s="11" t="str">
        <f>IFERROR(__xludf.DUMMYFUNCTION("""COMPUTED_VALUE"""),"CORPORATE")</f>
        <v>CORPORATE</v>
      </c>
      <c r="E27" s="11" t="str">
        <f>IFERROR(__xludf.DUMMYFUNCTION("""COMPUTED_VALUE"""),"Best Digital Marketing Agencies in Los Angeles 2026 | Semrush")</f>
        <v>Best Digital Marketing Agencies in Los Angeles 2026 | Semrush</v>
      </c>
      <c r="F27" s="11" t="str">
        <f>IFERROR(__xludf.DUMMYFUNCTION("""COMPUTED_VALUE"""),"Category Page")</f>
        <v>Category Page</v>
      </c>
      <c r="G27" s="11" t="b">
        <f>IFERROR(__xludf.DUMMYFUNCTION("""COMPUTED_VALUE"""),FALSE)</f>
        <v>0</v>
      </c>
      <c r="H27" s="11" t="str">
        <f>IFERROR(__xludf.DUMMYFUNCTION("""COMPUTED_VALUE"""),"Bird Marketing")</f>
        <v>Bird Marketing</v>
      </c>
      <c r="I27" s="11">
        <f>IFERROR(__xludf.DUMMYFUNCTION("""COMPUTED_VALUE"""),1.0)</f>
        <v>1</v>
      </c>
      <c r="J27" s="11">
        <f>IFERROR(__xludf.DUMMYFUNCTION("""COMPUTED_VALUE"""),0.0)</f>
        <v>0</v>
      </c>
      <c r="K27" s="11">
        <f>IFERROR(__xludf.DUMMYFUNCTION("""COMPUTED_VALUE"""),0.0)</f>
        <v>0</v>
      </c>
    </row>
    <row r="28" ht="15.75" customHeight="1">
      <c r="A28" s="8" t="str">
        <f>IFERROR(__xludf.DUMMYFUNCTION("""COMPUTED_VALUE"""),"https://agencies.semrush.com/list/ppc/ecommerce/united-arab-emirates/")</f>
        <v>https://agencies.semrush.com/list/ppc/ecommerce/united-arab-emirates/</v>
      </c>
      <c r="B28" s="8" t="str">
        <f>IFERROR(__xludf.DUMMYFUNCTION("""COMPUTED_VALUE"""),"semrush.com")</f>
        <v>semrush.com</v>
      </c>
      <c r="C28" s="11" t="str">
        <f>IFERROR(__xludf.DUMMYFUNCTION("""COMPUTED_VALUE"""),"CATEGORY_PAGE")</f>
        <v>CATEGORY_PAGE</v>
      </c>
      <c r="D28" s="11" t="str">
        <f>IFERROR(__xludf.DUMMYFUNCTION("""COMPUTED_VALUE"""),"CORPORATE")</f>
        <v>CORPORATE</v>
      </c>
      <c r="E28" s="11" t="str">
        <f>IFERROR(__xludf.DUMMYFUNCTION("""COMPUTED_VALUE"""),"Best Ecommerce PPC Agencies in United Arab Emirates 2026 | Semrush")</f>
        <v>Best Ecommerce PPC Agencies in United Arab Emirates 2026 | Semrush</v>
      </c>
      <c r="F28" s="11" t="str">
        <f>IFERROR(__xludf.DUMMYFUNCTION("""COMPUTED_VALUE"""),"Category Page")</f>
        <v>Category Page</v>
      </c>
      <c r="G28" s="11" t="b">
        <f>IFERROR(__xludf.DUMMYFUNCTION("""COMPUTED_VALUE"""),FALSE)</f>
        <v>0</v>
      </c>
      <c r="H28" s="11" t="str">
        <f>IFERROR(__xludf.DUMMYFUNCTION("""COMPUTED_VALUE"""),"Leads Dubai, Kleosa, Dot IT, Acquisit, United SEO, Chain Reaction, SEO Sherpa, Web Tonic")</f>
        <v>Leads Dubai, Kleosa, Dot IT, Acquisit, United SEO, Chain Reaction, SEO Sherpa, Web Tonic</v>
      </c>
      <c r="I28" s="11">
        <f>IFERROR(__xludf.DUMMYFUNCTION("""COMPUTED_VALUE"""),1.0)</f>
        <v>1</v>
      </c>
      <c r="J28" s="11">
        <f>IFERROR(__xludf.DUMMYFUNCTION("""COMPUTED_VALUE"""),0.0)</f>
        <v>0</v>
      </c>
      <c r="K28" s="11">
        <f>IFERROR(__xludf.DUMMYFUNCTION("""COMPUTED_VALUE"""),0.0)</f>
        <v>0</v>
      </c>
    </row>
    <row r="29" ht="15.75" customHeight="1">
      <c r="A29" s="8" t="str">
        <f>IFERROR(__xludf.DUMMYFUNCTION("""COMPUTED_VALUE"""),"https://agencies.semrush.com/list/programmatic-advertising/dubai/")</f>
        <v>https://agencies.semrush.com/list/programmatic-advertising/dubai/</v>
      </c>
      <c r="B29" s="8" t="str">
        <f>IFERROR(__xludf.DUMMYFUNCTION("""COMPUTED_VALUE"""),"semrush.com")</f>
        <v>semrush.com</v>
      </c>
      <c r="C29" s="11" t="str">
        <f>IFERROR(__xludf.DUMMYFUNCTION("""COMPUTED_VALUE"""),"OTHER")</f>
        <v>OTHER</v>
      </c>
      <c r="D29" s="11" t="str">
        <f>IFERROR(__xludf.DUMMYFUNCTION("""COMPUTED_VALUE"""),"CORPORATE")</f>
        <v>CORPORATE</v>
      </c>
      <c r="E29" s="11" t="str">
        <f>IFERROR(__xludf.DUMMYFUNCTION("""COMPUTED_VALUE"""),"Best Programmatic Advertising Agencies in Dubai 2026 | Semrush")</f>
        <v>Best Programmatic Advertising Agencies in Dubai 2026 | Semrush</v>
      </c>
      <c r="F29" s="11" t="str">
        <f>IFERROR(__xludf.DUMMYFUNCTION("""COMPUTED_VALUE"""),"Other")</f>
        <v>Other</v>
      </c>
      <c r="G29" s="11" t="b">
        <f>IFERROR(__xludf.DUMMYFUNCTION("""COMPUTED_VALUE"""),FALSE)</f>
        <v>0</v>
      </c>
      <c r="H29" s="11" t="str">
        <f>IFERROR(__xludf.DUMMYFUNCTION("""COMPUTED_VALUE"""),"Leads Dubai, Dot IT, Chain Reaction")</f>
        <v>Leads Dubai, Dot IT, Chain Reaction</v>
      </c>
      <c r="I29" s="11">
        <f>IFERROR(__xludf.DUMMYFUNCTION("""COMPUTED_VALUE"""),1.0)</f>
        <v>1</v>
      </c>
      <c r="J29" s="11">
        <f>IFERROR(__xludf.DUMMYFUNCTION("""COMPUTED_VALUE"""),0.0)</f>
        <v>0</v>
      </c>
      <c r="K29" s="11">
        <f>IFERROR(__xludf.DUMMYFUNCTION("""COMPUTED_VALUE"""),1.0)</f>
        <v>1</v>
      </c>
    </row>
    <row r="30" ht="15.75" customHeight="1">
      <c r="A30" s="8" t="str">
        <f>IFERROR(__xludf.DUMMYFUNCTION("""COMPUTED_VALUE"""),"https://agencies.semrush.com/list/programmatic-advertising/united-arab-emirates/")</f>
        <v>https://agencies.semrush.com/list/programmatic-advertising/united-arab-emirates/</v>
      </c>
      <c r="B30" s="8" t="str">
        <f>IFERROR(__xludf.DUMMYFUNCTION("""COMPUTED_VALUE"""),"semrush.com")</f>
        <v>semrush.com</v>
      </c>
      <c r="C30" s="11" t="str">
        <f>IFERROR(__xludf.DUMMYFUNCTION("""COMPUTED_VALUE"""),"OTHER")</f>
        <v>OTHER</v>
      </c>
      <c r="D30" s="11" t="str">
        <f>IFERROR(__xludf.DUMMYFUNCTION("""COMPUTED_VALUE"""),"CORPORATE")</f>
        <v>CORPORATE</v>
      </c>
      <c r="E30" s="11" t="str">
        <f>IFERROR(__xludf.DUMMYFUNCTION("""COMPUTED_VALUE"""),"Best Programmatic Advertising Agencies in United Arab Emirates 2026 | Semrush")</f>
        <v>Best Programmatic Advertising Agencies in United Arab Emirates 2026 | Semrush</v>
      </c>
      <c r="F30" s="11" t="str">
        <f>IFERROR(__xludf.DUMMYFUNCTION("""COMPUTED_VALUE"""),"Other")</f>
        <v>Other</v>
      </c>
      <c r="G30" s="11" t="b">
        <f>IFERROR(__xludf.DUMMYFUNCTION("""COMPUTED_VALUE"""),FALSE)</f>
        <v>0</v>
      </c>
      <c r="H30" s="11" t="str">
        <f>IFERROR(__xludf.DUMMYFUNCTION("""COMPUTED_VALUE"""),"Leads Dubai, Dot IT, Chain Reaction")</f>
        <v>Leads Dubai, Dot IT, Chain Reaction</v>
      </c>
      <c r="I30" s="11">
        <f>IFERROR(__xludf.DUMMYFUNCTION("""COMPUTED_VALUE"""),1.0)</f>
        <v>1</v>
      </c>
      <c r="J30" s="11">
        <f>IFERROR(__xludf.DUMMYFUNCTION("""COMPUTED_VALUE"""),0.0)</f>
        <v>0</v>
      </c>
      <c r="K30" s="11">
        <f>IFERROR(__xludf.DUMMYFUNCTION("""COMPUTED_VALUE"""),1.0)</f>
        <v>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s>
  <drawing r:id="rId5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All'!A2:A1000)),""directiveconsulting"")
  ),
  """"
)"),"https://directiveconsulting.com/blog/top-performance-marketing-agencies/")</f>
        <v>https://directiveconsulting.com/blog/top-performance-marketing-agencies/</v>
      </c>
      <c r="B2" s="8" t="str">
        <f>IFERROR(__xludf.DUMMYFUNCTION("""COMPUTED_VALUE"""),"directiveconsulting.com")</f>
        <v>directiveconsulting.com</v>
      </c>
      <c r="C2" s="11" t="str">
        <f>IFERROR(__xludf.DUMMYFUNCTION("""COMPUTED_VALUE"""),"LISTICLE")</f>
        <v>LISTICLE</v>
      </c>
      <c r="D2" s="11" t="str">
        <f>IFERROR(__xludf.DUMMYFUNCTION("""COMPUTED_VALUE"""),"COMPETITOR")</f>
        <v>COMPETITOR</v>
      </c>
      <c r="E2" s="11" t="str">
        <f>IFERROR(__xludf.DUMMYFUNCTION("""COMPUTED_VALUE"""),"18 Best Performance Marketing Agencies For B2B - Directive")</f>
        <v>18 Best Performance Marketing Agencies For B2B - Directive</v>
      </c>
      <c r="F2" s="11" t="str">
        <f>IFERROR(__xludf.DUMMYFUNCTION("""COMPUTED_VALUE"""),"Listicle")</f>
        <v>Listicle</v>
      </c>
      <c r="G2" s="11" t="b">
        <f>IFERROR(__xludf.DUMMYFUNCTION("""COMPUTED_VALUE"""),FALSE)</f>
        <v>0</v>
      </c>
      <c r="H2" s="11" t="str">
        <f>IFERROR(__xludf.DUMMYFUNCTION("""COMPUTED_VALUE"""),"Directive, NoGood, Common Thread Collective, Wpromote, Darkroom, inBeat, Single Grain, Omniscient Digital, Measured")</f>
        <v>Directive, NoGood, Common Thread Collective, Wpromote, Darkroom, inBeat, Single Grain, Omniscient Digital, Measured</v>
      </c>
      <c r="I2" s="11">
        <f>IFERROR(__xludf.DUMMYFUNCTION("""COMPUTED_VALUE"""),2.0)</f>
        <v>2</v>
      </c>
      <c r="J2" s="11">
        <f>IFERROR(__xludf.DUMMYFUNCTION("""COMPUTED_VALUE"""),0.0)</f>
        <v>0</v>
      </c>
      <c r="K2" s="11">
        <f>IFERROR(__xludf.DUMMYFUNCTION("""COMPUTED_VALUE"""),2.5)</f>
        <v>2.5</v>
      </c>
    </row>
    <row r="3" ht="15.75" customHeight="1">
      <c r="A3" s="8" t="str">
        <f>IFERROR(__xludf.DUMMYFUNCTION("""COMPUTED_VALUE"""),"https://directiveconsulting.com/blog/25-best-paid-media-agencies-that-turn-ad-spend-into-revenue/")</f>
        <v>https://directiveconsulting.com/blog/25-best-paid-media-agencies-that-turn-ad-spend-into-revenue/</v>
      </c>
      <c r="B3" s="8" t="str">
        <f>IFERROR(__xludf.DUMMYFUNCTION("""COMPUTED_VALUE"""),"directiveconsulting.com")</f>
        <v>directiveconsulting.com</v>
      </c>
      <c r="C3" s="11" t="str">
        <f>IFERROR(__xludf.DUMMYFUNCTION("""COMPUTED_VALUE"""),"LISTICLE")</f>
        <v>LISTICLE</v>
      </c>
      <c r="D3" s="11" t="str">
        <f>IFERROR(__xludf.DUMMYFUNCTION("""COMPUTED_VALUE"""),"COMPETITOR")</f>
        <v>COMPETITOR</v>
      </c>
      <c r="E3" s="11" t="str">
        <f>IFERROR(__xludf.DUMMYFUNCTION("""COMPUTED_VALUE"""),"25 Best Paid Media Agencies For B2B - Directive")</f>
        <v>25 Best Paid Media Agencies For B2B - Directive</v>
      </c>
      <c r="F3" s="11" t="str">
        <f>IFERROR(__xludf.DUMMYFUNCTION("""COMPUTED_VALUE"""),"Listicle")</f>
        <v>Listicle</v>
      </c>
      <c r="G3" s="11" t="b">
        <f>IFERROR(__xludf.DUMMYFUNCTION("""COMPUTED_VALUE"""),FALSE)</f>
        <v>0</v>
      </c>
      <c r="H3" s="11" t="str">
        <f>IFERROR(__xludf.DUMMYFUNCTION("""COMPUTED_VALUE"""),"Directive, Jellyfish, Brainlabs, Wpromote, Merkle, WebFX, Disruptive Advertising, Dentsu, KPMG")</f>
        <v>Directive, Jellyfish, Brainlabs, Wpromote, Merkle, WebFX, Disruptive Advertising, Dentsu, KPMG</v>
      </c>
      <c r="I3" s="11">
        <f>IFERROR(__xludf.DUMMYFUNCTION("""COMPUTED_VALUE"""),1.0)</f>
        <v>1</v>
      </c>
      <c r="J3" s="11">
        <f>IFERROR(__xludf.DUMMYFUNCTION("""COMPUTED_VALUE"""),0.0)</f>
        <v>0</v>
      </c>
      <c r="K3" s="11">
        <f>IFERROR(__xludf.DUMMYFUNCTION("""COMPUTED_VALUE"""),2.0)</f>
        <v>2</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All'!A2:A1000)),""designrush.com"")
  ),
  """"
)"),"https://www.designrush.com/agency/ad-agencies/ae")</f>
        <v>https://www.designrush.com/agency/ad-agencies/ae</v>
      </c>
      <c r="B2" s="8" t="str">
        <f>IFERROR(__xludf.DUMMYFUNCTION("""COMPUTED_VALUE"""),"designrush.com")</f>
        <v>designrush.com</v>
      </c>
      <c r="C2" s="11" t="str">
        <f>IFERROR(__xludf.DUMMYFUNCTION("""COMPUTED_VALUE"""),"LISTICLE")</f>
        <v>LISTICLE</v>
      </c>
      <c r="D2" s="11" t="str">
        <f>IFERROR(__xludf.DUMMYFUNCTION("""COMPUTED_VALUE"""),"CORPORATE")</f>
        <v>CORPORATE</v>
      </c>
      <c r="E2" s="11" t="str">
        <f>IFERROR(__xludf.DUMMYFUNCTION("""COMPUTED_VALUE"""),"Top Advertising Agencies in United Arab Emirates | 2026")</f>
        <v>Top Advertising Agencies in United Arab Emirates | 2026</v>
      </c>
      <c r="F2" s="11" t="str">
        <f>IFERROR(__xludf.DUMMYFUNCTION("""COMPUTED_VALUE"""),"Listicle")</f>
        <v>Listicle</v>
      </c>
      <c r="G2" s="11" t="b">
        <f>IFERROR(__xludf.DUMMYFUNCTION("""COMPUTED_VALUE"""),FALSE)</f>
        <v>0</v>
      </c>
      <c r="H2" s="11" t="str">
        <f>IFERROR(__xludf.DUMMYFUNCTION("""COMPUTED_VALUE"""),"Growth Hackers, GPS Marketing Agency, Almost Impossible, EDS FZCO, Leads Dubai")</f>
        <v>Growth Hackers, GPS Marketing Agency, Almost Impossible, EDS FZCO, Leads Dubai</v>
      </c>
      <c r="I2" s="11">
        <f>IFERROR(__xludf.DUMMYFUNCTION("""COMPUTED_VALUE"""),37.0)</f>
        <v>37</v>
      </c>
      <c r="J2" s="11">
        <f>IFERROR(__xludf.DUMMYFUNCTION("""COMPUTED_VALUE"""),0.03)</f>
        <v>0.03</v>
      </c>
      <c r="K2" s="11">
        <f>IFERROR(__xludf.DUMMYFUNCTION("""COMPUTED_VALUE"""),0.84)</f>
        <v>0.84</v>
      </c>
    </row>
    <row r="3" ht="15.75" customHeight="1">
      <c r="A3" s="8" t="str">
        <f>IFERROR(__xludf.DUMMYFUNCTION("""COMPUTED_VALUE"""),"https://www.designrush.com/agency/digital-marketing/ae")</f>
        <v>https://www.designrush.com/agency/digital-marketing/ae</v>
      </c>
      <c r="B3" s="8" t="str">
        <f>IFERROR(__xludf.DUMMYFUNCTION("""COMPUTED_VALUE"""),"designrush.com")</f>
        <v>designrush.com</v>
      </c>
      <c r="C3" s="11" t="str">
        <f>IFERROR(__xludf.DUMMYFUNCTION("""COMPUTED_VALUE"""),"CATEGORY_PAGE")</f>
        <v>CATEGORY_PAGE</v>
      </c>
      <c r="D3" s="11" t="str">
        <f>IFERROR(__xludf.DUMMYFUNCTION("""COMPUTED_VALUE"""),"CORPORATE")</f>
        <v>CORPORATE</v>
      </c>
      <c r="E3" s="11" t="str">
        <f>IFERROR(__xludf.DUMMYFUNCTION("""COMPUTED_VALUE"""),"Top Digital Marketing Agencies in United Arab Emirates | 2026")</f>
        <v>Top Digital Marketing Agencies in United Arab Emirates | 2026</v>
      </c>
      <c r="F3" s="11" t="str">
        <f>IFERROR(__xludf.DUMMYFUNCTION("""COMPUTED_VALUE"""),"Category Page")</f>
        <v>Category Page</v>
      </c>
      <c r="G3" s="11" t="b">
        <f>IFERROR(__xludf.DUMMYFUNCTION("""COMPUTED_VALUE"""),FALSE)</f>
        <v>0</v>
      </c>
      <c r="H3" s="11" t="str">
        <f>IFERROR(__xludf.DUMMYFUNCTION("""COMPUTED_VALUE"""),"Bird Marketing, Adapts Media, Dot IT, Digital Gravity, Growth Hackers, Tenet, GPS Marketing Agency")</f>
        <v>Bird Marketing, Adapts Media, Dot IT, Digital Gravity, Growth Hackers, Tenet, GPS Marketing Agency</v>
      </c>
      <c r="I3" s="11">
        <f>IFERROR(__xludf.DUMMYFUNCTION("""COMPUTED_VALUE"""),28.0)</f>
        <v>28</v>
      </c>
      <c r="J3" s="11">
        <f>IFERROR(__xludf.DUMMYFUNCTION("""COMPUTED_VALUE"""),0.03)</f>
        <v>0.03</v>
      </c>
      <c r="K3" s="11">
        <f>IFERROR(__xludf.DUMMYFUNCTION("""COMPUTED_VALUE"""),0.29)</f>
        <v>0.29</v>
      </c>
    </row>
    <row r="4" ht="15.75" customHeight="1">
      <c r="A4" s="8" t="str">
        <f>IFERROR(__xludf.DUMMYFUNCTION("""COMPUTED_VALUE"""),"https://www.designrush.com/agency/creative-agencies/ae/dubai")</f>
        <v>https://www.designrush.com/agency/creative-agencies/ae/dubai</v>
      </c>
      <c r="B4" s="8" t="str">
        <f>IFERROR(__xludf.DUMMYFUNCTION("""COMPUTED_VALUE"""),"designrush.com")</f>
        <v>designrush.com</v>
      </c>
      <c r="C4" s="11" t="str">
        <f>IFERROR(__xludf.DUMMYFUNCTION("""COMPUTED_VALUE"""),"LISTICLE")</f>
        <v>LISTICLE</v>
      </c>
      <c r="D4" s="11" t="str">
        <f>IFERROR(__xludf.DUMMYFUNCTION("""COMPUTED_VALUE"""),"CORPORATE")</f>
        <v>CORPORATE</v>
      </c>
      <c r="E4" s="11" t="str">
        <f>IFERROR(__xludf.DUMMYFUNCTION("""COMPUTED_VALUE"""),"Top Creative Agencies in Dubai | 2026")</f>
        <v>Top Creative Agencies in Dubai | 2026</v>
      </c>
      <c r="F4" s="11" t="str">
        <f>IFERROR(__xludf.DUMMYFUNCTION("""COMPUTED_VALUE"""),"Listicle")</f>
        <v>Listicle</v>
      </c>
      <c r="G4" s="11" t="b">
        <f>IFERROR(__xludf.DUMMYFUNCTION("""COMPUTED_VALUE"""),FALSE)</f>
        <v>0</v>
      </c>
      <c r="H4" s="11" t="str">
        <f>IFERROR(__xludf.DUMMYFUNCTION("""COMPUTED_VALUE"""),"Adapts Media, GPS Marketing Agency, Almost Impossible")</f>
        <v>Adapts Media, GPS Marketing Agency, Almost Impossible</v>
      </c>
      <c r="I4" s="11">
        <f>IFERROR(__xludf.DUMMYFUNCTION("""COMPUTED_VALUE"""),13.0)</f>
        <v>13</v>
      </c>
      <c r="J4" s="11">
        <f>IFERROR(__xludf.DUMMYFUNCTION("""COMPUTED_VALUE"""),0.01)</f>
        <v>0.01</v>
      </c>
      <c r="K4" s="11">
        <f>IFERROR(__xludf.DUMMYFUNCTION("""COMPUTED_VALUE"""),0.38)</f>
        <v>0.38</v>
      </c>
    </row>
    <row r="5" ht="15.75" customHeight="1">
      <c r="A5" s="8" t="str">
        <f>IFERROR(__xludf.DUMMYFUNCTION("""COMPUTED_VALUE"""),"https://www.designrush.com/agency/paid-media-pay-per-click/ae")</f>
        <v>https://www.designrush.com/agency/paid-media-pay-per-click/ae</v>
      </c>
      <c r="B5" s="8" t="str">
        <f>IFERROR(__xludf.DUMMYFUNCTION("""COMPUTED_VALUE"""),"designrush.com")</f>
        <v>designrush.com</v>
      </c>
      <c r="C5" s="11" t="str">
        <f>IFERROR(__xludf.DUMMYFUNCTION("""COMPUTED_VALUE"""),"OTHER")</f>
        <v>OTHER</v>
      </c>
      <c r="D5" s="11" t="str">
        <f>IFERROR(__xludf.DUMMYFUNCTION("""COMPUTED_VALUE"""),"CORPORATE")</f>
        <v>CORPORATE</v>
      </c>
      <c r="E5" s="11" t="str">
        <f>IFERROR(__xludf.DUMMYFUNCTION("""COMPUTED_VALUE"""),"Top PPC Agencies in United Arab Emirates | 2026")</f>
        <v>Top PPC Agencies in United Arab Emirates | 2026</v>
      </c>
      <c r="F5" s="11" t="str">
        <f>IFERROR(__xludf.DUMMYFUNCTION("""COMPUTED_VALUE"""),"Other")</f>
        <v>Other</v>
      </c>
      <c r="G5" s="11" t="b">
        <f>IFERROR(__xludf.DUMMYFUNCTION("""COMPUTED_VALUE"""),FALSE)</f>
        <v>0</v>
      </c>
      <c r="H5" s="11" t="str">
        <f>IFERROR(__xludf.DUMMYFUNCTION("""COMPUTED_VALUE"""),"Bird Marketing, GCC Marketing, Digital Gravity, Tenet, Growth Hackers")</f>
        <v>Bird Marketing, GCC Marketing, Digital Gravity, Tenet, Growth Hackers</v>
      </c>
      <c r="I5" s="11">
        <f>IFERROR(__xludf.DUMMYFUNCTION("""COMPUTED_VALUE"""),13.0)</f>
        <v>13</v>
      </c>
      <c r="J5" s="11">
        <f>IFERROR(__xludf.DUMMYFUNCTION("""COMPUTED_VALUE"""),0.01)</f>
        <v>0.01</v>
      </c>
      <c r="K5" s="11">
        <f>IFERROR(__xludf.DUMMYFUNCTION("""COMPUTED_VALUE"""),0.08)</f>
        <v>0.08</v>
      </c>
    </row>
    <row r="6" ht="15.75" customHeight="1">
      <c r="A6" s="8" t="str">
        <f>IFERROR(__xludf.DUMMYFUNCTION("""COMPUTED_VALUE"""),"https://www.designrush.com/agency/digital-marketing/analytics")</f>
        <v>https://www.designrush.com/agency/digital-marketing/analytics</v>
      </c>
      <c r="B6" s="8" t="str">
        <f>IFERROR(__xludf.DUMMYFUNCTION("""COMPUTED_VALUE"""),"designrush.com")</f>
        <v>designrush.com</v>
      </c>
      <c r="C6" s="11" t="str">
        <f>IFERROR(__xludf.DUMMYFUNCTION("""COMPUTED_VALUE"""),"CATEGORY_PAGE")</f>
        <v>CATEGORY_PAGE</v>
      </c>
      <c r="D6" s="11" t="str">
        <f>IFERROR(__xludf.DUMMYFUNCTION("""COMPUTED_VALUE"""),"CORPORATE")</f>
        <v>CORPORATE</v>
      </c>
      <c r="E6" s="11" t="str">
        <f>IFERROR(__xludf.DUMMYFUNCTION("""COMPUTED_VALUE"""),"Top Marketing Analytics Agencies in 2026")</f>
        <v>Top Marketing Analytics Agencies in 2026</v>
      </c>
      <c r="F6" s="11" t="str">
        <f>IFERROR(__xludf.DUMMYFUNCTION("""COMPUTED_VALUE"""),"Category Page")</f>
        <v>Category Page</v>
      </c>
      <c r="G6" s="11" t="b">
        <f>IFERROR(__xludf.DUMMYFUNCTION("""COMPUTED_VALUE"""),FALSE)</f>
        <v>0</v>
      </c>
      <c r="H6" s="11" t="str">
        <f>IFERROR(__xludf.DUMMYFUNCTION("""COMPUTED_VALUE"""),"Huge, Monks")</f>
        <v>Huge, Monks</v>
      </c>
      <c r="I6" s="11">
        <f>IFERROR(__xludf.DUMMYFUNCTION("""COMPUTED_VALUE"""),12.0)</f>
        <v>12</v>
      </c>
      <c r="J6" s="11">
        <f>IFERROR(__xludf.DUMMYFUNCTION("""COMPUTED_VALUE"""),0.01)</f>
        <v>0.01</v>
      </c>
      <c r="K6" s="11">
        <f>IFERROR(__xludf.DUMMYFUNCTION("""COMPUTED_VALUE"""),0.0)</f>
        <v>0</v>
      </c>
    </row>
    <row r="7" ht="15.75" customHeight="1">
      <c r="A7" s="8" t="str">
        <f>IFERROR(__xludf.DUMMYFUNCTION("""COMPUTED_VALUE"""),"https://www.designrush.com/agency/media-buying-agencies/ae/dubai")</f>
        <v>https://www.designrush.com/agency/media-buying-agencies/ae/dubai</v>
      </c>
      <c r="B7" s="8" t="str">
        <f>IFERROR(__xludf.DUMMYFUNCTION("""COMPUTED_VALUE"""),"designrush.com")</f>
        <v>designrush.com</v>
      </c>
      <c r="C7" s="11" t="str">
        <f>IFERROR(__xludf.DUMMYFUNCTION("""COMPUTED_VALUE"""),"OTHER")</f>
        <v>OTHER</v>
      </c>
      <c r="D7" s="11" t="str">
        <f>IFERROR(__xludf.DUMMYFUNCTION("""COMPUTED_VALUE"""),"CORPORATE")</f>
        <v>CORPORATE</v>
      </c>
      <c r="E7" s="11" t="str">
        <f>IFERROR(__xludf.DUMMYFUNCTION("""COMPUTED_VALUE"""),"Top Media Buying Agencies in Dubai | 2026")</f>
        <v>Top Media Buying Agencies in Dubai | 2026</v>
      </c>
      <c r="F7" s="11" t="str">
        <f>IFERROR(__xludf.DUMMYFUNCTION("""COMPUTED_VALUE"""),"Other")</f>
        <v>Other</v>
      </c>
      <c r="G7" s="11" t="b">
        <f>IFERROR(__xludf.DUMMYFUNCTION("""COMPUTED_VALUE"""),FALSE)</f>
        <v>0</v>
      </c>
      <c r="H7" s="11" t="str">
        <f>IFERROR(__xludf.DUMMYFUNCTION("""COMPUTED_VALUE"""),"Dot IT, EDS FZCO, AlCaz Media")</f>
        <v>Dot IT, EDS FZCO, AlCaz Media</v>
      </c>
      <c r="I7" s="11">
        <f>IFERROR(__xludf.DUMMYFUNCTION("""COMPUTED_VALUE"""),9.0)</f>
        <v>9</v>
      </c>
      <c r="J7" s="11">
        <f>IFERROR(__xludf.DUMMYFUNCTION("""COMPUTED_VALUE"""),0.01)</f>
        <v>0.01</v>
      </c>
      <c r="K7" s="11">
        <f>IFERROR(__xludf.DUMMYFUNCTION("""COMPUTED_VALUE"""),0.11)</f>
        <v>0.11</v>
      </c>
    </row>
    <row r="8" ht="15.75" customHeight="1">
      <c r="A8" s="8" t="str">
        <f>IFERROR(__xludf.DUMMYFUNCTION("""COMPUTED_VALUE"""),"https://www.designrush.com/agency/digital-marketing/ae/dubai")</f>
        <v>https://www.designrush.com/agency/digital-marketing/ae/dubai</v>
      </c>
      <c r="B8" s="8" t="str">
        <f>IFERROR(__xludf.DUMMYFUNCTION("""COMPUTED_VALUE"""),"designrush.com")</f>
        <v>designrush.com</v>
      </c>
      <c r="C8" s="11" t="str">
        <f>IFERROR(__xludf.DUMMYFUNCTION("""COMPUTED_VALUE"""),"CATEGORY_PAGE")</f>
        <v>CATEGORY_PAGE</v>
      </c>
      <c r="D8" s="11" t="str">
        <f>IFERROR(__xludf.DUMMYFUNCTION("""COMPUTED_VALUE"""),"CORPORATE")</f>
        <v>CORPORATE</v>
      </c>
      <c r="E8" s="11" t="str">
        <f>IFERROR(__xludf.DUMMYFUNCTION("""COMPUTED_VALUE"""),"Top Digital Marketing Agencies in Dubai | 2026")</f>
        <v>Top Digital Marketing Agencies in Dubai | 2026</v>
      </c>
      <c r="F8" s="11" t="str">
        <f>IFERROR(__xludf.DUMMYFUNCTION("""COMPUTED_VALUE"""),"Category Page")</f>
        <v>Category Page</v>
      </c>
      <c r="G8" s="11" t="b">
        <f>IFERROR(__xludf.DUMMYFUNCTION("""COMPUTED_VALUE"""),FALSE)</f>
        <v>0</v>
      </c>
      <c r="H8" s="11" t="str">
        <f>IFERROR(__xludf.DUMMYFUNCTION("""COMPUTED_VALUE"""),"Bird Marketing, Adapts Media, Dot IT, Digital Gravity, Growth Hackers, Tenet, GPS Marketing Agency, Measured")</f>
        <v>Bird Marketing, Adapts Media, Dot IT, Digital Gravity, Growth Hackers, Tenet, GPS Marketing Agency, Measured</v>
      </c>
      <c r="I8" s="11">
        <f>IFERROR(__xludf.DUMMYFUNCTION("""COMPUTED_VALUE"""),8.0)</f>
        <v>8</v>
      </c>
      <c r="J8" s="11">
        <f>IFERROR(__xludf.DUMMYFUNCTION("""COMPUTED_VALUE"""),0.01)</f>
        <v>0.01</v>
      </c>
      <c r="K8" s="11">
        <f>IFERROR(__xludf.DUMMYFUNCTION("""COMPUTED_VALUE"""),0.0)</f>
        <v>0</v>
      </c>
    </row>
    <row r="9" ht="15.75" customHeight="1">
      <c r="A9" s="8" t="str">
        <f>IFERROR(__xludf.DUMMYFUNCTION("""COMPUTED_VALUE"""),"https://www.designrush.com/agency/creative-agencies/ae")</f>
        <v>https://www.designrush.com/agency/creative-agencies/ae</v>
      </c>
      <c r="B9" s="8" t="str">
        <f>IFERROR(__xludf.DUMMYFUNCTION("""COMPUTED_VALUE"""),"designrush.com")</f>
        <v>designrush.com</v>
      </c>
      <c r="C9" s="11" t="str">
        <f>IFERROR(__xludf.DUMMYFUNCTION("""COMPUTED_VALUE"""),"OTHER")</f>
        <v>OTHER</v>
      </c>
      <c r="D9" s="11" t="str">
        <f>IFERROR(__xludf.DUMMYFUNCTION("""COMPUTED_VALUE"""),"CORPORATE")</f>
        <v>CORPORATE</v>
      </c>
      <c r="E9" s="11" t="str">
        <f>IFERROR(__xludf.DUMMYFUNCTION("""COMPUTED_VALUE"""),"Top Creative Agencies in United Arab Emirates | 2026")</f>
        <v>Top Creative Agencies in United Arab Emirates | 2026</v>
      </c>
      <c r="F9" s="11" t="str">
        <f>IFERROR(__xludf.DUMMYFUNCTION("""COMPUTED_VALUE"""),"Other")</f>
        <v>Other</v>
      </c>
      <c r="G9" s="11" t="b">
        <f>IFERROR(__xludf.DUMMYFUNCTION("""COMPUTED_VALUE"""),FALSE)</f>
        <v>0</v>
      </c>
      <c r="H9" s="11" t="str">
        <f>IFERROR(__xludf.DUMMYFUNCTION("""COMPUTED_VALUE"""),"Adapts Media, GPS Marketing Agency, Almost Impossible")</f>
        <v>Adapts Media, GPS Marketing Agency, Almost Impossible</v>
      </c>
      <c r="I9" s="11">
        <f>IFERROR(__xludf.DUMMYFUNCTION("""COMPUTED_VALUE"""),4.0)</f>
        <v>4</v>
      </c>
      <c r="J9" s="11">
        <f>IFERROR(__xludf.DUMMYFUNCTION("""COMPUTED_VALUE"""),0.0)</f>
        <v>0</v>
      </c>
      <c r="K9" s="11">
        <f>IFERROR(__xludf.DUMMYFUNCTION("""COMPUTED_VALUE"""),0.0)</f>
        <v>0</v>
      </c>
    </row>
    <row r="10" ht="15.75" customHeight="1">
      <c r="A10" s="8" t="str">
        <f>IFERROR(__xludf.DUMMYFUNCTION("""COMPUTED_VALUE"""),"https://www.designrush.com/agency/ai-companies/ae")</f>
        <v>https://www.designrush.com/agency/ai-companies/ae</v>
      </c>
      <c r="B10" s="8" t="str">
        <f>IFERROR(__xludf.DUMMYFUNCTION("""COMPUTED_VALUE"""),"designrush.com")</f>
        <v>designrush.com</v>
      </c>
      <c r="C10" s="11" t="str">
        <f>IFERROR(__xludf.DUMMYFUNCTION("""COMPUTED_VALUE"""),"CATEGORY_PAGE")</f>
        <v>CATEGORY_PAGE</v>
      </c>
      <c r="D10" s="11" t="str">
        <f>IFERROR(__xludf.DUMMYFUNCTION("""COMPUTED_VALUE"""),"CORPORATE")</f>
        <v>CORPORATE</v>
      </c>
      <c r="E10" s="11" t="str">
        <f>IFERROR(__xludf.DUMMYFUNCTION("""COMPUTED_VALUE"""),"Top AI Companies in United Arab Emirates | 2026")</f>
        <v>Top AI Companies in United Arab Emirates | 2026</v>
      </c>
      <c r="F10" s="11" t="str">
        <f>IFERROR(__xludf.DUMMYFUNCTION("""COMPUTED_VALUE"""),"Category Page")</f>
        <v>Category Page</v>
      </c>
      <c r="G10" s="11" t="b">
        <f>IFERROR(__xludf.DUMMYFUNCTION("""COMPUTED_VALUE"""),FALSE)</f>
        <v>0</v>
      </c>
      <c r="H10" s="11" t="str">
        <f>IFERROR(__xludf.DUMMYFUNCTION("""COMPUTED_VALUE"""),"INSIDEA")</f>
        <v>INSIDEA</v>
      </c>
      <c r="I10" s="11">
        <f>IFERROR(__xludf.DUMMYFUNCTION("""COMPUTED_VALUE"""),3.0)</f>
        <v>3</v>
      </c>
      <c r="J10" s="11">
        <f>IFERROR(__xludf.DUMMYFUNCTION("""COMPUTED_VALUE"""),0.0)</f>
        <v>0</v>
      </c>
      <c r="K10" s="11">
        <f>IFERROR(__xludf.DUMMYFUNCTION("""COMPUTED_VALUE"""),0.0)</f>
        <v>0</v>
      </c>
    </row>
    <row r="11" ht="15.75" customHeight="1">
      <c r="A11" s="8" t="str">
        <f>IFERROR(__xludf.DUMMYFUNCTION("""COMPUTED_VALUE"""),"https://www.designrush.com/agency/conversion-optimization/us")</f>
        <v>https://www.designrush.com/agency/conversion-optimization/us</v>
      </c>
      <c r="B11" s="8" t="str">
        <f>IFERROR(__xludf.DUMMYFUNCTION("""COMPUTED_VALUE"""),"designrush.com")</f>
        <v>designrush.com</v>
      </c>
      <c r="C11" s="11" t="str">
        <f>IFERROR(__xludf.DUMMYFUNCTION("""COMPUTED_VALUE"""),"CATEGORY_PAGE")</f>
        <v>CATEGORY_PAGE</v>
      </c>
      <c r="D11" s="11" t="str">
        <f>IFERROR(__xludf.DUMMYFUNCTION("""COMPUTED_VALUE"""),"CORPORATE")</f>
        <v>CORPORATE</v>
      </c>
      <c r="E11" s="11" t="str">
        <f>IFERROR(__xludf.DUMMYFUNCTION("""COMPUTED_VALUE"""),"Top Conversion Rate Optimization Agency in the US | 2026")</f>
        <v>Top Conversion Rate Optimization Agency in the US | 2026</v>
      </c>
      <c r="F11" s="11" t="str">
        <f>IFERROR(__xludf.DUMMYFUNCTION("""COMPUTED_VALUE"""),"Category Page")</f>
        <v>Category Page</v>
      </c>
      <c r="G11" s="11" t="b">
        <f>IFERROR(__xludf.DUMMYFUNCTION("""COMPUTED_VALUE"""),FALSE)</f>
        <v>0</v>
      </c>
      <c r="H11" s="11" t="str">
        <f>IFERROR(__xludf.DUMMYFUNCTION("""COMPUTED_VALUE"""),"Push, Huge, Disruptive Advertising")</f>
        <v>Push, Huge, Disruptive Advertising</v>
      </c>
      <c r="I11" s="11">
        <f>IFERROR(__xludf.DUMMYFUNCTION("""COMPUTED_VALUE"""),1.0)</f>
        <v>1</v>
      </c>
      <c r="J11" s="11">
        <f>IFERROR(__xludf.DUMMYFUNCTION("""COMPUTED_VALUE"""),0.0)</f>
        <v>0</v>
      </c>
      <c r="K11" s="11">
        <f>IFERROR(__xludf.DUMMYFUNCTION("""COMPUTED_VALUE"""),0.0)</f>
        <v>0</v>
      </c>
    </row>
    <row r="12" ht="15.75" customHeight="1">
      <c r="A12" s="8" t="str">
        <f>IFERROR(__xludf.DUMMYFUNCTION("""COMPUTED_VALUE"""),"https://www.designrush.com/agency/digital-marketing/performance-marketing-agencies")</f>
        <v>https://www.designrush.com/agency/digital-marketing/performance-marketing-agencies</v>
      </c>
      <c r="B12" s="8" t="str">
        <f>IFERROR(__xludf.DUMMYFUNCTION("""COMPUTED_VALUE"""),"designrush.com")</f>
        <v>designrush.com</v>
      </c>
      <c r="C12" s="11" t="str">
        <f>IFERROR(__xludf.DUMMYFUNCTION("""COMPUTED_VALUE"""),"LISTICLE")</f>
        <v>LISTICLE</v>
      </c>
      <c r="D12" s="11" t="str">
        <f>IFERROR(__xludf.DUMMYFUNCTION("""COMPUTED_VALUE"""),"CORPORATE")</f>
        <v>CORPORATE</v>
      </c>
      <c r="E12" s="11" t="str">
        <f>IFERROR(__xludf.DUMMYFUNCTION("""COMPUTED_VALUE"""),"Top Performance Marketing Agencies in 2026")</f>
        <v>Top Performance Marketing Agencies in 2026</v>
      </c>
      <c r="F12" s="11" t="str">
        <f>IFERROR(__xludf.DUMMYFUNCTION("""COMPUTED_VALUE"""),"Listicle")</f>
        <v>Listicle</v>
      </c>
      <c r="G12" s="11" t="b">
        <f>IFERROR(__xludf.DUMMYFUNCTION("""COMPUTED_VALUE"""),FALSE)</f>
        <v>0</v>
      </c>
      <c r="H12" s="11" t="str">
        <f>IFERROR(__xludf.DUMMYFUNCTION("""COMPUTED_VALUE"""),"Wpromote, M&amp;C Saatchi Performance, NoGood, Power Digital, Huge, Push, Disruptive Advertising, PwC, Web Tonic")</f>
        <v>Wpromote, M&amp;C Saatchi Performance, NoGood, Power Digital, Huge, Push, Disruptive Advertising, PwC, Web Tonic</v>
      </c>
      <c r="I12" s="11">
        <f>IFERROR(__xludf.DUMMYFUNCTION("""COMPUTED_VALUE"""),1.0)</f>
        <v>1</v>
      </c>
      <c r="J12" s="11">
        <f>IFERROR(__xludf.DUMMYFUNCTION("""COMPUTED_VALUE"""),0.0)</f>
        <v>0</v>
      </c>
      <c r="K12" s="11">
        <f>IFERROR(__xludf.DUMMYFUNCTION("""COMPUTED_VALUE"""),0.0)</f>
        <v>0</v>
      </c>
    </row>
    <row r="13" ht="15.75" customHeight="1">
      <c r="A13" s="8" t="str">
        <f>IFERROR(__xludf.DUMMYFUNCTION("""COMPUTED_VALUE"""),"https://www.designrush.com/agency/digital-marketing/search-engine/ae/dubai")</f>
        <v>https://www.designrush.com/agency/digital-marketing/search-engine/ae/dubai</v>
      </c>
      <c r="B13" s="8" t="str">
        <f>IFERROR(__xludf.DUMMYFUNCTION("""COMPUTED_VALUE"""),"designrush.com")</f>
        <v>designrush.com</v>
      </c>
      <c r="C13" s="11" t="str">
        <f>IFERROR(__xludf.DUMMYFUNCTION("""COMPUTED_VALUE"""),"CATEGORY_PAGE")</f>
        <v>CATEGORY_PAGE</v>
      </c>
      <c r="D13" s="11" t="str">
        <f>IFERROR(__xludf.DUMMYFUNCTION("""COMPUTED_VALUE"""),"CORPORATE")</f>
        <v>CORPORATE</v>
      </c>
      <c r="E13" s="11" t="str">
        <f>IFERROR(__xludf.DUMMYFUNCTION("""COMPUTED_VALUE"""),"Top Search Engine Marketing Agencies in Dubai | 2026")</f>
        <v>Top Search Engine Marketing Agencies in Dubai | 2026</v>
      </c>
      <c r="F13" s="11" t="str">
        <f>IFERROR(__xludf.DUMMYFUNCTION("""COMPUTED_VALUE"""),"Category Page")</f>
        <v>Category Page</v>
      </c>
      <c r="G13" s="11" t="b">
        <f>IFERROR(__xludf.DUMMYFUNCTION("""COMPUTED_VALUE"""),FALSE)</f>
        <v>0</v>
      </c>
      <c r="H13" s="11" t="str">
        <f>IFERROR(__xludf.DUMMYFUNCTION("""COMPUTED_VALUE"""),"Bird Marketing, Dot IT, Digital Gravity, Digital Arabia, LUMINA")</f>
        <v>Bird Marketing, Dot IT, Digital Gravity, Digital Arabia, LUMINA</v>
      </c>
      <c r="I13" s="11">
        <f>IFERROR(__xludf.DUMMYFUNCTION("""COMPUTED_VALUE"""),1.0)</f>
        <v>1</v>
      </c>
      <c r="J13" s="11">
        <f>IFERROR(__xludf.DUMMYFUNCTION("""COMPUTED_VALUE"""),0.0)</f>
        <v>0</v>
      </c>
      <c r="K13" s="11">
        <f>IFERROR(__xludf.DUMMYFUNCTION("""COMPUTED_VALUE"""),0.0)</f>
        <v>0</v>
      </c>
    </row>
    <row r="14" ht="15.75" customHeight="1">
      <c r="A14" s="8" t="str">
        <f>IFERROR(__xludf.DUMMYFUNCTION("""COMPUTED_VALUE"""),"https://www.designrush.com/agency/digital-marketing/trends/demand-generation-agency")</f>
        <v>https://www.designrush.com/agency/digital-marketing/trends/demand-generation-agency</v>
      </c>
      <c r="B14" s="8" t="str">
        <f>IFERROR(__xludf.DUMMYFUNCTION("""COMPUTED_VALUE"""),"designrush.com")</f>
        <v>designrush.com</v>
      </c>
      <c r="C14" s="11" t="str">
        <f>IFERROR(__xludf.DUMMYFUNCTION("""COMPUTED_VALUE"""),"LISTICLE")</f>
        <v>LISTICLE</v>
      </c>
      <c r="D14" s="11" t="str">
        <f>IFERROR(__xludf.DUMMYFUNCTION("""COMPUTED_VALUE"""),"CORPORATE")</f>
        <v>CORPORATE</v>
      </c>
      <c r="E14" s="11" t="str">
        <f>IFERROR(__xludf.DUMMYFUNCTION("""COMPUTED_VALUE"""),"15 Best Demand Generation Agencies in 2026")</f>
        <v>15 Best Demand Generation Agencies in 2026</v>
      </c>
      <c r="F14" s="11" t="str">
        <f>IFERROR(__xludf.DUMMYFUNCTION("""COMPUTED_VALUE"""),"Listicle")</f>
        <v>Listicle</v>
      </c>
      <c r="G14" s="11" t="b">
        <f>IFERROR(__xludf.DUMMYFUNCTION("""COMPUTED_VALUE"""),FALSE)</f>
        <v>0</v>
      </c>
      <c r="H14" s="11" t="str">
        <f>IFERROR(__xludf.DUMMYFUNCTION("""COMPUTED_VALUE"""),"Measured, Push")</f>
        <v>Measured, Push</v>
      </c>
      <c r="I14" s="11">
        <f>IFERROR(__xludf.DUMMYFUNCTION("""COMPUTED_VALUE"""),1.0)</f>
        <v>1</v>
      </c>
      <c r="J14" s="11">
        <f>IFERROR(__xludf.DUMMYFUNCTION("""COMPUTED_VALUE"""),0.0)</f>
        <v>0</v>
      </c>
      <c r="K14" s="11">
        <f>IFERROR(__xludf.DUMMYFUNCTION("""COMPUTED_VALUE"""),1.0)</f>
        <v>1</v>
      </c>
    </row>
    <row r="15" ht="15.75" customHeight="1">
      <c r="A15" s="8" t="str">
        <f>IFERROR(__xludf.DUMMYFUNCTION("""COMPUTED_VALUE"""),"https://www.designrush.com/agency/paid-media-pay-per-click/ae/dubai")</f>
        <v>https://www.designrush.com/agency/paid-media-pay-per-click/ae/dubai</v>
      </c>
      <c r="B15" s="8" t="str">
        <f>IFERROR(__xludf.DUMMYFUNCTION("""COMPUTED_VALUE"""),"designrush.com")</f>
        <v>designrush.com</v>
      </c>
      <c r="C15" s="11" t="str">
        <f>IFERROR(__xludf.DUMMYFUNCTION("""COMPUTED_VALUE"""),"LISTICLE")</f>
        <v>LISTICLE</v>
      </c>
      <c r="D15" s="11" t="str">
        <f>IFERROR(__xludf.DUMMYFUNCTION("""COMPUTED_VALUE"""),"CORPORATE")</f>
        <v>CORPORATE</v>
      </c>
      <c r="E15" s="11" t="str">
        <f>IFERROR(__xludf.DUMMYFUNCTION("""COMPUTED_VALUE"""),"Top PPC Agencies in Dubai | 2026")</f>
        <v>Top PPC Agencies in Dubai | 2026</v>
      </c>
      <c r="F15" s="11" t="str">
        <f>IFERROR(__xludf.DUMMYFUNCTION("""COMPUTED_VALUE"""),"Listicle")</f>
        <v>Listicle</v>
      </c>
      <c r="G15" s="11" t="b">
        <f>IFERROR(__xludf.DUMMYFUNCTION("""COMPUTED_VALUE"""),FALSE)</f>
        <v>0</v>
      </c>
      <c r="H15" s="11" t="str">
        <f>IFERROR(__xludf.DUMMYFUNCTION("""COMPUTED_VALUE"""),"Bird Marketing, GCC Marketing, Digital Gravity, Tenet, Growth Hackers")</f>
        <v>Bird Marketing, GCC Marketing, Digital Gravity, Tenet, Growth Hackers</v>
      </c>
      <c r="I15" s="11">
        <f>IFERROR(__xludf.DUMMYFUNCTION("""COMPUTED_VALUE"""),1.0)</f>
        <v>1</v>
      </c>
      <c r="J15" s="11">
        <f>IFERROR(__xludf.DUMMYFUNCTION("""COMPUTED_VALUE"""),0.0)</f>
        <v>0</v>
      </c>
      <c r="K15" s="11">
        <f>IFERROR(__xludf.DUMMYFUNCTION("""COMPUTED_VALUE"""),0.0)</f>
        <v>0</v>
      </c>
    </row>
    <row r="16" ht="15.75" customHeight="1">
      <c r="A16" s="8" t="str">
        <f>IFERROR(__xludf.DUMMYFUNCTION("""COMPUTED_VALUE"""),"https://www.designrush.com/agency/paid-media-pay-per-click/ae/dubai?page=2")</f>
        <v>https://www.designrush.com/agency/paid-media-pay-per-click/ae/dubai?page=2</v>
      </c>
      <c r="B16" s="8" t="str">
        <f>IFERROR(__xludf.DUMMYFUNCTION("""COMPUTED_VALUE"""),"designrush.com")</f>
        <v>designrush.com</v>
      </c>
      <c r="C16" s="11" t="str">
        <f>IFERROR(__xludf.DUMMYFUNCTION("""COMPUTED_VALUE"""),"OTHER")</f>
        <v>OTHER</v>
      </c>
      <c r="D16" s="11" t="str">
        <f>IFERROR(__xludf.DUMMYFUNCTION("""COMPUTED_VALUE"""),"CORPORATE")</f>
        <v>CORPORATE</v>
      </c>
      <c r="E16" s="11" t="str">
        <f>IFERROR(__xludf.DUMMYFUNCTION("""COMPUTED_VALUE"""),"Top PPC Agencies in Dubai - Page 2")</f>
        <v>Top PPC Agencies in Dubai - Page 2</v>
      </c>
      <c r="F16" s="11" t="str">
        <f>IFERROR(__xludf.DUMMYFUNCTION("""COMPUTED_VALUE"""),"Other")</f>
        <v>Other</v>
      </c>
      <c r="G16" s="11" t="b">
        <f>IFERROR(__xludf.DUMMYFUNCTION("""COMPUTED_VALUE"""),FALSE)</f>
        <v>0</v>
      </c>
      <c r="H16" s="11" t="str">
        <f>IFERROR(__xludf.DUMMYFUNCTION("""COMPUTED_VALUE"""),"AlCaz Media, SEO Sherpa, NEXA, Leads Dubai")</f>
        <v>AlCaz Media, SEO Sherpa, NEXA, Leads Dubai</v>
      </c>
      <c r="I16" s="11">
        <f>IFERROR(__xludf.DUMMYFUNCTION("""COMPUTED_VALUE"""),1.0)</f>
        <v>1</v>
      </c>
      <c r="J16" s="11">
        <f>IFERROR(__xludf.DUMMYFUNCTION("""COMPUTED_VALUE"""),0.0)</f>
        <v>0</v>
      </c>
      <c r="K16" s="11">
        <f>IFERROR(__xludf.DUMMYFUNCTION("""COMPUTED_VALUE"""),0.0)</f>
        <v>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s>
  <drawing r:id="rId3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All'!A2:A1000)),""reddit"")
  ),
  """"
)"),"https://www.reddit.com/r/UAE/comments/1gt9dr2/which_is_the_best_performance_marketing_agency_in/")</f>
        <v>https://www.reddit.com/r/UAE/comments/1gt9dr2/which_is_the_best_performance_marketing_agency_in/</v>
      </c>
      <c r="B2" s="8" t="str">
        <f>IFERROR(__xludf.DUMMYFUNCTION("""COMPUTED_VALUE"""),"reddit.com")</f>
        <v>reddit.com</v>
      </c>
      <c r="C2" s="11" t="str">
        <f>IFERROR(__xludf.DUMMYFUNCTION("""COMPUTED_VALUE"""),"DISCUSSION")</f>
        <v>DISCUSSION</v>
      </c>
      <c r="D2" s="11" t="str">
        <f>IFERROR(__xludf.DUMMYFUNCTION("""COMPUTED_VALUE"""),"UGC")</f>
        <v>UGC</v>
      </c>
      <c r="E2" s="11" t="str">
        <f>IFERROR(__xludf.DUMMYFUNCTION("""COMPUTED_VALUE"""),"Which is the best performance marketing agency in Dubai?")</f>
        <v>Which is the best performance marketing agency in Dubai?</v>
      </c>
      <c r="F2" s="11" t="str">
        <f>IFERROR(__xludf.DUMMYFUNCTION("""COMPUTED_VALUE"""),"Discussion")</f>
        <v>Discussion</v>
      </c>
      <c r="G2" s="11" t="b">
        <f>IFERROR(__xludf.DUMMYFUNCTION("""COMPUTED_VALUE"""),FALSE)</f>
        <v>0</v>
      </c>
      <c r="H2" s="11" t="str">
        <f>IFERROR(__xludf.DUMMYFUNCTION("""COMPUTED_VALUE"""),"TIDAL Digital, Acquisit, Chain Reaction, PHD, Assembly MENA, NP Digital, Huge, House of Growth, NEXA, M&amp;C Saatchi Performance, Home of Performance, LUMINA, Dentsu, Merkle")</f>
        <v>TIDAL Digital, Acquisit, Chain Reaction, PHD, Assembly MENA, NP Digital, Huge, House of Growth, NEXA, M&amp;C Saatchi Performance, Home of Performance, LUMINA, Dentsu, Merkle</v>
      </c>
      <c r="I2" s="11">
        <f>IFERROR(__xludf.DUMMYFUNCTION("""COMPUTED_VALUE"""),35.0)</f>
        <v>35</v>
      </c>
      <c r="J2" s="11">
        <f>IFERROR(__xludf.DUMMYFUNCTION("""COMPUTED_VALUE"""),0.03)</f>
        <v>0.03</v>
      </c>
      <c r="K2" s="11">
        <f>IFERROR(__xludf.DUMMYFUNCTION("""COMPUTED_VALUE"""),1.09)</f>
        <v>1.09</v>
      </c>
    </row>
    <row r="3" ht="15.75" customHeight="1">
      <c r="A3" s="8" t="str">
        <f>IFERROR(__xludf.DUMMYFUNCTION("""COMPUTED_VALUE"""),"https://www.reddit.com/r/uaemarketing/comments/1m9pccx/top_rated_generative_engine_optimization_geo/")</f>
        <v>https://www.reddit.com/r/uaemarketing/comments/1m9pccx/top_rated_generative_engine_optimization_geo/</v>
      </c>
      <c r="B3" s="8" t="str">
        <f>IFERROR(__xludf.DUMMYFUNCTION("""COMPUTED_VALUE"""),"reddit.com")</f>
        <v>reddit.com</v>
      </c>
      <c r="C3" s="11" t="str">
        <f>IFERROR(__xludf.DUMMYFUNCTION("""COMPUTED_VALUE"""),"DISCUSSION")</f>
        <v>DISCUSSION</v>
      </c>
      <c r="D3" s="11" t="str">
        <f>IFERROR(__xludf.DUMMYFUNCTION("""COMPUTED_VALUE"""),"UGC")</f>
        <v>UGC</v>
      </c>
      <c r="E3" s="11" t="str">
        <f>IFERROR(__xludf.DUMMYFUNCTION("""COMPUTED_VALUE"""),"Top Rated Generative Engine Optimization GEO Agency Dubai")</f>
        <v>Top Rated Generative Engine Optimization GEO Agency Dubai</v>
      </c>
      <c r="F3" s="11" t="str">
        <f>IFERROR(__xludf.DUMMYFUNCTION("""COMPUTED_VALUE"""),"Discussion")</f>
        <v>Discussion</v>
      </c>
      <c r="G3" s="11" t="b">
        <f>IFERROR(__xludf.DUMMYFUNCTION("""COMPUTED_VALUE"""),FALSE)</f>
        <v>0</v>
      </c>
      <c r="H3" s="11" t="str">
        <f>IFERROR(__xludf.DUMMYFUNCTION("""COMPUTED_VALUE"""),"Royex Technologies")</f>
        <v>Royex Technologies</v>
      </c>
      <c r="I3" s="11">
        <f>IFERROR(__xludf.DUMMYFUNCTION("""COMPUTED_VALUE"""),7.0)</f>
        <v>7</v>
      </c>
      <c r="J3" s="11">
        <f>IFERROR(__xludf.DUMMYFUNCTION("""COMPUTED_VALUE"""),0.01)</f>
        <v>0.01</v>
      </c>
      <c r="K3" s="11">
        <f>IFERROR(__xludf.DUMMYFUNCTION("""COMPUTED_VALUE"""),2.0)</f>
        <v>2</v>
      </c>
    </row>
    <row r="4" ht="15.75" customHeight="1">
      <c r="A4" s="8" t="str">
        <f>IFERROR(__xludf.DUMMYFUNCTION("""COMPUTED_VALUE"""),"https://www.reddit.com/r/AppDevelopersDubai/comments/1qy6tf9/top_10_digital_marketing_agencies_in_the_middle/#:~:text=Chain%20Reaction%20is%20a%20well,8.")</f>
        <v>https://www.reddit.com/r/AppDevelopersDubai/comments/1qy6tf9/top_10_digital_marketing_agencies_in_the_middle/#:~:text=Chain%20Reaction%20is%20a%20well,8.</v>
      </c>
      <c r="B4" s="8" t="str">
        <f>IFERROR(__xludf.DUMMYFUNCTION("""COMPUTED_VALUE"""),"reddit.com")</f>
        <v>reddit.com</v>
      </c>
      <c r="C4" s="11" t="str">
        <f>IFERROR(__xludf.DUMMYFUNCTION("""COMPUTED_VALUE"""),"DISCUSSION")</f>
        <v>DISCUSSION</v>
      </c>
      <c r="D4" s="11" t="str">
        <f>IFERROR(__xludf.DUMMYFUNCTION("""COMPUTED_VALUE"""),"UGC")</f>
        <v>UGC</v>
      </c>
      <c r="E4" s="11" t="str">
        <f>IFERROR(__xludf.DUMMYFUNCTION("""COMPUTED_VALUE"""),"Top 10 Digital Marketing Agencies in the Middle East (2026 Updated)")</f>
        <v>Top 10 Digital Marketing Agencies in the Middle East (2026 Updated)</v>
      </c>
      <c r="F4" s="11" t="str">
        <f>IFERROR(__xludf.DUMMYFUNCTION("""COMPUTED_VALUE"""),"Discussion")</f>
        <v>Discussion</v>
      </c>
      <c r="G4" s="11" t="b">
        <f>IFERROR(__xludf.DUMMYFUNCTION("""COMPUTED_VALUE"""),FALSE)</f>
        <v>0</v>
      </c>
      <c r="H4" s="11" t="str">
        <f>IFERROR(__xludf.DUMMYFUNCTION("""COMPUTED_VALUE"""),"Chain Reaction")</f>
        <v>Chain Reaction</v>
      </c>
      <c r="I4" s="11">
        <f>IFERROR(__xludf.DUMMYFUNCTION("""COMPUTED_VALUE"""),4.0)</f>
        <v>4</v>
      </c>
      <c r="J4" s="11">
        <f>IFERROR(__xludf.DUMMYFUNCTION("""COMPUTED_VALUE"""),0.0)</f>
        <v>0</v>
      </c>
      <c r="K4" s="11">
        <f>IFERROR(__xludf.DUMMYFUNCTION("""COMPUTED_VALUE"""),1.0)</f>
        <v>1</v>
      </c>
    </row>
    <row r="5" ht="15.75" customHeight="1">
      <c r="A5" s="8" t="str">
        <f>IFERROR(__xludf.DUMMYFUNCTION("""COMPUTED_VALUE"""),"https://www.reddit.com/r/Superframeworks/comments/1twfxf1/10_best_ai_seo_geoaeo_agencies_for_2026_no/")</f>
        <v>https://www.reddit.com/r/Superframeworks/comments/1twfxf1/10_best_ai_seo_geoaeo_agencies_for_2026_no/</v>
      </c>
      <c r="B5" s="8" t="str">
        <f>IFERROR(__xludf.DUMMYFUNCTION("""COMPUTED_VALUE"""),"reddit.com")</f>
        <v>reddit.com</v>
      </c>
      <c r="C5" s="11" t="str">
        <f>IFERROR(__xludf.DUMMYFUNCTION("""COMPUTED_VALUE"""),"DISCUSSION")</f>
        <v>DISCUSSION</v>
      </c>
      <c r="D5" s="11" t="str">
        <f>IFERROR(__xludf.DUMMYFUNCTION("""COMPUTED_VALUE"""),"UGC")</f>
        <v>UGC</v>
      </c>
      <c r="E5" s="11" t="str">
        <f>IFERROR(__xludf.DUMMYFUNCTION("""COMPUTED_VALUE"""),"10 Best AI SEO (GEO/AEO) Agencies for 2026: No Self-Ranking, Verified by Clutch Reviews and Real AI-Citation Proof")</f>
        <v>10 Best AI SEO (GEO/AEO) Agencies for 2026: No Self-Ranking, Verified by Clutch Reviews and Real AI-Citation Proof</v>
      </c>
      <c r="F5" s="11" t="str">
        <f>IFERROR(__xludf.DUMMYFUNCTION("""COMPUTED_VALUE"""),"Discussion")</f>
        <v>Discussion</v>
      </c>
      <c r="G5" s="11" t="b">
        <f>IFERROR(__xludf.DUMMYFUNCTION("""COMPUTED_VALUE"""),FALSE)</f>
        <v>0</v>
      </c>
      <c r="H5" s="11" t="str">
        <f>IFERROR(__xludf.DUMMYFUNCTION("""COMPUTED_VALUE"""),"Single Grain, NoGood, iPullRank")</f>
        <v>Single Grain, NoGood, iPullRank</v>
      </c>
      <c r="I5" s="11">
        <f>IFERROR(__xludf.DUMMYFUNCTION("""COMPUTED_VALUE"""),4.0)</f>
        <v>4</v>
      </c>
      <c r="J5" s="11">
        <f>IFERROR(__xludf.DUMMYFUNCTION("""COMPUTED_VALUE"""),0.0)</f>
        <v>0</v>
      </c>
      <c r="K5" s="11">
        <f>IFERROR(__xludf.DUMMYFUNCTION("""COMPUTED_VALUE"""),1.75)</f>
        <v>1.75</v>
      </c>
    </row>
    <row r="6" ht="15.75" customHeight="1">
      <c r="A6" s="8" t="str">
        <f>IFERROR(__xludf.DUMMYFUNCTION("""COMPUTED_VALUE"""),"https://www.reddit.com/r/agency/comments/1ok212i/performance_marketing_incrementality/")</f>
        <v>https://www.reddit.com/r/agency/comments/1ok212i/performance_marketing_incrementality/</v>
      </c>
      <c r="B6" s="8" t="str">
        <f>IFERROR(__xludf.DUMMYFUNCTION("""COMPUTED_VALUE"""),"reddit.com")</f>
        <v>reddit.com</v>
      </c>
      <c r="C6" s="11" t="str">
        <f>IFERROR(__xludf.DUMMYFUNCTION("""COMPUTED_VALUE"""),"DISCUSSION")</f>
        <v>DISCUSSION</v>
      </c>
      <c r="D6" s="11" t="str">
        <f>IFERROR(__xludf.DUMMYFUNCTION("""COMPUTED_VALUE"""),"UGC")</f>
        <v>UGC</v>
      </c>
      <c r="E6" s="11" t="str">
        <f>IFERROR(__xludf.DUMMYFUNCTION("""COMPUTED_VALUE"""),"Performance Marketing Incrementality")</f>
        <v>Performance Marketing Incrementality</v>
      </c>
      <c r="F6" s="11" t="str">
        <f>IFERROR(__xludf.DUMMYFUNCTION("""COMPUTED_VALUE"""),"Discussion")</f>
        <v>Discussion</v>
      </c>
      <c r="G6" s="11" t="b">
        <f>IFERROR(__xludf.DUMMYFUNCTION("""COMPUTED_VALUE"""),FALSE)</f>
        <v>0</v>
      </c>
      <c r="H6" s="11" t="str">
        <f>IFERROR(__xludf.DUMMYFUNCTION("""COMPUTED_VALUE"""),"Haus, Measured")</f>
        <v>Haus, Measured</v>
      </c>
      <c r="I6" s="11">
        <f>IFERROR(__xludf.DUMMYFUNCTION("""COMPUTED_VALUE"""),3.0)</f>
        <v>3</v>
      </c>
      <c r="J6" s="11">
        <f>IFERROR(__xludf.DUMMYFUNCTION("""COMPUTED_VALUE"""),0.0)</f>
        <v>0</v>
      </c>
      <c r="K6" s="11">
        <f>IFERROR(__xludf.DUMMYFUNCTION("""COMPUTED_VALUE"""),0.67)</f>
        <v>0.67</v>
      </c>
    </row>
    <row r="7" ht="15.75" customHeight="1">
      <c r="A7" s="8" t="str">
        <f>IFERROR(__xludf.DUMMYFUNCTION("""COMPUTED_VALUE"""),"https://www.reddit.com/r/DesignDigitalProducts/comments/1tm0oqk/top_5_best_branding_agencies_in_dubai_based_on_my/")</f>
        <v>https://www.reddit.com/r/DesignDigitalProducts/comments/1tm0oqk/top_5_best_branding_agencies_in_dubai_based_on_my/</v>
      </c>
      <c r="B7" s="8" t="str">
        <f>IFERROR(__xludf.DUMMYFUNCTION("""COMPUTED_VALUE"""),"reddit.com")</f>
        <v>reddit.com</v>
      </c>
      <c r="C7" s="11" t="str">
        <f>IFERROR(__xludf.DUMMYFUNCTION("""COMPUTED_VALUE"""),"DISCUSSION")</f>
        <v>DISCUSSION</v>
      </c>
      <c r="D7" s="11" t="str">
        <f>IFERROR(__xludf.DUMMYFUNCTION("""COMPUTED_VALUE"""),"UGC")</f>
        <v>UGC</v>
      </c>
      <c r="E7" s="11" t="str">
        <f>IFERROR(__xludf.DUMMYFUNCTION("""COMPUTED_VALUE"""),"Top 5 Best Branding Agencies In Dubai Based On My Experience")</f>
        <v>Top 5 Best Branding Agencies In Dubai Based On My Experience</v>
      </c>
      <c r="F7" s="11" t="str">
        <f>IFERROR(__xludf.DUMMYFUNCTION("""COMPUTED_VALUE"""),"Discussion")</f>
        <v>Discussion</v>
      </c>
      <c r="G7" s="11" t="b">
        <f>IFERROR(__xludf.DUMMYFUNCTION("""COMPUTED_VALUE"""),FALSE)</f>
        <v>0</v>
      </c>
      <c r="H7" s="11"/>
      <c r="I7" s="11">
        <f>IFERROR(__xludf.DUMMYFUNCTION("""COMPUTED_VALUE"""),2.0)</f>
        <v>2</v>
      </c>
      <c r="J7" s="11">
        <f>IFERROR(__xludf.DUMMYFUNCTION("""COMPUTED_VALUE"""),0.0)</f>
        <v>0</v>
      </c>
      <c r="K7" s="11">
        <f>IFERROR(__xludf.DUMMYFUNCTION("""COMPUTED_VALUE"""),1.5)</f>
        <v>1.5</v>
      </c>
    </row>
    <row r="8" ht="15.75" customHeight="1">
      <c r="A8" s="8" t="str">
        <f>IFERROR(__xludf.DUMMYFUNCTION("""COMPUTED_VALUE"""),"https://www.reddit.com/r/UAE/comments/1oienom/which_is_the_best_performance_and_roifocused/")</f>
        <v>https://www.reddit.com/r/UAE/comments/1oienom/which_is_the_best_performance_and_roifocused/</v>
      </c>
      <c r="B8" s="8" t="str">
        <f>IFERROR(__xludf.DUMMYFUNCTION("""COMPUTED_VALUE"""),"reddit.com")</f>
        <v>reddit.com</v>
      </c>
      <c r="C8" s="11" t="str">
        <f>IFERROR(__xludf.DUMMYFUNCTION("""COMPUTED_VALUE"""),"DISCUSSION")</f>
        <v>DISCUSSION</v>
      </c>
      <c r="D8" s="11" t="str">
        <f>IFERROR(__xludf.DUMMYFUNCTION("""COMPUTED_VALUE"""),"UGC")</f>
        <v>UGC</v>
      </c>
      <c r="E8" s="11" t="str">
        <f>IFERROR(__xludf.DUMMYFUNCTION("""COMPUTED_VALUE"""),"Which is the Best Performance and ROI-Focused Digital Marketing Agency In Dubai, UAE?")</f>
        <v>Which is the Best Performance and ROI-Focused Digital Marketing Agency In Dubai, UAE?</v>
      </c>
      <c r="F8" s="11" t="str">
        <f>IFERROR(__xludf.DUMMYFUNCTION("""COMPUTED_VALUE"""),"Discussion")</f>
        <v>Discussion</v>
      </c>
      <c r="G8" s="11" t="b">
        <f>IFERROR(__xludf.DUMMYFUNCTION("""COMPUTED_VALUE"""),FALSE)</f>
        <v>0</v>
      </c>
      <c r="H8" s="11"/>
      <c r="I8" s="11">
        <f>IFERROR(__xludf.DUMMYFUNCTION("""COMPUTED_VALUE"""),2.0)</f>
        <v>2</v>
      </c>
      <c r="J8" s="11">
        <f>IFERROR(__xludf.DUMMYFUNCTION("""COMPUTED_VALUE"""),0.0)</f>
        <v>0</v>
      </c>
      <c r="K8" s="11">
        <f>IFERROR(__xludf.DUMMYFUNCTION("""COMPUTED_VALUE"""),1.5)</f>
        <v>1.5</v>
      </c>
    </row>
    <row r="9" ht="15.75" customHeight="1">
      <c r="A9" s="8" t="str">
        <f>IFERROR(__xludf.DUMMYFUNCTION("""COMPUTED_VALUE"""),"https://www.reddit.com/r/aeo/comments/1twcbr2/best_aeo_agency_guide_what_to_look_for_in_an/")</f>
        <v>https://www.reddit.com/r/aeo/comments/1twcbr2/best_aeo_agency_guide_what_to_look_for_in_an/</v>
      </c>
      <c r="B9" s="8" t="str">
        <f>IFERROR(__xludf.DUMMYFUNCTION("""COMPUTED_VALUE"""),"reddit.com")</f>
        <v>reddit.com</v>
      </c>
      <c r="C9" s="11" t="str">
        <f>IFERROR(__xludf.DUMMYFUNCTION("""COMPUTED_VALUE"""),"DISCUSSION")</f>
        <v>DISCUSSION</v>
      </c>
      <c r="D9" s="11" t="str">
        <f>IFERROR(__xludf.DUMMYFUNCTION("""COMPUTED_VALUE"""),"UGC")</f>
        <v>UGC</v>
      </c>
      <c r="E9" s="11" t="str">
        <f>IFERROR(__xludf.DUMMYFUNCTION("""COMPUTED_VALUE"""),"Best AEO Agency Guide What to Look for in an Answer Engine Partner?")</f>
        <v>Best AEO Agency Guide What to Look for in an Answer Engine Partner?</v>
      </c>
      <c r="F9" s="11" t="str">
        <f>IFERROR(__xludf.DUMMYFUNCTION("""COMPUTED_VALUE"""),"Discussion")</f>
        <v>Discussion</v>
      </c>
      <c r="G9" s="11" t="b">
        <f>IFERROR(__xludf.DUMMYFUNCTION("""COMPUTED_VALUE"""),FALSE)</f>
        <v>0</v>
      </c>
      <c r="H9" s="11" t="str">
        <f>IFERROR(__xludf.DUMMYFUNCTION("""COMPUTED_VALUE"""),"Huge")</f>
        <v>Huge</v>
      </c>
      <c r="I9" s="11">
        <f>IFERROR(__xludf.DUMMYFUNCTION("""COMPUTED_VALUE"""),2.0)</f>
        <v>2</v>
      </c>
      <c r="J9" s="11">
        <f>IFERROR(__xludf.DUMMYFUNCTION("""COMPUTED_VALUE"""),0.0)</f>
        <v>0</v>
      </c>
      <c r="K9" s="11">
        <f>IFERROR(__xludf.DUMMYFUNCTION("""COMPUTED_VALUE"""),1.5)</f>
        <v>1.5</v>
      </c>
    </row>
    <row r="10" ht="15.75" customHeight="1">
      <c r="A10" s="8" t="str">
        <f>IFERROR(__xludf.DUMMYFUNCTION("""COMPUTED_VALUE"""),"https://www.reddit.com/r/LLMTraffic/comments/1t44tn7/which_geo_marketing_agencies_are_actually_worth/")</f>
        <v>https://www.reddit.com/r/LLMTraffic/comments/1t44tn7/which_geo_marketing_agencies_are_actually_worth/</v>
      </c>
      <c r="B10" s="8" t="str">
        <f>IFERROR(__xludf.DUMMYFUNCTION("""COMPUTED_VALUE"""),"reddit.com")</f>
        <v>reddit.com</v>
      </c>
      <c r="C10" s="11" t="str">
        <f>IFERROR(__xludf.DUMMYFUNCTION("""COMPUTED_VALUE"""),"DISCUSSION")</f>
        <v>DISCUSSION</v>
      </c>
      <c r="D10" s="11" t="str">
        <f>IFERROR(__xludf.DUMMYFUNCTION("""COMPUTED_VALUE"""),"UGC")</f>
        <v>UGC</v>
      </c>
      <c r="E10" s="11" t="str">
        <f>IFERROR(__xludf.DUMMYFUNCTION("""COMPUTED_VALUE"""),"Which ""GEO marketing"" agencies are actually worth talking to?")</f>
        <v>Which "GEO marketing" agencies are actually worth talking to?</v>
      </c>
      <c r="F10" s="11" t="str">
        <f>IFERROR(__xludf.DUMMYFUNCTION("""COMPUTED_VALUE"""),"Discussion")</f>
        <v>Discussion</v>
      </c>
      <c r="G10" s="11" t="b">
        <f>IFERROR(__xludf.DUMMYFUNCTION("""COMPUTED_VALUE"""),FALSE)</f>
        <v>0</v>
      </c>
      <c r="H10" s="11" t="str">
        <f>IFERROR(__xludf.DUMMYFUNCTION("""COMPUTED_VALUE"""),"Measured")</f>
        <v>Measured</v>
      </c>
      <c r="I10" s="11">
        <f>IFERROR(__xludf.DUMMYFUNCTION("""COMPUTED_VALUE"""),1.0)</f>
        <v>1</v>
      </c>
      <c r="J10" s="11">
        <f>IFERROR(__xludf.DUMMYFUNCTION("""COMPUTED_VALUE"""),0.0)</f>
        <v>0</v>
      </c>
      <c r="K10" s="11">
        <f>IFERROR(__xludf.DUMMYFUNCTION("""COMPUTED_VALUE"""),1.0)</f>
        <v>1</v>
      </c>
    </row>
    <row r="11" ht="15.75" customHeight="1">
      <c r="A11" s="8" t="str">
        <f>IFERROR(__xludf.DUMMYFUNCTION("""COMPUTED_VALUE"""),"https://www.reddit.com/r/b2bmarketing/comments/1rl47cr/the_10_best_visibility_companies_and_agencies_for/")</f>
        <v>https://www.reddit.com/r/b2bmarketing/comments/1rl47cr/the_10_best_visibility_companies_and_agencies_for/</v>
      </c>
      <c r="B11" s="8" t="str">
        <f>IFERROR(__xludf.DUMMYFUNCTION("""COMPUTED_VALUE"""),"reddit.com")</f>
        <v>reddit.com</v>
      </c>
      <c r="C11" s="11" t="str">
        <f>IFERROR(__xludf.DUMMYFUNCTION("""COMPUTED_VALUE"""),"DISCUSSION")</f>
        <v>DISCUSSION</v>
      </c>
      <c r="D11" s="11" t="str">
        <f>IFERROR(__xludf.DUMMYFUNCTION("""COMPUTED_VALUE"""),"UGC")</f>
        <v>UGC</v>
      </c>
      <c r="E11" s="11" t="str">
        <f>IFERROR(__xludf.DUMMYFUNCTION("""COMPUTED_VALUE"""),"The 10 Best Visibility Companies and Agencies for SEO and GEO?")</f>
        <v>The 10 Best Visibility Companies and Agencies for SEO and GEO?</v>
      </c>
      <c r="F11" s="11" t="str">
        <f>IFERROR(__xludf.DUMMYFUNCTION("""COMPUTED_VALUE"""),"Discussion")</f>
        <v>Discussion</v>
      </c>
      <c r="G11" s="11" t="b">
        <f>IFERROR(__xludf.DUMMYFUNCTION("""COMPUTED_VALUE"""),FALSE)</f>
        <v>0</v>
      </c>
      <c r="H11" s="11" t="str">
        <f>IFERROR(__xludf.DUMMYFUNCTION("""COMPUTED_VALUE"""),"Huge, Siege Media, Single Grain, iPullRank, Directive, Growth Hackers")</f>
        <v>Huge, Siege Media, Single Grain, iPullRank, Directive, Growth Hackers</v>
      </c>
      <c r="I11" s="11">
        <f>IFERROR(__xludf.DUMMYFUNCTION("""COMPUTED_VALUE"""),1.0)</f>
        <v>1</v>
      </c>
      <c r="J11" s="11">
        <f>IFERROR(__xludf.DUMMYFUNCTION("""COMPUTED_VALUE"""),0.0)</f>
        <v>0</v>
      </c>
      <c r="K11" s="11">
        <f>IFERROR(__xludf.DUMMYFUNCTION("""COMPUTED_VALUE"""),0.0)</f>
        <v>0</v>
      </c>
    </row>
    <row r="12" ht="15.75" customHeight="1">
      <c r="A12" s="8" t="str">
        <f>IFERROR(__xludf.DUMMYFUNCTION("""COMPUTED_VALUE"""),"https://www.reddit.com/r/dubai/comments/139gps7/what_are_the_most_creative_digital_marketing/")</f>
        <v>https://www.reddit.com/r/dubai/comments/139gps7/what_are_the_most_creative_digital_marketing/</v>
      </c>
      <c r="B12" s="8" t="str">
        <f>IFERROR(__xludf.DUMMYFUNCTION("""COMPUTED_VALUE"""),"reddit.com")</f>
        <v>reddit.com</v>
      </c>
      <c r="C12" s="11" t="str">
        <f>IFERROR(__xludf.DUMMYFUNCTION("""COMPUTED_VALUE"""),"DISCUSSION")</f>
        <v>DISCUSSION</v>
      </c>
      <c r="D12" s="11" t="str">
        <f>IFERROR(__xludf.DUMMYFUNCTION("""COMPUTED_VALUE"""),"UGC")</f>
        <v>UGC</v>
      </c>
      <c r="E12" s="11" t="str">
        <f>IFERROR(__xludf.DUMMYFUNCTION("""COMPUTED_VALUE"""),"What are the most creative digital marketing agencies in Dubai?")</f>
        <v>What are the most creative digital marketing agencies in Dubai?</v>
      </c>
      <c r="F12" s="11" t="str">
        <f>IFERROR(__xludf.DUMMYFUNCTION("""COMPUTED_VALUE"""),"Discussion")</f>
        <v>Discussion</v>
      </c>
      <c r="G12" s="11" t="b">
        <f>IFERROR(__xludf.DUMMYFUNCTION("""COMPUTED_VALUE"""),TRUE)</f>
        <v>1</v>
      </c>
      <c r="H12" s="11" t="str">
        <f>IFERROR(__xludf.DUMMYFUNCTION("""COMPUTED_VALUE"""),"Dentsu, Seven Media, Incubeta, Assembly MENA, intouch, NEXA, Red Berries, DigitalFarm")</f>
        <v>Dentsu, Seven Media, Incubeta, Assembly MENA, intouch, NEXA, Red Berries, DigitalFarm</v>
      </c>
      <c r="I12" s="11">
        <f>IFERROR(__xludf.DUMMYFUNCTION("""COMPUTED_VALUE"""),1.0)</f>
        <v>1</v>
      </c>
      <c r="J12" s="11">
        <f>IFERROR(__xludf.DUMMYFUNCTION("""COMPUTED_VALUE"""),0.0)</f>
        <v>0</v>
      </c>
      <c r="K12" s="11">
        <f>IFERROR(__xludf.DUMMYFUNCTION("""COMPUTED_VALUE"""),0.0)</f>
        <v>0</v>
      </c>
    </row>
    <row r="13" ht="15.75" customHeight="1">
      <c r="A13" s="8" t="str">
        <f>IFERROR(__xludf.DUMMYFUNCTION("""COMPUTED_VALUE"""),"https://www.reddit.com/r/u_odysseymarketing20/comments/1sky3gp/10_best_seo_companies_in_dubai_you_can_trust/")</f>
        <v>https://www.reddit.com/r/u_odysseymarketing20/comments/1sky3gp/10_best_seo_companies_in_dubai_you_can_trust/</v>
      </c>
      <c r="B13" s="8" t="str">
        <f>IFERROR(__xludf.DUMMYFUNCTION("""COMPUTED_VALUE"""),"reddit.com")</f>
        <v>reddit.com</v>
      </c>
      <c r="C13" s="11" t="str">
        <f>IFERROR(__xludf.DUMMYFUNCTION("""COMPUTED_VALUE"""),"DISCUSSION")</f>
        <v>DISCUSSION</v>
      </c>
      <c r="D13" s="11" t="str">
        <f>IFERROR(__xludf.DUMMYFUNCTION("""COMPUTED_VALUE"""),"UGC")</f>
        <v>UGC</v>
      </c>
      <c r="E13" s="11" t="str">
        <f>IFERROR(__xludf.DUMMYFUNCTION("""COMPUTED_VALUE"""),"10 Best SEO Companies in Dubai You Can Trust")</f>
        <v>10 Best SEO Companies in Dubai You Can Trust</v>
      </c>
      <c r="F13" s="11" t="str">
        <f>IFERROR(__xludf.DUMMYFUNCTION("""COMPUTED_VALUE"""),"Discussion")</f>
        <v>Discussion</v>
      </c>
      <c r="G13" s="11" t="b">
        <f>IFERROR(__xludf.DUMMYFUNCTION("""COMPUTED_VALUE"""),FALSE)</f>
        <v>0</v>
      </c>
      <c r="H13" s="11" t="str">
        <f>IFERROR(__xludf.DUMMYFUNCTION("""COMPUTED_VALUE"""),"SEO Sherpa, Chain Reaction, Red Berries, Global Media Insight, United SEO, Prism Digital, Publicis Groupe, NEXA")</f>
        <v>SEO Sherpa, Chain Reaction, Red Berries, Global Media Insight, United SEO, Prism Digital, Publicis Groupe, NEXA</v>
      </c>
      <c r="I13" s="11">
        <f>IFERROR(__xludf.DUMMYFUNCTION("""COMPUTED_VALUE"""),1.0)</f>
        <v>1</v>
      </c>
      <c r="J13" s="11">
        <f>IFERROR(__xludf.DUMMYFUNCTION("""COMPUTED_VALUE"""),0.0)</f>
        <v>0</v>
      </c>
      <c r="K13" s="11">
        <f>IFERROR(__xludf.DUMMYFUNCTION("""COMPUTED_VALUE"""),3.0)</f>
        <v>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location=":~:text=Chain%20Reaction%20is%20a%20well,8."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s>
  <drawing r:id="rId2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All'!A2:A1000)),""quora"")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All'!A2:A1000)),""medium"")
  ),
  """"
)"),"https://medium.com/@tweet2faizal/best-70-digital-marketing-agencies-in-uae-a893126b7674")</f>
        <v>https://medium.com/@tweet2faizal/best-70-digital-marketing-agencies-in-uae-a893126b7674</v>
      </c>
      <c r="B2" s="8" t="str">
        <f>IFERROR(__xludf.DUMMYFUNCTION("""COMPUTED_VALUE"""),"medium.com")</f>
        <v>medium.com</v>
      </c>
      <c r="C2" s="11" t="str">
        <f>IFERROR(__xludf.DUMMYFUNCTION("""COMPUTED_VALUE"""),"LISTICLE")</f>
        <v>LISTICLE</v>
      </c>
      <c r="D2" s="11" t="str">
        <f>IFERROR(__xludf.DUMMYFUNCTION("""COMPUTED_VALUE"""),"UGC")</f>
        <v>UGC</v>
      </c>
      <c r="E2" s="11" t="str">
        <f>IFERROR(__xludf.DUMMYFUNCTION("""COMPUTED_VALUE"""),"Best 70 Digital Marketing Agencies in UAE | by Mohamed Faizal | Medium")</f>
        <v>Best 70 Digital Marketing Agencies in UAE | by Mohamed Faizal | Medium</v>
      </c>
      <c r="F2" s="11" t="str">
        <f>IFERROR(__xludf.DUMMYFUNCTION("""COMPUTED_VALUE"""),"Listicle")</f>
        <v>Listicle</v>
      </c>
      <c r="G2" s="11" t="b">
        <f>IFERROR(__xludf.DUMMYFUNCTION("""COMPUTED_VALUE"""),FALSE)</f>
        <v>0</v>
      </c>
      <c r="H2" s="11" t="str">
        <f>IFERROR(__xludf.DUMMYFUNCTION("""COMPUTED_VALUE"""),"Red Berries, NEXA, Digital Media Sapiens, Prism Digital, Chain Reaction, Global Media Insight, EDS FZCO, Blue Beetle, Leads Dubai, Dentsu, DigitalFarm, Integrate Solutions")</f>
        <v>Red Berries, NEXA, Digital Media Sapiens, Prism Digital, Chain Reaction, Global Media Insight, EDS FZCO, Blue Beetle, Leads Dubai, Dentsu, DigitalFarm, Integrate Solutions</v>
      </c>
      <c r="I2" s="11">
        <f>IFERROR(__xludf.DUMMYFUNCTION("""COMPUTED_VALUE"""),5.0)</f>
        <v>5</v>
      </c>
      <c r="J2" s="11">
        <f>IFERROR(__xludf.DUMMYFUNCTION("""COMPUTED_VALUE"""),0.0)</f>
        <v>0</v>
      </c>
      <c r="K2" s="11">
        <f>IFERROR(__xludf.DUMMYFUNCTION("""COMPUTED_VALUE"""),0.2)</f>
        <v>0.2</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)"),"https://www.imanta.io/blog/imanta-e-cens-join-forces/")</f>
        <v>https://www.imanta.io/blog/imanta-e-cens-join-forces/</v>
      </c>
      <c r="B2" s="8" t="str">
        <f>IFERROR(__xludf.DUMMYFUNCTION("""COMPUTED_VALUE"""),"imanta.io")</f>
        <v>imanta.io</v>
      </c>
      <c r="C2" s="11" t="str">
        <f>IFERROR(__xludf.DUMMYFUNCTION("""COMPUTED_VALUE"""),"ARTICLE")</f>
        <v>ARTICLE</v>
      </c>
      <c r="D2" s="11" t="str">
        <f>IFERROR(__xludf.DUMMYFUNCTION("""COMPUTED_VALUE"""),"CORPORATE")</f>
        <v>CORPORATE</v>
      </c>
      <c r="E2" s="11" t="str">
        <f>IFERROR(__xludf.DUMMYFUNCTION("""COMPUTED_VALUE"""),"Imanta + e-CENS join forces - Imanta")</f>
        <v>Imanta + e-CENS join forces - Imanta</v>
      </c>
      <c r="F2" s="11" t="str">
        <f>IFERROR(__xludf.DUMMYFUNCTION("""COMPUTED_VALUE"""),"Article")</f>
        <v>Article</v>
      </c>
      <c r="G2" s="11" t="b">
        <f>IFERROR(__xludf.DUMMYFUNCTION("""COMPUTED_VALUE"""),FALSE)</f>
        <v>0</v>
      </c>
      <c r="H2" s="11"/>
      <c r="I2" s="11">
        <f>IFERROR(__xludf.DUMMYFUNCTION("""COMPUTED_VALUE"""),1.0)</f>
        <v>1</v>
      </c>
      <c r="J2" s="11">
        <f>IFERROR(__xludf.DUMMYFUNCTION("""COMPUTED_VALUE"""),0.0)</f>
        <v>0</v>
      </c>
      <c r="K2" s="11">
        <f>IFERROR(__xludf.DUMMYFUNCTION("""COMPUTED_VALUE"""),1.0)</f>
        <v>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All'!A2:A1000)),""facebook"")
  ),
  """"
)"),"https://www.bicommunications.ae/blog/best-facebook-marketing-agencies-dubai/")</f>
        <v>https://www.bicommunications.ae/blog/best-facebook-marketing-agencies-dubai/</v>
      </c>
      <c r="B2" s="8" t="str">
        <f>IFERROR(__xludf.DUMMYFUNCTION("""COMPUTED_VALUE"""),"bicommunications.ae")</f>
        <v>bicommunications.ae</v>
      </c>
      <c r="C2" s="11" t="str">
        <f>IFERROR(__xludf.DUMMYFUNCTION("""COMPUTED_VALUE"""),"LISTICLE")</f>
        <v>LISTICLE</v>
      </c>
      <c r="D2" s="11" t="str">
        <f>IFERROR(__xludf.DUMMYFUNCTION("""COMPUTED_VALUE"""),"CORPORATE")</f>
        <v>CORPORATE</v>
      </c>
      <c r="E2" s="11" t="str">
        <f>IFERROR(__xludf.DUMMYFUNCTION("""COMPUTED_VALUE"""),"Best Facebook Marketing Agencies in Dubai (2026) | Top Meta Ads Experts")</f>
        <v>Best Facebook Marketing Agencies in Dubai (2026) | Top Meta Ads Experts</v>
      </c>
      <c r="F2" s="11" t="str">
        <f>IFERROR(__xludf.DUMMYFUNCTION("""COMPUTED_VALUE"""),"Listicle")</f>
        <v>Listicle</v>
      </c>
      <c r="G2" s="11" t="b">
        <f>IFERROR(__xludf.DUMMYFUNCTION("""COMPUTED_VALUE"""),FALSE)</f>
        <v>0</v>
      </c>
      <c r="H2" s="11" t="str">
        <f>IFERROR(__xludf.DUMMYFUNCTION("""COMPUTED_VALUE"""),"NEXA, Prism Digital, Bird Marketing, Adapts Media, Dot IT, Chain Reaction, Web Tonic, Ninja Promo, GCC Marketing, intouch")</f>
        <v>NEXA, Prism Digital, Bird Marketing, Adapts Media, Dot IT, Chain Reaction, Web Tonic, Ninja Promo, GCC Marketing, intouch</v>
      </c>
      <c r="I2" s="11">
        <f>IFERROR(__xludf.DUMMYFUNCTION("""COMPUTED_VALUE"""),1.0)</f>
        <v>1</v>
      </c>
      <c r="J2" s="11">
        <f>IFERROR(__xludf.DUMMYFUNCTION("""COMPUTED_VALUE"""),0.0)</f>
        <v>0</v>
      </c>
      <c r="K2" s="11">
        <f>IFERROR(__xludf.DUMMYFUNCTION("""COMPUTED_VALUE"""),0.0)</f>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REGEXMATCH(LOWER(TO_TEXT('PEEC - URLs - All'!A2:A1000)),""linkedin"")
  ),
  """"
)"),"https://www.linkedin.com/pulse/definitive-list-best-generative-engine-optimization-geo-agencies-svknc")</f>
        <v>https://www.linkedin.com/pulse/definitive-list-best-generative-engine-optimization-geo-agencies-svknc</v>
      </c>
      <c r="B2" s="8" t="str">
        <f>IFERROR(__xludf.DUMMYFUNCTION("""COMPUTED_VALUE"""),"linkedin.com")</f>
        <v>linkedin.com</v>
      </c>
      <c r="C2" s="11" t="str">
        <f>IFERROR(__xludf.DUMMYFUNCTION("""COMPUTED_VALUE"""),"LISTICLE")</f>
        <v>LISTICLE</v>
      </c>
      <c r="D2" s="11" t="str">
        <f>IFERROR(__xludf.DUMMYFUNCTION("""COMPUTED_VALUE"""),"UGC")</f>
        <v>UGC</v>
      </c>
      <c r="E2" s="11" t="str">
        <f>IFERROR(__xludf.DUMMYFUNCTION("""COMPUTED_VALUE"""),"Best Generative Engine Optimization Agency Dubai: 2026")</f>
        <v>Best Generative Engine Optimization Agency Dubai: 2026</v>
      </c>
      <c r="F2" s="11" t="str">
        <f>IFERROR(__xludf.DUMMYFUNCTION("""COMPUTED_VALUE"""),"Listicle")</f>
        <v>Listicle</v>
      </c>
      <c r="G2" s="11" t="b">
        <f>IFERROR(__xludf.DUMMYFUNCTION("""COMPUTED_VALUE"""),FALSE)</f>
        <v>0</v>
      </c>
      <c r="H2" s="11" t="str">
        <f>IFERROR(__xludf.DUMMYFUNCTION("""COMPUTED_VALUE"""),"ThatWare, Digital Gravity, NEXA, EDS FZCO")</f>
        <v>ThatWare, Digital Gravity, NEXA, EDS FZCO</v>
      </c>
      <c r="I2" s="11">
        <f>IFERROR(__xludf.DUMMYFUNCTION("""COMPUTED_VALUE"""),14.0)</f>
        <v>14</v>
      </c>
      <c r="J2" s="11">
        <f>IFERROR(__xludf.DUMMYFUNCTION("""COMPUTED_VALUE"""),0.01)</f>
        <v>0.01</v>
      </c>
      <c r="K2" s="11">
        <f>IFERROR(__xludf.DUMMYFUNCTION("""COMPUTED_VALUE"""),0.36)</f>
        <v>0.36</v>
      </c>
    </row>
    <row r="3" ht="15.75" customHeight="1">
      <c r="A3" s="8" t="str">
        <f>IFERROR(__xludf.DUMMYFUNCTION("""COMPUTED_VALUE"""),"https://www.linkedin.com/pulse/top-10-ai-consulting-services-providers-dubai-abu-dhabi-hazel-wilson-fvqvf")</f>
        <v>https://www.linkedin.com/pulse/top-10-ai-consulting-services-providers-dubai-abu-dhabi-hazel-wilson-fvqvf</v>
      </c>
      <c r="B3" s="8" t="str">
        <f>IFERROR(__xludf.DUMMYFUNCTION("""COMPUTED_VALUE"""),"linkedin.com")</f>
        <v>linkedin.com</v>
      </c>
      <c r="C3" s="11" t="str">
        <f>IFERROR(__xludf.DUMMYFUNCTION("""COMPUTED_VALUE"""),"LISTICLE")</f>
        <v>LISTICLE</v>
      </c>
      <c r="D3" s="11" t="str">
        <f>IFERROR(__xludf.DUMMYFUNCTION("""COMPUTED_VALUE"""),"UGC")</f>
        <v>UGC</v>
      </c>
      <c r="E3" s="11" t="str">
        <f>IFERROR(__xludf.DUMMYFUNCTION("""COMPUTED_VALUE"""),"Top 10 AI Consulting Services Providers in Dubai &amp;amp; Abu Dhabi [2026 Edition]")</f>
        <v>Top 10 AI Consulting Services Providers in Dubai &amp;amp; Abu Dhabi [2026 Edition]</v>
      </c>
      <c r="F3" s="11" t="str">
        <f>IFERROR(__xludf.DUMMYFUNCTION("""COMPUTED_VALUE"""),"Listicle")</f>
        <v>Listicle</v>
      </c>
      <c r="G3" s="11" t="b">
        <f>IFERROR(__xludf.DUMMYFUNCTION("""COMPUTED_VALUE"""),FALSE)</f>
        <v>0</v>
      </c>
      <c r="H3" s="11" t="str">
        <f>IFERROR(__xludf.DUMMYFUNCTION("""COMPUTED_VALUE"""),"Push")</f>
        <v>Push</v>
      </c>
      <c r="I3" s="11">
        <f>IFERROR(__xludf.DUMMYFUNCTION("""COMPUTED_VALUE"""),11.0)</f>
        <v>11</v>
      </c>
      <c r="J3" s="11">
        <f>IFERROR(__xludf.DUMMYFUNCTION("""COMPUTED_VALUE"""),0.01)</f>
        <v>0.01</v>
      </c>
      <c r="K3" s="11">
        <f>IFERROR(__xludf.DUMMYFUNCTION("""COMPUTED_VALUE"""),1.27)</f>
        <v>1.27</v>
      </c>
    </row>
    <row r="4" ht="15.75" customHeight="1">
      <c r="A4" s="8" t="str">
        <f>IFERROR(__xludf.DUMMYFUNCTION("""COMPUTED_VALUE"""),"https://savit.ae/best-social-media-agencies-in-dubai-for-roi-driven-campaigns/#:~:text=Multi%2Dplatform%20expertise%20across%20Meta%2C%20LinkedIn%2C%20TikTok%2C%20YouTube%2C,Best%20for%20Paid%20Social%20ROAS%20at%20Scale.")</f>
        <v>https://savit.ae/best-social-media-agencies-in-dubai-for-roi-driven-campaigns/#:~:text=Multi%2Dplatform%20expertise%20across%20Meta%2C%20LinkedIn%2C%20TikTok%2C%20YouTube%2C,Best%20for%20Paid%20Social%20ROAS%20at%20Scale.</v>
      </c>
      <c r="B4" s="8" t="str">
        <f>IFERROR(__xludf.DUMMYFUNCTION("""COMPUTED_VALUE"""),"savit.ae")</f>
        <v>savit.ae</v>
      </c>
      <c r="C4" s="11" t="str">
        <f>IFERROR(__xludf.DUMMYFUNCTION("""COMPUTED_VALUE"""),"LISTICLE")</f>
        <v>LISTICLE</v>
      </c>
      <c r="D4" s="11" t="str">
        <f>IFERROR(__xludf.DUMMYFUNCTION("""COMPUTED_VALUE"""),"CORPORATE")</f>
        <v>CORPORATE</v>
      </c>
      <c r="E4" s="11" t="str">
        <f>IFERROR(__xludf.DUMMYFUNCTION("""COMPUTED_VALUE"""),"Best Social Media Agencies in Dubai for ROI-Driven Campaigns")</f>
        <v>Best Social Media Agencies in Dubai for ROI-Driven Campaigns</v>
      </c>
      <c r="F4" s="11" t="str">
        <f>IFERROR(__xludf.DUMMYFUNCTION("""COMPUTED_VALUE"""),"Listicle")</f>
        <v>Listicle</v>
      </c>
      <c r="G4" s="11" t="b">
        <f>IFERROR(__xludf.DUMMYFUNCTION("""COMPUTED_VALUE"""),FALSE)</f>
        <v>0</v>
      </c>
      <c r="H4" s="11" t="str">
        <f>IFERROR(__xludf.DUMMYFUNCTION("""COMPUTED_VALUE"""),"Digital Media Sapiens")</f>
        <v>Digital Media Sapiens</v>
      </c>
      <c r="I4" s="11">
        <f>IFERROR(__xludf.DUMMYFUNCTION("""COMPUTED_VALUE"""),11.0)</f>
        <v>11</v>
      </c>
      <c r="J4" s="11">
        <f>IFERROR(__xludf.DUMMYFUNCTION("""COMPUTED_VALUE"""),0.01)</f>
        <v>0.01</v>
      </c>
      <c r="K4" s="11">
        <f>IFERROR(__xludf.DUMMYFUNCTION("""COMPUTED_VALUE"""),1.18)</f>
        <v>1.18</v>
      </c>
    </row>
    <row r="5" ht="15.75" customHeight="1">
      <c r="A5" s="8" t="str">
        <f>IFERROR(__xludf.DUMMYFUNCTION("""COMPUTED_VALUE"""),"https://www.linkedin.com/posts/crystal-infoway_best-5-digital-marketing-agencies-in-uae-activity-7417873568446775297-9DW8")</f>
        <v>https://www.linkedin.com/posts/crystal-infoway_best-5-digital-marketing-agencies-in-uae-activity-7417873568446775297-9DW8</v>
      </c>
      <c r="B5" s="8" t="str">
        <f>IFERROR(__xludf.DUMMYFUNCTION("""COMPUTED_VALUE"""),"linkedin.com")</f>
        <v>linkedin.com</v>
      </c>
      <c r="C5" s="11" t="str">
        <f>IFERROR(__xludf.DUMMYFUNCTION("""COMPUTED_VALUE"""),"DISCUSSION")</f>
        <v>DISCUSSION</v>
      </c>
      <c r="D5" s="11" t="str">
        <f>IFERROR(__xludf.DUMMYFUNCTION("""COMPUTED_VALUE"""),"UGC")</f>
        <v>UGC</v>
      </c>
      <c r="E5" s="11" t="str">
        <f>IFERROR(__xludf.DUMMYFUNCTION("""COMPUTED_VALUE"""),"UAE Digital Marketing Agencies: Data-Driven Strategies for Business Growth | Crystal Infoway posted on the topic | LinkedIn")</f>
        <v>UAE Digital Marketing Agencies: Data-Driven Strategies for Business Growth | Crystal Infoway posted on the topic | LinkedIn</v>
      </c>
      <c r="F5" s="11" t="str">
        <f>IFERROR(__xludf.DUMMYFUNCTION("""COMPUTED_VALUE"""),"Discussion")</f>
        <v>Discussion</v>
      </c>
      <c r="G5" s="11" t="b">
        <f>IFERROR(__xludf.DUMMYFUNCTION("""COMPUTED_VALUE"""),FALSE)</f>
        <v>0</v>
      </c>
      <c r="H5" s="11" t="str">
        <f>IFERROR(__xludf.DUMMYFUNCTION("""COMPUTED_VALUE"""),"Push, Growth Hackers, Measured")</f>
        <v>Push, Growth Hackers, Measured</v>
      </c>
      <c r="I5" s="11">
        <f>IFERROR(__xludf.DUMMYFUNCTION("""COMPUTED_VALUE"""),6.0)</f>
        <v>6</v>
      </c>
      <c r="J5" s="11">
        <f>IFERROR(__xludf.DUMMYFUNCTION("""COMPUTED_VALUE"""),0.01)</f>
        <v>0.01</v>
      </c>
      <c r="K5" s="11">
        <f>IFERROR(__xludf.DUMMYFUNCTION("""COMPUTED_VALUE"""),0.83)</f>
        <v>0.83</v>
      </c>
    </row>
    <row r="6" ht="15.75" customHeight="1">
      <c r="A6" s="8" t="str">
        <f>IFERROR(__xludf.DUMMYFUNCTION("""COMPUTED_VALUE"""),"https://www.linkedin.com/pulse/best-10-ai-consulting-companies-dubai-uae-2025-ranjana-srivastava-2bstc")</f>
        <v>https://www.linkedin.com/pulse/best-10-ai-consulting-companies-dubai-uae-2025-ranjana-srivastava-2bstc</v>
      </c>
      <c r="B6" s="8" t="str">
        <f>IFERROR(__xludf.DUMMYFUNCTION("""COMPUTED_VALUE"""),"linkedin.com")</f>
        <v>linkedin.com</v>
      </c>
      <c r="C6" s="11" t="str">
        <f>IFERROR(__xludf.DUMMYFUNCTION("""COMPUTED_VALUE"""),"LISTICLE")</f>
        <v>LISTICLE</v>
      </c>
      <c r="D6" s="11" t="str">
        <f>IFERROR(__xludf.DUMMYFUNCTION("""COMPUTED_VALUE"""),"UGC")</f>
        <v>UGC</v>
      </c>
      <c r="E6" s="11" t="str">
        <f>IFERROR(__xludf.DUMMYFUNCTION("""COMPUTED_VALUE"""),"Best 10 AI Consulting Companies in Dubai, UAE [2025 Edition]")</f>
        <v>Best 10 AI Consulting Companies in Dubai, UAE [2025 Edition]</v>
      </c>
      <c r="F6" s="11" t="str">
        <f>IFERROR(__xludf.DUMMYFUNCTION("""COMPUTED_VALUE"""),"Listicle")</f>
        <v>Listicle</v>
      </c>
      <c r="G6" s="11" t="b">
        <f>IFERROR(__xludf.DUMMYFUNCTION("""COMPUTED_VALUE"""),FALSE)</f>
        <v>0</v>
      </c>
      <c r="H6" s="11" t="str">
        <f>IFERROR(__xludf.DUMMYFUNCTION("""COMPUTED_VALUE"""),"Boston Consulting Group, PwC")</f>
        <v>Boston Consulting Group, PwC</v>
      </c>
      <c r="I6" s="11">
        <f>IFERROR(__xludf.DUMMYFUNCTION("""COMPUTED_VALUE"""),2.0)</f>
        <v>2</v>
      </c>
      <c r="J6" s="11">
        <f>IFERROR(__xludf.DUMMYFUNCTION("""COMPUTED_VALUE"""),0.0)</f>
        <v>0</v>
      </c>
      <c r="K6" s="11">
        <f>IFERROR(__xludf.DUMMYFUNCTION("""COMPUTED_VALUE"""),0.0)</f>
        <v>0</v>
      </c>
    </row>
    <row r="7" ht="15.75" customHeight="1">
      <c r="A7" s="8" t="str">
        <f>IFERROR(__xludf.DUMMYFUNCTION("""COMPUTED_VALUE"""),"https://www.linkedin.com/pulse/top-branding-agencies-mena-best-middle-east-north-africa-firms-jgame")</f>
        <v>https://www.linkedin.com/pulse/top-branding-agencies-mena-best-middle-east-north-africa-firms-jgame</v>
      </c>
      <c r="B7" s="8" t="str">
        <f>IFERROR(__xludf.DUMMYFUNCTION("""COMPUTED_VALUE"""),"linkedin.com")</f>
        <v>linkedin.com</v>
      </c>
      <c r="C7" s="11" t="str">
        <f>IFERROR(__xludf.DUMMYFUNCTION("""COMPUTED_VALUE"""),"LISTICLE")</f>
        <v>LISTICLE</v>
      </c>
      <c r="D7" s="11" t="str">
        <f>IFERROR(__xludf.DUMMYFUNCTION("""COMPUTED_VALUE"""),"UGC")</f>
        <v>UGC</v>
      </c>
      <c r="E7" s="11" t="str">
        <f>IFERROR(__xludf.DUMMYFUNCTION("""COMPUTED_VALUE"""),"Top Branding Agencies in MENA – Best Middle East &amp;amp; North Africa Firms")</f>
        <v>Top Branding Agencies in MENA – Best Middle East &amp;amp; North Africa Firms</v>
      </c>
      <c r="F7" s="11" t="str">
        <f>IFERROR(__xludf.DUMMYFUNCTION("""COMPUTED_VALUE"""),"Listicle")</f>
        <v>Listicle</v>
      </c>
      <c r="G7" s="11" t="b">
        <f>IFERROR(__xludf.DUMMYFUNCTION("""COMPUTED_VALUE"""),FALSE)</f>
        <v>0</v>
      </c>
      <c r="H7" s="11" t="str">
        <f>IFERROR(__xludf.DUMMYFUNCTION("""COMPUTED_VALUE"""),"WonderEight, WPP, McKinsey &amp; Company")</f>
        <v>WonderEight, WPP, McKinsey &amp; Company</v>
      </c>
      <c r="I7" s="11">
        <f>IFERROR(__xludf.DUMMYFUNCTION("""COMPUTED_VALUE"""),2.0)</f>
        <v>2</v>
      </c>
      <c r="J7" s="11">
        <f>IFERROR(__xludf.DUMMYFUNCTION("""COMPUTED_VALUE"""),0.0)</f>
        <v>0</v>
      </c>
      <c r="K7" s="11">
        <f>IFERROR(__xludf.DUMMYFUNCTION("""COMPUTED_VALUE"""),1.0)</f>
        <v>1</v>
      </c>
    </row>
    <row r="8" ht="15.75" customHeight="1">
      <c r="A8" s="8" t="str">
        <f>IFERROR(__xludf.DUMMYFUNCTION("""COMPUTED_VALUE"""),"https://ae.linkedin.com/in/hossameldin-kamel")</f>
        <v>https://ae.linkedin.com/in/hossameldin-kamel</v>
      </c>
      <c r="B8" s="8" t="str">
        <f>IFERROR(__xludf.DUMMYFUNCTION("""COMPUTED_VALUE"""),"linkedin.com")</f>
        <v>linkedin.com</v>
      </c>
      <c r="C8" s="11" t="str">
        <f>IFERROR(__xludf.DUMMYFUNCTION("""COMPUTED_VALUE"""),"PROFILE")</f>
        <v>PROFILE</v>
      </c>
      <c r="D8" s="11" t="str">
        <f>IFERROR(__xludf.DUMMYFUNCTION("""COMPUTED_VALUE"""),"UGC")</f>
        <v>UGC</v>
      </c>
      <c r="E8" s="11" t="str">
        <f>IFERROR(__xludf.DUMMYFUNCTION("""COMPUTED_VALUE"""),"‏Hossam Kamel‏ - ‏Floward‏ | LinkedIn")</f>
        <v>‏Hossam Kamel‏ - ‏Floward‏ | LinkedIn</v>
      </c>
      <c r="F8" s="11" t="str">
        <f>IFERROR(__xludf.DUMMYFUNCTION("""COMPUTED_VALUE"""),"Profile")</f>
        <v>Profile</v>
      </c>
      <c r="G8" s="11" t="b">
        <f>IFERROR(__xludf.DUMMYFUNCTION("""COMPUTED_VALUE"""),TRUE)</f>
        <v>1</v>
      </c>
      <c r="H8" s="11" t="str">
        <f>IFERROR(__xludf.DUMMYFUNCTION("""COMPUTED_VALUE"""),"Impact BBDO, Huge, Chain Reaction, PHD, Publicis Groupe, Publicis Media, Incubeta, Home of Performance")</f>
        <v>Impact BBDO, Huge, Chain Reaction, PHD, Publicis Groupe, Publicis Media, Incubeta, Home of Performance</v>
      </c>
      <c r="I8" s="11">
        <f>IFERROR(__xludf.DUMMYFUNCTION("""COMPUTED_VALUE"""),1.0)</f>
        <v>1</v>
      </c>
      <c r="J8" s="11">
        <f>IFERROR(__xludf.DUMMYFUNCTION("""COMPUTED_VALUE"""),0.0)</f>
        <v>0</v>
      </c>
      <c r="K8" s="11">
        <f>IFERROR(__xludf.DUMMYFUNCTION("""COMPUTED_VALUE"""),1.0)</f>
        <v>1</v>
      </c>
    </row>
    <row r="9" ht="15.75" customHeight="1">
      <c r="A9" s="8" t="str">
        <f>IFERROR(__xludf.DUMMYFUNCTION("""COMPUTED_VALUE"""),"https://ae.linkedin.com/in/raya-succar-667b23173")</f>
        <v>https://ae.linkedin.com/in/raya-succar-667b23173</v>
      </c>
      <c r="B9" s="8" t="str">
        <f>IFERROR(__xludf.DUMMYFUNCTION("""COMPUTED_VALUE"""),"linkedin.com")</f>
        <v>linkedin.com</v>
      </c>
      <c r="C9" s="11" t="str">
        <f>IFERROR(__xludf.DUMMYFUNCTION("""COMPUTED_VALUE"""),"PROFILE")</f>
        <v>PROFILE</v>
      </c>
      <c r="D9" s="11" t="str">
        <f>IFERROR(__xludf.DUMMYFUNCTION("""COMPUTED_VALUE"""),"UGC")</f>
        <v>UGC</v>
      </c>
      <c r="E9" s="11" t="str">
        <f>IFERROR(__xludf.DUMMYFUNCTION("""COMPUTED_VALUE"""),"‏Raya Succar‏ - ‏Acquisit‏ | LinkedIn")</f>
        <v>‏Raya Succar‏ - ‏Acquisit‏ | LinkedIn</v>
      </c>
      <c r="F9" s="11" t="str">
        <f>IFERROR(__xludf.DUMMYFUNCTION("""COMPUTED_VALUE"""),"Profile")</f>
        <v>Profile</v>
      </c>
      <c r="G9" s="11" t="b">
        <f>IFERROR(__xludf.DUMMYFUNCTION("""COMPUTED_VALUE"""),FALSE)</f>
        <v>0</v>
      </c>
      <c r="H9" s="11" t="str">
        <f>IFERROR(__xludf.DUMMYFUNCTION("""COMPUTED_VALUE"""),"Acquisit, McKinsey &amp; Company, Publicis Groupe")</f>
        <v>Acquisit, McKinsey &amp; Company, Publicis Groupe</v>
      </c>
      <c r="I9" s="11">
        <f>IFERROR(__xludf.DUMMYFUNCTION("""COMPUTED_VALUE"""),1.0)</f>
        <v>1</v>
      </c>
      <c r="J9" s="11">
        <f>IFERROR(__xludf.DUMMYFUNCTION("""COMPUTED_VALUE"""),0.0)</f>
        <v>0</v>
      </c>
      <c r="K9" s="11">
        <f>IFERROR(__xludf.DUMMYFUNCTION("""COMPUTED_VALUE"""),1.0)</f>
        <v>1</v>
      </c>
    </row>
    <row r="10" ht="15.75" customHeight="1">
      <c r="A10" s="8" t="str">
        <f>IFERROR(__xludf.DUMMYFUNCTION("""COMPUTED_VALUE"""),"https://ae.linkedin.com/in/sumedh-gaikwad-b3799854")</f>
        <v>https://ae.linkedin.com/in/sumedh-gaikwad-b3799854</v>
      </c>
      <c r="B10" s="8" t="str">
        <f>IFERROR(__xludf.DUMMYFUNCTION("""COMPUTED_VALUE"""),"linkedin.com")</f>
        <v>linkedin.com</v>
      </c>
      <c r="C10" s="11" t="str">
        <f>IFERROR(__xludf.DUMMYFUNCTION("""COMPUTED_VALUE"""),"PROFILE")</f>
        <v>PROFILE</v>
      </c>
      <c r="D10" s="11" t="str">
        <f>IFERROR(__xludf.DUMMYFUNCTION("""COMPUTED_VALUE"""),"UGC")</f>
        <v>UGC</v>
      </c>
      <c r="E10" s="11" t="str">
        <f>IFERROR(__xludf.DUMMYFUNCTION("""COMPUTED_VALUE"""),"Sumedh Gaikwad - RAKBANK \| LinkedIn")</f>
        <v>Sumedh Gaikwad - RAKBANK \| LinkedIn</v>
      </c>
      <c r="F10" s="11" t="str">
        <f>IFERROR(__xludf.DUMMYFUNCTION("""COMPUTED_VALUE"""),"Profile")</f>
        <v>Profile</v>
      </c>
      <c r="G10" s="11" t="b">
        <f>IFERROR(__xludf.DUMMYFUNCTION("""COMPUTED_VALUE"""),FALSE)</f>
        <v>0</v>
      </c>
      <c r="H10" s="11" t="str">
        <f>IFERROR(__xludf.DUMMYFUNCTION("""COMPUTED_VALUE"""),"Home of Performance, Push")</f>
        <v>Home of Performance, Push</v>
      </c>
      <c r="I10" s="11">
        <f>IFERROR(__xludf.DUMMYFUNCTION("""COMPUTED_VALUE"""),1.0)</f>
        <v>1</v>
      </c>
      <c r="J10" s="11">
        <f>IFERROR(__xludf.DUMMYFUNCTION("""COMPUTED_VALUE"""),0.0)</f>
        <v>0</v>
      </c>
      <c r="K10" s="11">
        <f>IFERROR(__xludf.DUMMYFUNCTION("""COMPUTED_VALUE"""),1.0)</f>
        <v>1</v>
      </c>
    </row>
    <row r="11" ht="15.75" customHeight="1">
      <c r="A11" s="8" t="str">
        <f>IFERROR(__xludf.DUMMYFUNCTION("""COMPUTED_VALUE"""),"https://au.linkedin.com/in/rami-alcheikh")</f>
        <v>https://au.linkedin.com/in/rami-alcheikh</v>
      </c>
      <c r="B11" s="8" t="str">
        <f>IFERROR(__xludf.DUMMYFUNCTION("""COMPUTED_VALUE"""),"linkedin.com")</f>
        <v>linkedin.com</v>
      </c>
      <c r="C11" s="11" t="str">
        <f>IFERROR(__xludf.DUMMYFUNCTION("""COMPUTED_VALUE"""),"OTHER")</f>
        <v>OTHER</v>
      </c>
      <c r="D11" s="11" t="str">
        <f>IFERROR(__xludf.DUMMYFUNCTION("""COMPUTED_VALUE"""),"UGC")</f>
        <v>UGC</v>
      </c>
      <c r="E11" s="11" t="str">
        <f>IFERROR(__xludf.DUMMYFUNCTION("""COMPUTED_VALUE"""),"Rami Alcheikh - Emerge Digital | LinkedIn")</f>
        <v>Rami Alcheikh - Emerge Digital | LinkedIn</v>
      </c>
      <c r="F11" s="11" t="str">
        <f>IFERROR(__xludf.DUMMYFUNCTION("""COMPUTED_VALUE"""),"Other")</f>
        <v>Other</v>
      </c>
      <c r="G11" s="11" t="b">
        <f>IFERROR(__xludf.DUMMYFUNCTION("""COMPUTED_VALUE"""),FALSE)</f>
        <v>0</v>
      </c>
      <c r="H11" s="11"/>
      <c r="I11" s="11">
        <f>IFERROR(__xludf.DUMMYFUNCTION("""COMPUTED_VALUE"""),1.0)</f>
        <v>1</v>
      </c>
      <c r="J11" s="11">
        <f>IFERROR(__xludf.DUMMYFUNCTION("""COMPUTED_VALUE"""),0.0)</f>
        <v>0</v>
      </c>
      <c r="K11" s="11">
        <f>IFERROR(__xludf.DUMMYFUNCTION("""COMPUTED_VALUE"""),1.0)</f>
        <v>1</v>
      </c>
    </row>
    <row r="12" ht="15.75" customHeight="1">
      <c r="A12" s="8" t="str">
        <f>IFERROR(__xludf.DUMMYFUNCTION("""COMPUTED_VALUE"""),"https://ie.linkedin.com/company/acquisit-advertising?trk=ppro_cprof")</f>
        <v>https://ie.linkedin.com/company/acquisit-advertising?trk=ppro_cprof</v>
      </c>
      <c r="B12" s="8" t="str">
        <f>IFERROR(__xludf.DUMMYFUNCTION("""COMPUTED_VALUE"""),"linkedin.com")</f>
        <v>linkedin.com</v>
      </c>
      <c r="C12" s="11" t="str">
        <f>IFERROR(__xludf.DUMMYFUNCTION("""COMPUTED_VALUE"""),"PROFILE")</f>
        <v>PROFILE</v>
      </c>
      <c r="D12" s="11" t="str">
        <f>IFERROR(__xludf.DUMMYFUNCTION("""COMPUTED_VALUE"""),"UGC")</f>
        <v>UGC</v>
      </c>
      <c r="E12" s="11" t="str">
        <f>IFERROR(__xludf.DUMMYFUNCTION("""COMPUTED_VALUE"""),"Acquisit | LinkedIn")</f>
        <v>Acquisit | LinkedIn</v>
      </c>
      <c r="F12" s="11" t="str">
        <f>IFERROR(__xludf.DUMMYFUNCTION("""COMPUTED_VALUE"""),"Profile")</f>
        <v>Profile</v>
      </c>
      <c r="G12" s="11" t="b">
        <f>IFERROR(__xludf.DUMMYFUNCTION("""COMPUTED_VALUE"""),FALSE)</f>
        <v>0</v>
      </c>
      <c r="H12" s="11" t="str">
        <f>IFERROR(__xludf.DUMMYFUNCTION("""COMPUTED_VALUE"""),"Acquisit, GCC Marketing, Huge")</f>
        <v>Acquisit, GCC Marketing, Huge</v>
      </c>
      <c r="I12" s="11">
        <f>IFERROR(__xludf.DUMMYFUNCTION("""COMPUTED_VALUE"""),1.0)</f>
        <v>1</v>
      </c>
      <c r="J12" s="11">
        <f>IFERROR(__xludf.DUMMYFUNCTION("""COMPUTED_VALUE"""),0.0)</f>
        <v>0</v>
      </c>
      <c r="K12" s="11">
        <f>IFERROR(__xludf.DUMMYFUNCTION("""COMPUTED_VALUE"""),1.0)</f>
        <v>1</v>
      </c>
    </row>
    <row r="13" ht="15.75" customHeight="1">
      <c r="A13" s="8" t="str">
        <f>IFERROR(__xludf.DUMMYFUNCTION("""COMPUTED_VALUE"""),"https://in.linkedin.com/company/nexaai-co-in")</f>
        <v>https://in.linkedin.com/company/nexaai-co-in</v>
      </c>
      <c r="B13" s="8" t="str">
        <f>IFERROR(__xludf.DUMMYFUNCTION("""COMPUTED_VALUE"""),"linkedin.com")</f>
        <v>linkedin.com</v>
      </c>
      <c r="C13" s="11" t="str">
        <f>IFERROR(__xludf.DUMMYFUNCTION("""COMPUTED_VALUE"""),"OTHER")</f>
        <v>OTHER</v>
      </c>
      <c r="D13" s="11" t="str">
        <f>IFERROR(__xludf.DUMMYFUNCTION("""COMPUTED_VALUE"""),"UGC")</f>
        <v>UGC</v>
      </c>
      <c r="E13" s="11" t="str">
        <f>IFERROR(__xludf.DUMMYFUNCTION("""COMPUTED_VALUE"""),"Nexa AI | LinkedIn")</f>
        <v>Nexa AI | LinkedIn</v>
      </c>
      <c r="F13" s="11" t="str">
        <f>IFERROR(__xludf.DUMMYFUNCTION("""COMPUTED_VALUE"""),"Other")</f>
        <v>Other</v>
      </c>
      <c r="G13" s="11" t="b">
        <f>IFERROR(__xludf.DUMMYFUNCTION("""COMPUTED_VALUE"""),FALSE)</f>
        <v>0</v>
      </c>
      <c r="H13" s="11" t="str">
        <f>IFERROR(__xludf.DUMMYFUNCTION("""COMPUTED_VALUE"""),"NEXA")</f>
        <v>NEXA</v>
      </c>
      <c r="I13" s="11">
        <f>IFERROR(__xludf.DUMMYFUNCTION("""COMPUTED_VALUE"""),1.0)</f>
        <v>1</v>
      </c>
      <c r="J13" s="11">
        <f>IFERROR(__xludf.DUMMYFUNCTION("""COMPUTED_VALUE"""),0.0)</f>
        <v>0</v>
      </c>
      <c r="K13" s="11">
        <f>IFERROR(__xludf.DUMMYFUNCTION("""COMPUTED_VALUE"""),1.0)</f>
        <v>1</v>
      </c>
    </row>
    <row r="14" ht="15.75" customHeight="1">
      <c r="A14" s="8" t="str">
        <f>IFERROR(__xludf.DUMMYFUNCTION("""COMPUTED_VALUE"""),"https://www.linkedin.com/company/chain-reaction-digital-services")</f>
        <v>https://www.linkedin.com/company/chain-reaction-digital-services</v>
      </c>
      <c r="B14" s="8" t="str">
        <f>IFERROR(__xludf.DUMMYFUNCTION("""COMPUTED_VALUE"""),"linkedin.com")</f>
        <v>linkedin.com</v>
      </c>
      <c r="C14" s="11" t="str">
        <f>IFERROR(__xludf.DUMMYFUNCTION("""COMPUTED_VALUE"""),"PROFILE")</f>
        <v>PROFILE</v>
      </c>
      <c r="D14" s="11" t="str">
        <f>IFERROR(__xludf.DUMMYFUNCTION("""COMPUTED_VALUE"""),"UGC")</f>
        <v>UGC</v>
      </c>
      <c r="E14" s="11" t="str">
        <f>IFERROR(__xludf.DUMMYFUNCTION("""COMPUTED_VALUE"""),"Chain Reaction | LinkedIn")</f>
        <v>Chain Reaction | LinkedIn</v>
      </c>
      <c r="F14" s="11" t="str">
        <f>IFERROR(__xludf.DUMMYFUNCTION("""COMPUTED_VALUE"""),"Profile")</f>
        <v>Profile</v>
      </c>
      <c r="G14" s="11" t="b">
        <f>IFERROR(__xludf.DUMMYFUNCTION("""COMPUTED_VALUE"""),FALSE)</f>
        <v>0</v>
      </c>
      <c r="H14" s="11" t="str">
        <f>IFERROR(__xludf.DUMMYFUNCTION("""COMPUTED_VALUE"""),"Chain Reaction, Publicis Groupe, Leo Burnett MENA, Epsilon, Memac Ogilvy, VML, NEXA")</f>
        <v>Chain Reaction, Publicis Groupe, Leo Burnett MENA, Epsilon, Memac Ogilvy, VML, NEXA</v>
      </c>
      <c r="I14" s="11">
        <f>IFERROR(__xludf.DUMMYFUNCTION("""COMPUTED_VALUE"""),1.0)</f>
        <v>1</v>
      </c>
      <c r="J14" s="11">
        <f>IFERROR(__xludf.DUMMYFUNCTION("""COMPUTED_VALUE"""),0.0)</f>
        <v>0</v>
      </c>
      <c r="K14" s="11">
        <f>IFERROR(__xludf.DUMMYFUNCTION("""COMPUTED_VALUE"""),1.0)</f>
        <v>1</v>
      </c>
    </row>
    <row r="15" ht="15.75" customHeight="1">
      <c r="A15" s="8" t="str">
        <f>IFERROR(__xludf.DUMMYFUNCTION("""COMPUTED_VALUE"""),"https://www.linkedin.com/company/hopmarketing/?originalSubdomain=ae")</f>
        <v>https://www.linkedin.com/company/hopmarketing/?originalSubdomain=ae</v>
      </c>
      <c r="B15" s="8" t="str">
        <f>IFERROR(__xludf.DUMMYFUNCTION("""COMPUTED_VALUE"""),"linkedin.com")</f>
        <v>linkedin.com</v>
      </c>
      <c r="C15" s="11" t="str">
        <f>IFERROR(__xludf.DUMMYFUNCTION("""COMPUTED_VALUE"""),"PROFILE")</f>
        <v>PROFILE</v>
      </c>
      <c r="D15" s="11" t="str">
        <f>IFERROR(__xludf.DUMMYFUNCTION("""COMPUTED_VALUE"""),"UGC")</f>
        <v>UGC</v>
      </c>
      <c r="E15" s="11" t="str">
        <f>IFERROR(__xludf.DUMMYFUNCTION("""COMPUTED_VALUE"""),"Home of Performance | LinkedIn")</f>
        <v>Home of Performance | LinkedIn</v>
      </c>
      <c r="F15" s="11" t="str">
        <f>IFERROR(__xludf.DUMMYFUNCTION("""COMPUTED_VALUE"""),"Profile")</f>
        <v>Profile</v>
      </c>
      <c r="G15" s="11" t="b">
        <f>IFERROR(__xludf.DUMMYFUNCTION("""COMPUTED_VALUE"""),FALSE)</f>
        <v>0</v>
      </c>
      <c r="H15" s="11" t="str">
        <f>IFERROR(__xludf.DUMMYFUNCTION("""COMPUTED_VALUE"""),"Home of Performance, Créo Global, TIDAL Digital, NEXA, Prism Digital, Chain Reaction")</f>
        <v>Home of Performance, Créo Global, TIDAL Digital, NEXA, Prism Digital, Chain Reaction</v>
      </c>
      <c r="I15" s="11">
        <f>IFERROR(__xludf.DUMMYFUNCTION("""COMPUTED_VALUE"""),1.0)</f>
        <v>1</v>
      </c>
      <c r="J15" s="11">
        <f>IFERROR(__xludf.DUMMYFUNCTION("""COMPUTED_VALUE"""),0.0)</f>
        <v>0</v>
      </c>
      <c r="K15" s="11">
        <f>IFERROR(__xludf.DUMMYFUNCTION("""COMPUTED_VALUE"""),1.0)</f>
        <v>1</v>
      </c>
    </row>
    <row r="16" ht="15.75" customHeight="1">
      <c r="A16" s="8" t="str">
        <f>IFERROR(__xludf.DUMMYFUNCTION("""COMPUTED_VALUE"""),"https://www.linkedin.com/in/khalidelsadig/")</f>
        <v>https://www.linkedin.com/in/khalidelsadig/</v>
      </c>
      <c r="B16" s="8" t="str">
        <f>IFERROR(__xludf.DUMMYFUNCTION("""COMPUTED_VALUE"""),"linkedin.com")</f>
        <v>linkedin.com</v>
      </c>
      <c r="C16" s="11" t="str">
        <f>IFERROR(__xludf.DUMMYFUNCTION("""COMPUTED_VALUE"""),"PROFILE")</f>
        <v>PROFILE</v>
      </c>
      <c r="D16" s="11" t="str">
        <f>IFERROR(__xludf.DUMMYFUNCTION("""COMPUTED_VALUE"""),"UGC")</f>
        <v>UGC</v>
      </c>
      <c r="E16" s="11" t="str">
        <f>IFERROR(__xludf.DUMMYFUNCTION("""COMPUTED_VALUE"""),"Khalid Mohamed - Acquisit \| LinkedIn")</f>
        <v>Khalid Mohamed - Acquisit \| LinkedIn</v>
      </c>
      <c r="F16" s="11" t="str">
        <f>IFERROR(__xludf.DUMMYFUNCTION("""COMPUTED_VALUE"""),"Profile")</f>
        <v>Profile</v>
      </c>
      <c r="G16" s="11" t="b">
        <f>IFERROR(__xludf.DUMMYFUNCTION("""COMPUTED_VALUE"""),FALSE)</f>
        <v>0</v>
      </c>
      <c r="H16" s="11" t="str">
        <f>IFERROR(__xludf.DUMMYFUNCTION("""COMPUTED_VALUE"""),"Acquisit, Push, intouch")</f>
        <v>Acquisit, Push, intouch</v>
      </c>
      <c r="I16" s="11">
        <f>IFERROR(__xludf.DUMMYFUNCTION("""COMPUTED_VALUE"""),1.0)</f>
        <v>1</v>
      </c>
      <c r="J16" s="11">
        <f>IFERROR(__xludf.DUMMYFUNCTION("""COMPUTED_VALUE"""),0.0)</f>
        <v>0</v>
      </c>
      <c r="K16" s="11">
        <f>IFERROR(__xludf.DUMMYFUNCTION("""COMPUTED_VALUE"""),1.0)</f>
        <v>1</v>
      </c>
    </row>
    <row r="17" ht="15.75" customHeight="1">
      <c r="A17" s="8" t="str">
        <f>IFERROR(__xludf.DUMMYFUNCTION("""COMPUTED_VALUE"""),"https://www.linkedin.com/jobs/view/4394391942/")</f>
        <v>https://www.linkedin.com/jobs/view/4394391942/</v>
      </c>
      <c r="B17" s="8" t="str">
        <f>IFERROR(__xludf.DUMMYFUNCTION("""COMPUTED_VALUE"""),"linkedin.com")</f>
        <v>linkedin.com</v>
      </c>
      <c r="C17" s="11" t="str">
        <f>IFERROR(__xludf.DUMMYFUNCTION("""COMPUTED_VALUE"""),"PRODUCT_PAGE")</f>
        <v>PRODUCT_PAGE</v>
      </c>
      <c r="D17" s="11" t="str">
        <f>IFERROR(__xludf.DUMMYFUNCTION("""COMPUTED_VALUE"""),"UGC")</f>
        <v>UGC</v>
      </c>
      <c r="E17" s="11" t="str">
        <f>IFERROR(__xludf.DUMMYFUNCTION("""COMPUTED_VALUE"""),"Chain Reaction hiring Programmatic Director / Head of Programmatic in Dubai, Dubai, United Arab Emirates | LinkedIn")</f>
        <v>Chain Reaction hiring Programmatic Director / Head of Programmatic in Dubai, Dubai, United Arab Emirates | LinkedIn</v>
      </c>
      <c r="F17" s="11" t="str">
        <f>IFERROR(__xludf.DUMMYFUNCTION("""COMPUTED_VALUE"""),"Product Page")</f>
        <v>Product Page</v>
      </c>
      <c r="G17" s="11" t="b">
        <f>IFERROR(__xludf.DUMMYFUNCTION("""COMPUTED_VALUE"""),FALSE)</f>
        <v>0</v>
      </c>
      <c r="H17" s="11" t="str">
        <f>IFERROR(__xludf.DUMMYFUNCTION("""COMPUTED_VALUE"""),"Chain Reaction, Push, Mindshare, WPP, Monks, Publicis Groupe")</f>
        <v>Chain Reaction, Push, Mindshare, WPP, Monks, Publicis Groupe</v>
      </c>
      <c r="I17" s="11">
        <f>IFERROR(__xludf.DUMMYFUNCTION("""COMPUTED_VALUE"""),1.0)</f>
        <v>1</v>
      </c>
      <c r="J17" s="11">
        <f>IFERROR(__xludf.DUMMYFUNCTION("""COMPUTED_VALUE"""),0.0)</f>
        <v>0</v>
      </c>
      <c r="K17" s="11">
        <f>IFERROR(__xludf.DUMMYFUNCTION("""COMPUTED_VALUE"""),1.0)</f>
        <v>1</v>
      </c>
    </row>
    <row r="18" ht="15.75" customHeight="1">
      <c r="A18" s="8" t="str">
        <f>IFERROR(__xludf.DUMMYFUNCTION("""COMPUTED_VALUE"""),"https://www.linkedin.com/posts/lapaone_best-ppc-management-agencies-in-dubai-lapaone-activity-7412535693329223680-fnGx")</f>
        <v>https://www.linkedin.com/posts/lapaone_best-ppc-management-agencies-in-dubai-lapaone-activity-7412535693329223680-fnGx</v>
      </c>
      <c r="B18" s="8" t="str">
        <f>IFERROR(__xludf.DUMMYFUNCTION("""COMPUTED_VALUE"""),"linkedin.com")</f>
        <v>linkedin.com</v>
      </c>
      <c r="C18" s="11" t="str">
        <f>IFERROR(__xludf.DUMMYFUNCTION("""COMPUTED_VALUE"""),"OTHER")</f>
        <v>OTHER</v>
      </c>
      <c r="D18" s="11" t="str">
        <f>IFERROR(__xludf.DUMMYFUNCTION("""COMPUTED_VALUE"""),"UGC")</f>
        <v>UGC</v>
      </c>
      <c r="E18" s="11" t="str">
        <f>IFERROR(__xludf.DUMMYFUNCTION("""COMPUTED_VALUE"""),"Dubai PPC Agencies: Scaling Business with Paid Ads | LapaOne posted on the topic | LinkedIn")</f>
        <v>Dubai PPC Agencies: Scaling Business with Paid Ads | LapaOne posted on the topic | LinkedIn</v>
      </c>
      <c r="F18" s="11" t="str">
        <f>IFERROR(__xludf.DUMMYFUNCTION("""COMPUTED_VALUE"""),"Other")</f>
        <v>Other</v>
      </c>
      <c r="G18" s="11" t="b">
        <f>IFERROR(__xludf.DUMMYFUNCTION("""COMPUTED_VALUE"""),FALSE)</f>
        <v>0</v>
      </c>
      <c r="H18" s="11" t="str">
        <f>IFERROR(__xludf.DUMMYFUNCTION("""COMPUTED_VALUE"""),"Push, INSIDEA, Nielsen")</f>
        <v>Push, INSIDEA, Nielsen</v>
      </c>
      <c r="I18" s="11">
        <f>IFERROR(__xludf.DUMMYFUNCTION("""COMPUTED_VALUE"""),1.0)</f>
        <v>1</v>
      </c>
      <c r="J18" s="11">
        <f>IFERROR(__xludf.DUMMYFUNCTION("""COMPUTED_VALUE"""),0.0)</f>
        <v>0</v>
      </c>
      <c r="K18" s="11">
        <f>IFERROR(__xludf.DUMMYFUNCTION("""COMPUTED_VALUE"""),1.0)</f>
        <v>1</v>
      </c>
    </row>
    <row r="19" ht="15.75" customHeight="1">
      <c r="A19" s="8" t="str">
        <f>IFERROR(__xludf.DUMMYFUNCTION("""COMPUTED_VALUE"""),"https://www.linkedin.com/pulse/10-best-ai-development-companies-uae-leading-innovation-sophie-henry-srcec")</f>
        <v>https://www.linkedin.com/pulse/10-best-ai-development-companies-uae-leading-innovation-sophie-henry-srcec</v>
      </c>
      <c r="B19" s="8" t="str">
        <f>IFERROR(__xludf.DUMMYFUNCTION("""COMPUTED_VALUE"""),"linkedin.com")</f>
        <v>linkedin.com</v>
      </c>
      <c r="C19" s="11" t="str">
        <f>IFERROR(__xludf.DUMMYFUNCTION("""COMPUTED_VALUE"""),"LISTICLE")</f>
        <v>LISTICLE</v>
      </c>
      <c r="D19" s="11" t="str">
        <f>IFERROR(__xludf.DUMMYFUNCTION("""COMPUTED_VALUE"""),"UGC")</f>
        <v>UGC</v>
      </c>
      <c r="E19" s="11" t="str">
        <f>IFERROR(__xludf.DUMMYFUNCTION("""COMPUTED_VALUE"""),"10 Best AI Development Companies in the UAE Leading the Innovation Race In 2026")</f>
        <v>10 Best AI Development Companies in the UAE Leading the Innovation Race In 2026</v>
      </c>
      <c r="F19" s="11" t="str">
        <f>IFERROR(__xludf.DUMMYFUNCTION("""COMPUTED_VALUE"""),"Listicle")</f>
        <v>Listicle</v>
      </c>
      <c r="G19" s="11" t="b">
        <f>IFERROR(__xludf.DUMMYFUNCTION("""COMPUTED_VALUE"""),FALSE)</f>
        <v>0</v>
      </c>
      <c r="H19" s="11" t="str">
        <f>IFERROR(__xludf.DUMMYFUNCTION("""COMPUTED_VALUE"""),"Momentum, Push, PwC, PHD, Artefact")</f>
        <v>Momentum, Push, PwC, PHD, Artefact</v>
      </c>
      <c r="I19" s="11">
        <f>IFERROR(__xludf.DUMMYFUNCTION("""COMPUTED_VALUE"""),1.0)</f>
        <v>1</v>
      </c>
      <c r="J19" s="11">
        <f>IFERROR(__xludf.DUMMYFUNCTION("""COMPUTED_VALUE"""),0.0)</f>
        <v>0</v>
      </c>
      <c r="K19" s="11">
        <f>IFERROR(__xludf.DUMMYFUNCTION("""COMPUTED_VALUE"""),1.0)</f>
        <v>1</v>
      </c>
    </row>
    <row r="20" ht="15.75" customHeight="1">
      <c r="A20" s="8" t="str">
        <f>IFERROR(__xludf.DUMMYFUNCTION("""COMPUTED_VALUE"""),"https://www.linkedin.com/pulse/10-best-ai-development-companies-uae-leading-race-mohammad-rahman-kqchc")</f>
        <v>https://www.linkedin.com/pulse/10-best-ai-development-companies-uae-leading-race-mohammad-rahman-kqchc</v>
      </c>
      <c r="B20" s="8" t="str">
        <f>IFERROR(__xludf.DUMMYFUNCTION("""COMPUTED_VALUE"""),"linkedin.com")</f>
        <v>linkedin.com</v>
      </c>
      <c r="C20" s="11" t="str">
        <f>IFERROR(__xludf.DUMMYFUNCTION("""COMPUTED_VALUE"""),"LISTICLE")</f>
        <v>LISTICLE</v>
      </c>
      <c r="D20" s="11" t="str">
        <f>IFERROR(__xludf.DUMMYFUNCTION("""COMPUTED_VALUE"""),"UGC")</f>
        <v>UGC</v>
      </c>
      <c r="E20" s="11" t="str">
        <f>IFERROR(__xludf.DUMMYFUNCTION("""COMPUTED_VALUE"""),"10 Best AI Development Companies in UAE Leading the Innovation Race")</f>
        <v>10 Best AI Development Companies in UAE Leading the Innovation Race</v>
      </c>
      <c r="F20" s="11" t="str">
        <f>IFERROR(__xludf.DUMMYFUNCTION("""COMPUTED_VALUE"""),"Listicle")</f>
        <v>Listicle</v>
      </c>
      <c r="G20" s="11" t="b">
        <f>IFERROR(__xludf.DUMMYFUNCTION("""COMPUTED_VALUE"""),FALSE)</f>
        <v>0</v>
      </c>
      <c r="H20" s="11" t="str">
        <f>IFERROR(__xludf.DUMMYFUNCTION("""COMPUTED_VALUE"""),"PwC, EY, KPMG")</f>
        <v>PwC, EY, KPMG</v>
      </c>
      <c r="I20" s="11">
        <f>IFERROR(__xludf.DUMMYFUNCTION("""COMPUTED_VALUE"""),1.0)</f>
        <v>1</v>
      </c>
      <c r="J20" s="11">
        <f>IFERROR(__xludf.DUMMYFUNCTION("""COMPUTED_VALUE"""),0.0)</f>
        <v>0</v>
      </c>
      <c r="K20" s="11">
        <f>IFERROR(__xludf.DUMMYFUNCTION("""COMPUTED_VALUE"""),0.0)</f>
        <v>0</v>
      </c>
    </row>
    <row r="21" ht="15.75" customHeight="1">
      <c r="A21" s="8" t="str">
        <f>IFERROR(__xludf.DUMMYFUNCTION("""COMPUTED_VALUE"""),"https://www.linkedin.com/pulse/deconstructing-common-solutions-first-party-data-pierre-cholet-booce")</f>
        <v>https://www.linkedin.com/pulse/deconstructing-common-solutions-first-party-data-pierre-cholet-booce</v>
      </c>
      <c r="B21" s="8" t="str">
        <f>IFERROR(__xludf.DUMMYFUNCTION("""COMPUTED_VALUE"""),"linkedin.com")</f>
        <v>linkedin.com</v>
      </c>
      <c r="C21" s="11" t="str">
        <f>IFERROR(__xludf.DUMMYFUNCTION("""COMPUTED_VALUE"""),"ARTICLE")</f>
        <v>ARTICLE</v>
      </c>
      <c r="D21" s="11" t="str">
        <f>IFERROR(__xludf.DUMMYFUNCTION("""COMPUTED_VALUE"""),"UGC")</f>
        <v>UGC</v>
      </c>
      <c r="E21" s="11" t="str">
        <f>IFERROR(__xludf.DUMMYFUNCTION("""COMPUTED_VALUE"""),"Deconstructing common solutions for first-party data activation")</f>
        <v>Deconstructing common solutions for first-party data activation</v>
      </c>
      <c r="F21" s="11" t="str">
        <f>IFERROR(__xludf.DUMMYFUNCTION("""COMPUTED_VALUE"""),"Article")</f>
        <v>Article</v>
      </c>
      <c r="G21" s="11" t="b">
        <f>IFERROR(__xludf.DUMMYFUNCTION("""COMPUTED_VALUE"""),FALSE)</f>
        <v>0</v>
      </c>
      <c r="H21" s="11" t="str">
        <f>IFERROR(__xludf.DUMMYFUNCTION("""COMPUTED_VALUE"""),"Epsilon, intouch")</f>
        <v>Epsilon, intouch</v>
      </c>
      <c r="I21" s="11">
        <f>IFERROR(__xludf.DUMMYFUNCTION("""COMPUTED_VALUE"""),1.0)</f>
        <v>1</v>
      </c>
      <c r="J21" s="11">
        <f>IFERROR(__xludf.DUMMYFUNCTION("""COMPUTED_VALUE"""),0.0)</f>
        <v>0</v>
      </c>
      <c r="K21" s="11">
        <f>IFERROR(__xludf.DUMMYFUNCTION("""COMPUTED_VALUE"""),0.0)</f>
        <v>0</v>
      </c>
    </row>
    <row r="22" ht="15.75" customHeight="1">
      <c r="A22" s="8" t="str">
        <f>IFERROR(__xludf.DUMMYFUNCTION("""COMPUTED_VALUE"""),"https://www.linkedin.com/pulse/top-10-ai-prompt-engineering-service-companies-2025-jagadish-thaker-xw6lc")</f>
        <v>https://www.linkedin.com/pulse/top-10-ai-prompt-engineering-service-companies-2025-jagadish-thaker-xw6lc</v>
      </c>
      <c r="B22" s="8" t="str">
        <f>IFERROR(__xludf.DUMMYFUNCTION("""COMPUTED_VALUE"""),"linkedin.com")</f>
        <v>linkedin.com</v>
      </c>
      <c r="C22" s="11" t="str">
        <f>IFERROR(__xludf.DUMMYFUNCTION("""COMPUTED_VALUE"""),"LISTICLE")</f>
        <v>LISTICLE</v>
      </c>
      <c r="D22" s="11" t="str">
        <f>IFERROR(__xludf.DUMMYFUNCTION("""COMPUTED_VALUE"""),"UGC")</f>
        <v>UGC</v>
      </c>
      <c r="E22" s="11" t="str">
        <f>IFERROR(__xludf.DUMMYFUNCTION("""COMPUTED_VALUE"""),"Top 10 AI Prompt Engineering Service Companies in 2026")</f>
        <v>Top 10 AI Prompt Engineering Service Companies in 2026</v>
      </c>
      <c r="F22" s="11" t="str">
        <f>IFERROR(__xludf.DUMMYFUNCTION("""COMPUTED_VALUE"""),"Listicle")</f>
        <v>Listicle</v>
      </c>
      <c r="G22" s="11" t="b">
        <f>IFERROR(__xludf.DUMMYFUNCTION("""COMPUTED_VALUE"""),FALSE)</f>
        <v>0</v>
      </c>
      <c r="H22" s="11" t="str">
        <f>IFERROR(__xludf.DUMMYFUNCTION("""COMPUTED_VALUE"""),"PwC")</f>
        <v>PwC</v>
      </c>
      <c r="I22" s="11">
        <f>IFERROR(__xludf.DUMMYFUNCTION("""COMPUTED_VALUE"""),1.0)</f>
        <v>1</v>
      </c>
      <c r="J22" s="11">
        <f>IFERROR(__xludf.DUMMYFUNCTION("""COMPUTED_VALUE"""),0.0)</f>
        <v>0</v>
      </c>
      <c r="K22" s="11">
        <f>IFERROR(__xludf.DUMMYFUNCTION("""COMPUTED_VALUE"""),0.0)</f>
        <v>0</v>
      </c>
    </row>
    <row r="23" ht="15.75" customHeight="1">
      <c r="A23" s="8" t="str">
        <f>IFERROR(__xludf.DUMMYFUNCTION("""COMPUTED_VALUE"""),"https://www.linkedin.com/pulse/top-25-performance-marketing-agencies-us-hawkemedia-iqbnc")</f>
        <v>https://www.linkedin.com/pulse/top-25-performance-marketing-agencies-us-hawkemedia-iqbnc</v>
      </c>
      <c r="B23" s="8" t="str">
        <f>IFERROR(__xludf.DUMMYFUNCTION("""COMPUTED_VALUE"""),"linkedin.com")</f>
        <v>linkedin.com</v>
      </c>
      <c r="C23" s="11" t="str">
        <f>IFERROR(__xludf.DUMMYFUNCTION("""COMPUTED_VALUE"""),"LISTICLE")</f>
        <v>LISTICLE</v>
      </c>
      <c r="D23" s="11" t="str">
        <f>IFERROR(__xludf.DUMMYFUNCTION("""COMPUTED_VALUE"""),"UGC")</f>
        <v>UGC</v>
      </c>
      <c r="E23" s="11" t="str">
        <f>IFERROR(__xludf.DUMMYFUNCTION("""COMPUTED_VALUE"""),"Top 25 Performance Marketing Agencies In The U.S.")</f>
        <v>Top 25 Performance Marketing Agencies In The U.S.</v>
      </c>
      <c r="F23" s="11" t="str">
        <f>IFERROR(__xludf.DUMMYFUNCTION("""COMPUTED_VALUE"""),"Listicle")</f>
        <v>Listicle</v>
      </c>
      <c r="G23" s="11" t="b">
        <f>IFERROR(__xludf.DUMMYFUNCTION("""COMPUTED_VALUE"""),FALSE)</f>
        <v>0</v>
      </c>
      <c r="H23" s="11" t="str">
        <f>IFERROR(__xludf.DUMMYFUNCTION("""COMPUTED_VALUE"""),"Tinuiti, Wpromote, Power Digital, WebFX, Measured, Disruptive Advertising, NP Digital, New Engen, NoGood, VML, Monks, Merkle, Siege Media")</f>
        <v>Tinuiti, Wpromote, Power Digital, WebFX, Measured, Disruptive Advertising, NP Digital, New Engen, NoGood, VML, Monks, Merkle, Siege Media</v>
      </c>
      <c r="I23" s="11">
        <f>IFERROR(__xludf.DUMMYFUNCTION("""COMPUTED_VALUE"""),1.0)</f>
        <v>1</v>
      </c>
      <c r="J23" s="11">
        <f>IFERROR(__xludf.DUMMYFUNCTION("""COMPUTED_VALUE"""),0.0)</f>
        <v>0</v>
      </c>
      <c r="K23" s="11">
        <f>IFERROR(__xludf.DUMMYFUNCTION("""COMPUTED_VALUE"""),0.0)</f>
        <v>0</v>
      </c>
    </row>
    <row r="24" ht="15.75" customHeight="1">
      <c r="A24" s="8" t="str">
        <f>IFERROR(__xludf.DUMMYFUNCTION("""COMPUTED_VALUE"""),"https://www.linkedin.com/pulse/top-ai-consulting-companies-dubai-2025-global-leaders-smith-johnes-dirbc")</f>
        <v>https://www.linkedin.com/pulse/top-ai-consulting-companies-dubai-2025-global-leaders-smith-johnes-dirbc</v>
      </c>
      <c r="B24" s="8" t="str">
        <f>IFERROR(__xludf.DUMMYFUNCTION("""COMPUTED_VALUE"""),"linkedin.com")</f>
        <v>linkedin.com</v>
      </c>
      <c r="C24" s="11" t="str">
        <f>IFERROR(__xludf.DUMMYFUNCTION("""COMPUTED_VALUE"""),"LISTICLE")</f>
        <v>LISTICLE</v>
      </c>
      <c r="D24" s="11" t="str">
        <f>IFERROR(__xludf.DUMMYFUNCTION("""COMPUTED_VALUE"""),"UGC")</f>
        <v>UGC</v>
      </c>
      <c r="E24" s="11" t="str">
        <f>IFERROR(__xludf.DUMMYFUNCTION("""COMPUTED_VALUE"""),"Top AI Consulting Companies in Dubai (2025): Global Leaders Driving Enterprise AI Transformation")</f>
        <v>Top AI Consulting Companies in Dubai (2025): Global Leaders Driving Enterprise AI Transformation</v>
      </c>
      <c r="F24" s="11" t="str">
        <f>IFERROR(__xludf.DUMMYFUNCTION("""COMPUTED_VALUE"""),"Listicle")</f>
        <v>Listicle</v>
      </c>
      <c r="G24" s="11" t="b">
        <f>IFERROR(__xludf.DUMMYFUNCTION("""COMPUTED_VALUE"""),FALSE)</f>
        <v>0</v>
      </c>
      <c r="H24" s="11" t="str">
        <f>IFERROR(__xludf.DUMMYFUNCTION("""COMPUTED_VALUE"""),"PwC, McKinsey &amp; Company")</f>
        <v>PwC, McKinsey &amp; Company</v>
      </c>
      <c r="I24" s="11">
        <f>IFERROR(__xludf.DUMMYFUNCTION("""COMPUTED_VALUE"""),1.0)</f>
        <v>1</v>
      </c>
      <c r="J24" s="11">
        <f>IFERROR(__xludf.DUMMYFUNCTION("""COMPUTED_VALUE"""),0.0)</f>
        <v>0</v>
      </c>
      <c r="K24" s="11">
        <f>IFERROR(__xludf.DUMMYFUNCTION("""COMPUTED_VALUE"""),0.0)</f>
        <v>0</v>
      </c>
    </row>
    <row r="25" ht="15.75" customHeight="1">
      <c r="A25" s="8" t="str">
        <f>IFERROR(__xludf.DUMMYFUNCTION("""COMPUTED_VALUE"""),"https://www.linkedin.com/showcase/ai-transformation-adoption/")</f>
        <v>https://www.linkedin.com/showcase/ai-transformation-adoption/</v>
      </c>
      <c r="B25" s="8" t="str">
        <f>IFERROR(__xludf.DUMMYFUNCTION("""COMPUTED_VALUE"""),"linkedin.com")</f>
        <v>linkedin.com</v>
      </c>
      <c r="C25" s="11" t="str">
        <f>IFERROR(__xludf.DUMMYFUNCTION("""COMPUTED_VALUE"""),"PROFILE")</f>
        <v>PROFILE</v>
      </c>
      <c r="D25" s="11" t="str">
        <f>IFERROR(__xludf.DUMMYFUNCTION("""COMPUTED_VALUE"""),"UGC")</f>
        <v>UGC</v>
      </c>
      <c r="E25" s="11" t="str">
        <f>IFERROR(__xludf.DUMMYFUNCTION("""COMPUTED_VALUE"""),"Perform by AI | AI Transformation and Adoption | LinkedIn")</f>
        <v>Perform by AI | AI Transformation and Adoption | LinkedIn</v>
      </c>
      <c r="F25" s="11" t="str">
        <f>IFERROR(__xludf.DUMMYFUNCTION("""COMPUTED_VALUE"""),"Profile")</f>
        <v>Profile</v>
      </c>
      <c r="G25" s="11" t="b">
        <f>IFERROR(__xludf.DUMMYFUNCTION("""COMPUTED_VALUE"""),FALSE)</f>
        <v>0</v>
      </c>
      <c r="H25" s="11" t="str">
        <f>IFERROR(__xludf.DUMMYFUNCTION("""COMPUTED_VALUE"""),"intouch, PHD, Measured")</f>
        <v>intouch, PHD, Measured</v>
      </c>
      <c r="I25" s="11">
        <f>IFERROR(__xludf.DUMMYFUNCTION("""COMPUTED_VALUE"""),1.0)</f>
        <v>1</v>
      </c>
      <c r="J25" s="11">
        <f>IFERROR(__xludf.DUMMYFUNCTION("""COMPUTED_VALUE"""),0.0)</f>
        <v>0</v>
      </c>
      <c r="K25" s="11">
        <f>IFERROR(__xludf.DUMMYFUNCTION("""COMPUTED_VALUE"""),0.0)</f>
        <v>0</v>
      </c>
    </row>
    <row r="26" ht="15.75" customHeight="1">
      <c r="A26" s="8" t="str">
        <f>IFERROR(__xludf.DUMMYFUNCTION("""COMPUTED_VALUE"""),"https://sa.linkedin.com/in/edouard-daou")</f>
        <v>https://sa.linkedin.com/in/edouard-daou</v>
      </c>
      <c r="B26" s="8" t="str">
        <f>IFERROR(__xludf.DUMMYFUNCTION("""COMPUTED_VALUE"""),"linkedin.com")</f>
        <v>linkedin.com</v>
      </c>
      <c r="C26" s="11" t="str">
        <f>IFERROR(__xludf.DUMMYFUNCTION("""COMPUTED_VALUE"""),"PROFILE")</f>
        <v>PROFILE</v>
      </c>
      <c r="D26" s="11" t="str">
        <f>IFERROR(__xludf.DUMMYFUNCTION("""COMPUTED_VALUE"""),"UGC")</f>
        <v>UGC</v>
      </c>
      <c r="E26" s="11" t="str">
        <f>IFERROR(__xludf.DUMMYFUNCTION("""COMPUTED_VALUE"""),"Edouard Daou - Acquisit \| LinkedIn")</f>
        <v>Edouard Daou - Acquisit \| LinkedIn</v>
      </c>
      <c r="F26" s="11" t="str">
        <f>IFERROR(__xludf.DUMMYFUNCTION("""COMPUTED_VALUE"""),"Profile")</f>
        <v>Profile</v>
      </c>
      <c r="G26" s="11" t="b">
        <f>IFERROR(__xludf.DUMMYFUNCTION("""COMPUTED_VALUE"""),FALSE)</f>
        <v>0</v>
      </c>
      <c r="H26" s="11" t="str">
        <f>IFERROR(__xludf.DUMMYFUNCTION("""COMPUTED_VALUE"""),"Acquisit, Momentum, Push, intouch, Assembly MENA")</f>
        <v>Acquisit, Momentum, Push, intouch, Assembly MENA</v>
      </c>
      <c r="I26" s="11">
        <f>IFERROR(__xludf.DUMMYFUNCTION("""COMPUTED_VALUE"""),1.0)</f>
        <v>1</v>
      </c>
      <c r="J26" s="11">
        <f>IFERROR(__xludf.DUMMYFUNCTION("""COMPUTED_VALUE"""),0.0)</f>
        <v>0</v>
      </c>
      <c r="K26" s="11">
        <f>IFERROR(__xludf.DUMMYFUNCTION("""COMPUTED_VALUE"""),1.0)</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location=":~:text=Multi%2Dplatform%20expertise%20across%20Meta%2C%20LinkedIn%2C%20TikTok%2C%20YouTube%2C,Best%20for%20Paid%20Social%20ROAS%20at%20Scale."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s>
  <drawing r:id="rId5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All'!A2:A1000)),""wikipedia"")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All'!D2:D1000)))=""alternative""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All'!D2:D1000)))=""article""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All'!D2:D1000)))=""category_page""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All'!D2:D1000)))=""comparison""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All'!D2:D1000)))=""discussion""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All'!D2:D1000)))=""homepage""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All'!D2:D1000)))=""HOW_TO_GUIDE""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All'!D2:D1000)))=""listicle""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8" t="str">
        <f>IFERROR(__xludf.DUMMYFUNCTION("IFERROR(
  FILTER(
    'PEEC - URLs - All'!A2:K1000,
    LOWER(TRIM(TO_TEXT('PEEC - URLs - All'!D2:D1000)))=""other""
  ),
  """"
)"),"https://thehovi.com/blog/agency-insights/top-10-digital-marketing-agencies-dubai-2026")</f>
        <v>https://thehovi.com/blog/agency-insights/top-10-digital-marketing-agencies-dubai-2026</v>
      </c>
      <c r="B2" s="8" t="str">
        <f>IFERROR(__xludf.DUMMYFUNCTION("""COMPUTED_VALUE"""),"thehovi.com")</f>
        <v>thehovi.com</v>
      </c>
      <c r="C2" s="11" t="str">
        <f>IFERROR(__xludf.DUMMYFUNCTION("""COMPUTED_VALUE"""),"LISTICLE")</f>
        <v>LISTICLE</v>
      </c>
      <c r="D2" s="11" t="str">
        <f>IFERROR(__xludf.DUMMYFUNCTION("""COMPUTED_VALUE"""),"OTHER")</f>
        <v>OTHER</v>
      </c>
      <c r="E2" s="11" t="str">
        <f>IFERROR(__xludf.DUMMYFUNCTION("""COMPUTED_VALUE"""),"Top 10 Digital Marketing Agencies in Dubai (2026 Guide) | Hovi Digital Lab")</f>
        <v>Top 10 Digital Marketing Agencies in Dubai (2026 Guide) | Hovi Digital Lab</v>
      </c>
      <c r="F2" s="11" t="str">
        <f>IFERROR(__xludf.DUMMYFUNCTION("""COMPUTED_VALUE"""),"Listicle")</f>
        <v>Listicle</v>
      </c>
      <c r="G2" s="11" t="b">
        <f>IFERROR(__xludf.DUMMYFUNCTION("""COMPUTED_VALUE"""),FALSE)</f>
        <v>0</v>
      </c>
      <c r="H2" s="11" t="str">
        <f>IFERROR(__xludf.DUMMYFUNCTION("""COMPUTED_VALUE"""),"Hovi Digital Lab, NEXA, Chain Reaction, Digital Gravity, Prism Digital")</f>
        <v>Hovi Digital Lab, NEXA, Chain Reaction, Digital Gravity, Prism Digital</v>
      </c>
      <c r="I2" s="11">
        <f>IFERROR(__xludf.DUMMYFUNCTION("""COMPUTED_VALUE"""),36.0)</f>
        <v>36</v>
      </c>
      <c r="J2" s="11">
        <f>IFERROR(__xludf.DUMMYFUNCTION("""COMPUTED_VALUE"""),0.03)</f>
        <v>0.03</v>
      </c>
      <c r="K2" s="11">
        <f>IFERROR(__xludf.DUMMYFUNCTION("""COMPUTED_VALUE"""),1.42)</f>
        <v>1.42</v>
      </c>
    </row>
    <row r="3" ht="15.75" customHeight="1">
      <c r="A3" s="8" t="str">
        <f>IFERROR(__xludf.DUMMYFUNCTION("""COMPUTED_VALUE"""),"https://digitalmediasapiens.com/best-aeo-agency-dubai/")</f>
        <v>https://digitalmediasapiens.com/best-aeo-agency-dubai/</v>
      </c>
      <c r="B3" s="8" t="str">
        <f>IFERROR(__xludf.DUMMYFUNCTION("""COMPUTED_VALUE"""),"digitalmediasapiens.com")</f>
        <v>digitalmediasapiens.com</v>
      </c>
      <c r="C3" s="11" t="str">
        <f>IFERROR(__xludf.DUMMYFUNCTION("""COMPUTED_VALUE"""),"PRODUCT_PAGE")</f>
        <v>PRODUCT_PAGE</v>
      </c>
      <c r="D3" s="11" t="str">
        <f>IFERROR(__xludf.DUMMYFUNCTION("""COMPUTED_VALUE"""),"OTHER")</f>
        <v>OTHER</v>
      </c>
      <c r="E3" s="11" t="str">
        <f>IFERROR(__xludf.DUMMYFUNCTION("""COMPUTED_VALUE"""),"Best AEO Agency Dubai | AI Search Optimization Experts")</f>
        <v>Best AEO Agency Dubai | AI Search Optimization Experts</v>
      </c>
      <c r="F3" s="11" t="str">
        <f>IFERROR(__xludf.DUMMYFUNCTION("""COMPUTED_VALUE"""),"Product Page")</f>
        <v>Product Page</v>
      </c>
      <c r="G3" s="11" t="b">
        <f>IFERROR(__xludf.DUMMYFUNCTION("""COMPUTED_VALUE"""),FALSE)</f>
        <v>0</v>
      </c>
      <c r="H3" s="11" t="str">
        <f>IFERROR(__xludf.DUMMYFUNCTION("""COMPUTED_VALUE"""),"Digital Media Sapiens")</f>
        <v>Digital Media Sapiens</v>
      </c>
      <c r="I3" s="11">
        <f>IFERROR(__xludf.DUMMYFUNCTION("""COMPUTED_VALUE"""),30.0)</f>
        <v>30</v>
      </c>
      <c r="J3" s="11">
        <f>IFERROR(__xludf.DUMMYFUNCTION("""COMPUTED_VALUE"""),0.03)</f>
        <v>0.03</v>
      </c>
      <c r="K3" s="11">
        <f>IFERROR(__xludf.DUMMYFUNCTION("""COMPUTED_VALUE"""),1.7)</f>
        <v>1.7</v>
      </c>
    </row>
    <row r="4" ht="15.75" customHeight="1">
      <c r="A4" s="8" t="str">
        <f>IFERROR(__xludf.DUMMYFUNCTION("""COMPUTED_VALUE"""),"https://oski.site/blog/sales-and-marketing-analytics-companies-uae/")</f>
        <v>https://oski.site/blog/sales-and-marketing-analytics-companies-uae/</v>
      </c>
      <c r="B4" s="11" t="str">
        <f>IFERROR(__xludf.DUMMYFUNCTION("""COMPUTED_VALUE"""),"oski.site")</f>
        <v>oski.site</v>
      </c>
      <c r="C4" s="11" t="str">
        <f>IFERROR(__xludf.DUMMYFUNCTION("""COMPUTED_VALUE"""),"LISTICLE")</f>
        <v>LISTICLE</v>
      </c>
      <c r="D4" s="11" t="str">
        <f>IFERROR(__xludf.DUMMYFUNCTION("""COMPUTED_VALUE"""),"OTHER")</f>
        <v>OTHER</v>
      </c>
      <c r="E4" s="11" t="str">
        <f>IFERROR(__xludf.DUMMYFUNCTION("""COMPUTED_VALUE"""),"Top Sales and Marketing Analytics Companies in the UAE")</f>
        <v>Top Sales and Marketing Analytics Companies in the UAE</v>
      </c>
      <c r="F4" s="11" t="str">
        <f>IFERROR(__xludf.DUMMYFUNCTION("""COMPUTED_VALUE"""),"Listicle")</f>
        <v>Listicle</v>
      </c>
      <c r="G4" s="11" t="b">
        <f>IFERROR(__xludf.DUMMYFUNCTION("""COMPUTED_VALUE"""),TRUE)</f>
        <v>1</v>
      </c>
      <c r="H4" s="11" t="str">
        <f>IFERROR(__xludf.DUMMYFUNCTION("""COMPUTED_VALUE"""),"intouch, SOL Analytics, Chain Reaction, Incubeta, Adapts Media")</f>
        <v>intouch, SOL Analytics, Chain Reaction, Incubeta, Adapts Media</v>
      </c>
      <c r="I4" s="11">
        <f>IFERROR(__xludf.DUMMYFUNCTION("""COMPUTED_VALUE"""),30.0)</f>
        <v>30</v>
      </c>
      <c r="J4" s="11">
        <f>IFERROR(__xludf.DUMMYFUNCTION("""COMPUTED_VALUE"""),0.03)</f>
        <v>0.03</v>
      </c>
      <c r="K4" s="11">
        <f>IFERROR(__xludf.DUMMYFUNCTION("""COMPUTED_VALUE"""),1.03)</f>
        <v>1.03</v>
      </c>
    </row>
    <row r="5" ht="15.75" customHeight="1">
      <c r="A5" s="8" t="str">
        <f>IFERROR(__xludf.DUMMYFUNCTION("""COMPUTED_VALUE"""),"https://harisand.co/blog/10-award-winning-digital-marketing-agencies-in-dubai/")</f>
        <v>https://harisand.co/blog/10-award-winning-digital-marketing-agencies-in-dubai/</v>
      </c>
      <c r="B5" s="8" t="str">
        <f>IFERROR(__xludf.DUMMYFUNCTION("""COMPUTED_VALUE"""),"harisand.co")</f>
        <v>harisand.co</v>
      </c>
      <c r="C5" s="11" t="str">
        <f>IFERROR(__xludf.DUMMYFUNCTION("""COMPUTED_VALUE"""),"LISTICLE")</f>
        <v>LISTICLE</v>
      </c>
      <c r="D5" s="11" t="str">
        <f>IFERROR(__xludf.DUMMYFUNCTION("""COMPUTED_VALUE"""),"OTHER")</f>
        <v>OTHER</v>
      </c>
      <c r="E5" s="11" t="str">
        <f>IFERROR(__xludf.DUMMYFUNCTION("""COMPUTED_VALUE"""),"Award-Winning Digital Marketing Agencies in Dubai")</f>
        <v>Award-Winning Digital Marketing Agencies in Dubai</v>
      </c>
      <c r="F5" s="11" t="str">
        <f>IFERROR(__xludf.DUMMYFUNCTION("""COMPUTED_VALUE"""),"Listicle")</f>
        <v>Listicle</v>
      </c>
      <c r="G5" s="11" t="b">
        <f>IFERROR(__xludf.DUMMYFUNCTION("""COMPUTED_VALUE"""),FALSE)</f>
        <v>0</v>
      </c>
      <c r="H5" s="11" t="str">
        <f>IFERROR(__xludf.DUMMYFUNCTION("""COMPUTED_VALUE"""),"TIDAL Digital, Home of Performance, NEXA, Assembly MENA, Chain Reaction, ASTUDIO, intouch")</f>
        <v>TIDAL Digital, Home of Performance, NEXA, Assembly MENA, Chain Reaction, ASTUDIO, intouch</v>
      </c>
      <c r="I5" s="11">
        <f>IFERROR(__xludf.DUMMYFUNCTION("""COMPUTED_VALUE"""),26.0)</f>
        <v>26</v>
      </c>
      <c r="J5" s="11">
        <f>IFERROR(__xludf.DUMMYFUNCTION("""COMPUTED_VALUE"""),0.02)</f>
        <v>0.02</v>
      </c>
      <c r="K5" s="11">
        <f>IFERROR(__xludf.DUMMYFUNCTION("""COMPUTED_VALUE"""),1.12)</f>
        <v>1.12</v>
      </c>
    </row>
    <row r="6" ht="15.75" customHeight="1">
      <c r="A6" s="8" t="str">
        <f>IFERROR(__xludf.DUMMYFUNCTION("""COMPUTED_VALUE"""),"https://semnexus.com/best-aeo-agencies-dubai/")</f>
        <v>https://semnexus.com/best-aeo-agencies-dubai/</v>
      </c>
      <c r="B6" s="8" t="str">
        <f>IFERROR(__xludf.DUMMYFUNCTION("""COMPUTED_VALUE"""),"semnexus.com")</f>
        <v>semnexus.com</v>
      </c>
      <c r="C6" s="11" t="str">
        <f>IFERROR(__xludf.DUMMYFUNCTION("""COMPUTED_VALUE"""),"LISTICLE")</f>
        <v>LISTICLE</v>
      </c>
      <c r="D6" s="11" t="str">
        <f>IFERROR(__xludf.DUMMYFUNCTION("""COMPUTED_VALUE"""),"OTHER")</f>
        <v>OTHER</v>
      </c>
      <c r="E6" s="11" t="str">
        <f>IFERROR(__xludf.DUMMYFUNCTION("""COMPUTED_VALUE"""),"The Best AEO Agencies in Dubai: Dominating AI Search in 2026 | SEM Nexus")</f>
        <v>The Best AEO Agencies in Dubai: Dominating AI Search in 2026 | SEM Nexus</v>
      </c>
      <c r="F6" s="11" t="str">
        <f>IFERROR(__xludf.DUMMYFUNCTION("""COMPUTED_VALUE"""),"Listicle")</f>
        <v>Listicle</v>
      </c>
      <c r="G6" s="11" t="b">
        <f>IFERROR(__xludf.DUMMYFUNCTION("""COMPUTED_VALUE"""),FALSE)</f>
        <v>0</v>
      </c>
      <c r="H6" s="11" t="str">
        <f>IFERROR(__xludf.DUMMYFUNCTION("""COMPUTED_VALUE"""),"SEO Sherpa, NEXA, Prism Digital, EDS FZCO, intouch")</f>
        <v>SEO Sherpa, NEXA, Prism Digital, EDS FZCO, intouch</v>
      </c>
      <c r="I6" s="11">
        <f>IFERROR(__xludf.DUMMYFUNCTION("""COMPUTED_VALUE"""),26.0)</f>
        <v>26</v>
      </c>
      <c r="J6" s="11">
        <f>IFERROR(__xludf.DUMMYFUNCTION("""COMPUTED_VALUE"""),0.02)</f>
        <v>0.02</v>
      </c>
      <c r="K6" s="11">
        <f>IFERROR(__xludf.DUMMYFUNCTION("""COMPUTED_VALUE"""),0.42)</f>
        <v>0.42</v>
      </c>
    </row>
    <row r="7" ht="15.75" customHeight="1">
      <c r="A7" s="8" t="str">
        <f>IFERROR(__xludf.DUMMYFUNCTION("""COMPUTED_VALUE"""),"https://www.prism-me.com/paid-media-agency")</f>
        <v>https://www.prism-me.com/paid-media-agency</v>
      </c>
      <c r="B7" s="8" t="str">
        <f>IFERROR(__xludf.DUMMYFUNCTION("""COMPUTED_VALUE"""),"prism-me.com")</f>
        <v>prism-me.com</v>
      </c>
      <c r="C7" s="11" t="str">
        <f>IFERROR(__xludf.DUMMYFUNCTION("""COMPUTED_VALUE"""),"PRODUCT_PAGE")</f>
        <v>PRODUCT_PAGE</v>
      </c>
      <c r="D7" s="11" t="str">
        <f>IFERROR(__xludf.DUMMYFUNCTION("""COMPUTED_VALUE"""),"OTHER")</f>
        <v>OTHER</v>
      </c>
      <c r="E7" s="11" t="str">
        <f>IFERROR(__xludf.DUMMYFUNCTION("""COMPUTED_VALUE"""),"Best Paid Media Agency in UAE | Prism Digital")</f>
        <v>Best Paid Media Agency in UAE | Prism Digital</v>
      </c>
      <c r="F7" s="11" t="str">
        <f>IFERROR(__xludf.DUMMYFUNCTION("""COMPUTED_VALUE"""),"Product Page")</f>
        <v>Product Page</v>
      </c>
      <c r="G7" s="11" t="b">
        <f>IFERROR(__xludf.DUMMYFUNCTION("""COMPUTED_VALUE"""),FALSE)</f>
        <v>0</v>
      </c>
      <c r="H7" s="11" t="str">
        <f>IFERROR(__xludf.DUMMYFUNCTION("""COMPUTED_VALUE"""),"intouch, Prism Digital")</f>
        <v>intouch, Prism Digital</v>
      </c>
      <c r="I7" s="11">
        <f>IFERROR(__xludf.DUMMYFUNCTION("""COMPUTED_VALUE"""),25.0)</f>
        <v>25</v>
      </c>
      <c r="J7" s="11">
        <f>IFERROR(__xludf.DUMMYFUNCTION("""COMPUTED_VALUE"""),0.02)</f>
        <v>0.02</v>
      </c>
      <c r="K7" s="11">
        <f>IFERROR(__xludf.DUMMYFUNCTION("""COMPUTED_VALUE"""),1.16)</f>
        <v>1.16</v>
      </c>
    </row>
    <row r="8" ht="15.75" customHeight="1">
      <c r="A8" s="8" t="str">
        <f>IFERROR(__xludf.DUMMYFUNCTION("""COMPUTED_VALUE"""),"https://thehovi.com/ai-marketing-agency-dubai")</f>
        <v>https://thehovi.com/ai-marketing-agency-dubai</v>
      </c>
      <c r="B8" s="8" t="str">
        <f>IFERROR(__xludf.DUMMYFUNCTION("""COMPUTED_VALUE"""),"thehovi.com")</f>
        <v>thehovi.com</v>
      </c>
      <c r="C8" s="11" t="str">
        <f>IFERROR(__xludf.DUMMYFUNCTION("""COMPUTED_VALUE"""),"PRODUCT_PAGE")</f>
        <v>PRODUCT_PAGE</v>
      </c>
      <c r="D8" s="11" t="str">
        <f>IFERROR(__xludf.DUMMYFUNCTION("""COMPUTED_VALUE"""),"OTHER")</f>
        <v>OTHER</v>
      </c>
      <c r="E8" s="11" t="str">
        <f>IFERROR(__xludf.DUMMYFUNCTION("""COMPUTED_VALUE"""),"AI Marketing Agency in Dubai | Hovi Digital Lab")</f>
        <v>AI Marketing Agency in Dubai | Hovi Digital Lab</v>
      </c>
      <c r="F8" s="11" t="str">
        <f>IFERROR(__xludf.DUMMYFUNCTION("""COMPUTED_VALUE"""),"Product Page")</f>
        <v>Product Page</v>
      </c>
      <c r="G8" s="11" t="b">
        <f>IFERROR(__xludf.DUMMYFUNCTION("""COMPUTED_VALUE"""),FALSE)</f>
        <v>0</v>
      </c>
      <c r="H8" s="11" t="str">
        <f>IFERROR(__xludf.DUMMYFUNCTION("""COMPUTED_VALUE"""),"Hovi Digital Lab")</f>
        <v>Hovi Digital Lab</v>
      </c>
      <c r="I8" s="11">
        <f>IFERROR(__xludf.DUMMYFUNCTION("""COMPUTED_VALUE"""),25.0)</f>
        <v>25</v>
      </c>
      <c r="J8" s="11">
        <f>IFERROR(__xludf.DUMMYFUNCTION("""COMPUTED_VALUE"""),0.02)</f>
        <v>0.02</v>
      </c>
      <c r="K8" s="11">
        <f>IFERROR(__xludf.DUMMYFUNCTION("""COMPUTED_VALUE"""),1.4)</f>
        <v>1.4</v>
      </c>
    </row>
    <row r="9" ht="15.75" customHeight="1">
      <c r="A9" s="8" t="str">
        <f>IFERROR(__xludf.DUMMYFUNCTION("""COMPUTED_VALUE"""),"https://ensun.io/search/marketing-analytics/united-arab-emirates")</f>
        <v>https://ensun.io/search/marketing-analytics/united-arab-emirates</v>
      </c>
      <c r="B9" s="8" t="str">
        <f>IFERROR(__xludf.DUMMYFUNCTION("""COMPUTED_VALUE"""),"ensun.io")</f>
        <v>ensun.io</v>
      </c>
      <c r="C9" s="11" t="str">
        <f>IFERROR(__xludf.DUMMYFUNCTION("""COMPUTED_VALUE"""),"CATEGORY_PAGE")</f>
        <v>CATEGORY_PAGE</v>
      </c>
      <c r="D9" s="11" t="str">
        <f>IFERROR(__xludf.DUMMYFUNCTION("""COMPUTED_VALUE"""),"OTHER")</f>
        <v>OTHER</v>
      </c>
      <c r="E9" s="11" t="str">
        <f>IFERROR(__xludf.DUMMYFUNCTION("""COMPUTED_VALUE"""),"Top 100 Marketing Analytics Companies in United Arab Emirates (2026) \| ensun")</f>
        <v>Top 100 Marketing Analytics Companies in United Arab Emirates (2026) \| ensun</v>
      </c>
      <c r="F9" s="11" t="str">
        <f>IFERROR(__xludf.DUMMYFUNCTION("""COMPUTED_VALUE"""),"Category Page")</f>
        <v>Category Page</v>
      </c>
      <c r="G9" s="11" t="b">
        <f>IFERROR(__xludf.DUMMYFUNCTION("""COMPUTED_VALUE"""),FALSE)</f>
        <v>0</v>
      </c>
      <c r="H9" s="11"/>
      <c r="I9" s="11">
        <f>IFERROR(__xludf.DUMMYFUNCTION("""COMPUTED_VALUE"""),17.0)</f>
        <v>17</v>
      </c>
      <c r="J9" s="11">
        <f>IFERROR(__xludf.DUMMYFUNCTION("""COMPUTED_VALUE"""),0.02)</f>
        <v>0.02</v>
      </c>
      <c r="K9" s="11">
        <f>IFERROR(__xludf.DUMMYFUNCTION("""COMPUTED_VALUE"""),0.47)</f>
        <v>0.47</v>
      </c>
    </row>
    <row r="10" ht="15.75" customHeight="1">
      <c r="A10" s="8" t="str">
        <f>IFERROR(__xludf.DUMMYFUNCTION("""COMPUTED_VALUE"""),"https://mystrika.com/directory/agencies/top/data-analytics-in-country-united-arab-emirates")</f>
        <v>https://mystrika.com/directory/agencies/top/data-analytics-in-country-united-arab-emirates</v>
      </c>
      <c r="B10" s="8" t="str">
        <f>IFERROR(__xludf.DUMMYFUNCTION("""COMPUTED_VALUE"""),"mystrika.com")</f>
        <v>mystrika.com</v>
      </c>
      <c r="C10" s="11" t="str">
        <f>IFERROR(__xludf.DUMMYFUNCTION("""COMPUTED_VALUE"""),"OTHER")</f>
        <v>OTHER</v>
      </c>
      <c r="D10" s="11" t="str">
        <f>IFERROR(__xludf.DUMMYFUNCTION("""COMPUTED_VALUE"""),"OTHER")</f>
        <v>OTHER</v>
      </c>
      <c r="E10" s="11" t="str">
        <f>IFERROR(__xludf.DUMMYFUNCTION("""COMPUTED_VALUE"""),"Top Rated Data Analytics Agencies in United Arab Emirates - Directory - Mystrika | Stop Cold Emailing. Start Conversations")</f>
        <v>Top Rated Data Analytics Agencies in United Arab Emirates - Directory - Mystrika | Stop Cold Emailing. Start Conversations</v>
      </c>
      <c r="F10" s="11" t="str">
        <f>IFERROR(__xludf.DUMMYFUNCTION("""COMPUTED_VALUE"""),"Other")</f>
        <v>Other</v>
      </c>
      <c r="G10" s="11" t="b">
        <f>IFERROR(__xludf.DUMMYFUNCTION("""COMPUTED_VALUE"""),FALSE)</f>
        <v>0</v>
      </c>
      <c r="H10" s="11" t="str">
        <f>IFERROR(__xludf.DUMMYFUNCTION("""COMPUTED_VALUE"""),"Acquisit, Chain Reaction, Dot IT, Kleosa, DigitalFarm, SEO Sherpa, United SEO, Upscale Digital")</f>
        <v>Acquisit, Chain Reaction, Dot IT, Kleosa, DigitalFarm, SEO Sherpa, United SEO, Upscale Digital</v>
      </c>
      <c r="I10" s="11">
        <f>IFERROR(__xludf.DUMMYFUNCTION("""COMPUTED_VALUE"""),17.0)</f>
        <v>17</v>
      </c>
      <c r="J10" s="11">
        <f>IFERROR(__xludf.DUMMYFUNCTION("""COMPUTED_VALUE"""),0.02)</f>
        <v>0.02</v>
      </c>
      <c r="K10" s="11">
        <f>IFERROR(__xludf.DUMMYFUNCTION("""COMPUTED_VALUE"""),1.29)</f>
        <v>1.29</v>
      </c>
    </row>
    <row r="11" ht="15.75" customHeight="1">
      <c r="A11" s="8" t="str">
        <f>IFERROR(__xludf.DUMMYFUNCTION("""COMPUTED_VALUE"""),"https://www.prism-me.com/")</f>
        <v>https://www.prism-me.com/</v>
      </c>
      <c r="B11" s="8" t="str">
        <f>IFERROR(__xludf.DUMMYFUNCTION("""COMPUTED_VALUE"""),"prism-me.com")</f>
        <v>prism-me.com</v>
      </c>
      <c r="C11" s="11" t="str">
        <f>IFERROR(__xludf.DUMMYFUNCTION("""COMPUTED_VALUE"""),"HOMEPAGE")</f>
        <v>HOMEPAGE</v>
      </c>
      <c r="D11" s="11" t="str">
        <f>IFERROR(__xludf.DUMMYFUNCTION("""COMPUTED_VALUE"""),"OTHER")</f>
        <v>OTHER</v>
      </c>
      <c r="E11" s="11" t="str">
        <f>IFERROR(__xludf.DUMMYFUNCTION("""COMPUTED_VALUE"""),"Best Digital Marketing Agency in Dubai | Prism Digital")</f>
        <v>Best Digital Marketing Agency in Dubai | Prism Digital</v>
      </c>
      <c r="F11" s="11" t="str">
        <f>IFERROR(__xludf.DUMMYFUNCTION("""COMPUTED_VALUE"""),"Homepage")</f>
        <v>Homepage</v>
      </c>
      <c r="G11" s="11" t="b">
        <f>IFERROR(__xludf.DUMMYFUNCTION("""COMPUTED_VALUE"""),FALSE)</f>
        <v>0</v>
      </c>
      <c r="H11" s="11" t="str">
        <f>IFERROR(__xludf.DUMMYFUNCTION("""COMPUTED_VALUE"""),"intouch, Huge, Prism Digital, Push")</f>
        <v>intouch, Huge, Prism Digital, Push</v>
      </c>
      <c r="I11" s="11">
        <f>IFERROR(__xludf.DUMMYFUNCTION("""COMPUTED_VALUE"""),17.0)</f>
        <v>17</v>
      </c>
      <c r="J11" s="11">
        <f>IFERROR(__xludf.DUMMYFUNCTION("""COMPUTED_VALUE"""),0.02)</f>
        <v>0.02</v>
      </c>
      <c r="K11" s="11">
        <f>IFERROR(__xludf.DUMMYFUNCTION("""COMPUTED_VALUE"""),1.06)</f>
        <v>1.06</v>
      </c>
    </row>
    <row r="12" ht="15.75" customHeight="1">
      <c r="A12" s="8" t="str">
        <f>IFERROR(__xludf.DUMMYFUNCTION("""COMPUTED_VALUE"""),"https://oski.site/blog/ai-consulting-companies-uae/")</f>
        <v>https://oski.site/blog/ai-consulting-companies-uae/</v>
      </c>
      <c r="B12" s="11" t="str">
        <f>IFERROR(__xludf.DUMMYFUNCTION("""COMPUTED_VALUE"""),"oski.site")</f>
        <v>oski.site</v>
      </c>
      <c r="C12" s="11" t="str">
        <f>IFERROR(__xludf.DUMMYFUNCTION("""COMPUTED_VALUE"""),"LISTICLE")</f>
        <v>LISTICLE</v>
      </c>
      <c r="D12" s="11" t="str">
        <f>IFERROR(__xludf.DUMMYFUNCTION("""COMPUTED_VALUE"""),"OTHER")</f>
        <v>OTHER</v>
      </c>
      <c r="E12" s="11" t="str">
        <f>IFERROR(__xludf.DUMMYFUNCTION("""COMPUTED_VALUE"""),"Top AI Consulting Companies in the United Arab Emirates")</f>
        <v>Top AI Consulting Companies in the United Arab Emirates</v>
      </c>
      <c r="F12" s="11" t="str">
        <f>IFERROR(__xludf.DUMMYFUNCTION("""COMPUTED_VALUE"""),"Listicle")</f>
        <v>Listicle</v>
      </c>
      <c r="G12" s="11" t="b">
        <f>IFERROR(__xludf.DUMMYFUNCTION("""COMPUTED_VALUE"""),FALSE)</f>
        <v>0</v>
      </c>
      <c r="H12" s="11" t="str">
        <f>IFERROR(__xludf.DUMMYFUNCTION("""COMPUTED_VALUE"""),"intouch")</f>
        <v>intouch</v>
      </c>
      <c r="I12" s="11">
        <f>IFERROR(__xludf.DUMMYFUNCTION("""COMPUTED_VALUE"""),15.0)</f>
        <v>15</v>
      </c>
      <c r="J12" s="11">
        <f>IFERROR(__xludf.DUMMYFUNCTION("""COMPUTED_VALUE"""),0.01)</f>
        <v>0.01</v>
      </c>
      <c r="K12" s="11">
        <f>IFERROR(__xludf.DUMMYFUNCTION("""COMPUTED_VALUE"""),0.2)</f>
        <v>0.2</v>
      </c>
    </row>
    <row r="13" ht="15.75" customHeight="1">
      <c r="A13" s="8" t="str">
        <f>IFERROR(__xludf.DUMMYFUNCTION("""COMPUTED_VALUE"""),"https://www.amraandelma.com/marketing-agencies-in-the-united-arab-emirates/")</f>
        <v>https://www.amraandelma.com/marketing-agencies-in-the-united-arab-emirates/</v>
      </c>
      <c r="B13" s="8" t="str">
        <f>IFERROR(__xludf.DUMMYFUNCTION("""COMPUTED_VALUE"""),"amraandelma.com")</f>
        <v>amraandelma.com</v>
      </c>
      <c r="C13" s="11" t="str">
        <f>IFERROR(__xludf.DUMMYFUNCTION("""COMPUTED_VALUE"""),"LISTICLE")</f>
        <v>LISTICLE</v>
      </c>
      <c r="D13" s="11" t="str">
        <f>IFERROR(__xludf.DUMMYFUNCTION("""COMPUTED_VALUE"""),"OTHER")</f>
        <v>OTHER</v>
      </c>
      <c r="E13" s="11" t="str">
        <f>IFERROR(__xludf.DUMMYFUNCTION("""COMPUTED_VALUE"""),"10 TOP MARKETING AGENCIES IN THE UNITED ARAB EMIRATES DOMINATING BRANDS IN 2026")</f>
        <v>10 TOP MARKETING AGENCIES IN THE UNITED ARAB EMIRATES DOMINATING BRANDS IN 2026</v>
      </c>
      <c r="F13" s="11" t="str">
        <f>IFERROR(__xludf.DUMMYFUNCTION("""COMPUTED_VALUE"""),"Listicle")</f>
        <v>Listicle</v>
      </c>
      <c r="G13" s="11" t="b">
        <f>IFERROR(__xludf.DUMMYFUNCTION("""COMPUTED_VALUE"""),FALSE)</f>
        <v>0</v>
      </c>
      <c r="H13" s="11" t="str">
        <f>IFERROR(__xludf.DUMMYFUNCTION("""COMPUTED_VALUE"""),"Push, Momentum, GLMA Agency, Chain Reaction, Adapts Media, Deloitte Digital")</f>
        <v>Push, Momentum, GLMA Agency, Chain Reaction, Adapts Media, Deloitte Digital</v>
      </c>
      <c r="I13" s="11">
        <f>IFERROR(__xludf.DUMMYFUNCTION("""COMPUTED_VALUE"""),13.0)</f>
        <v>13</v>
      </c>
      <c r="J13" s="11">
        <f>IFERROR(__xludf.DUMMYFUNCTION("""COMPUTED_VALUE"""),0.01)</f>
        <v>0.01</v>
      </c>
      <c r="K13" s="11">
        <f>IFERROR(__xludf.DUMMYFUNCTION("""COMPUTED_VALUE"""),1.31)</f>
        <v>1.31</v>
      </c>
    </row>
    <row r="14" ht="15.75" customHeight="1">
      <c r="A14" s="8" t="str">
        <f>IFERROR(__xludf.DUMMYFUNCTION("""COMPUTED_VALUE"""),"https://www.morismedia.in/united-arab-emirates-top-10-llm-ai-search-optimization-agency-for-corporate-consulting-in-2026")</f>
        <v>https://www.morismedia.in/united-arab-emirates-top-10-llm-ai-search-optimization-agency-for-corporate-consulting-in-2026</v>
      </c>
      <c r="B14" s="8" t="str">
        <f>IFERROR(__xludf.DUMMYFUNCTION("""COMPUTED_VALUE"""),"morismedia.in")</f>
        <v>morismedia.in</v>
      </c>
      <c r="C14" s="11" t="str">
        <f>IFERROR(__xludf.DUMMYFUNCTION("""COMPUTED_VALUE"""),"LISTICLE")</f>
        <v>LISTICLE</v>
      </c>
      <c r="D14" s="11" t="str">
        <f>IFERROR(__xludf.DUMMYFUNCTION("""COMPUTED_VALUE"""),"OTHER")</f>
        <v>OTHER</v>
      </c>
      <c r="E14" s="11" t="str">
        <f>IFERROR(__xludf.DUMMYFUNCTION("""COMPUTED_VALUE"""),"Top 10 LLM &amp;amp; AI Search Optimization Agencies in United Arab Emirates 2026")</f>
        <v>Top 10 LLM &amp;amp; AI Search Optimization Agencies in United Arab Emirates 2026</v>
      </c>
      <c r="F14" s="11" t="str">
        <f>IFERROR(__xludf.DUMMYFUNCTION("""COMPUTED_VALUE"""),"Listicle")</f>
        <v>Listicle</v>
      </c>
      <c r="G14" s="11" t="b">
        <f>IFERROR(__xludf.DUMMYFUNCTION("""COMPUTED_VALUE"""),FALSE)</f>
        <v>0</v>
      </c>
      <c r="H14" s="11" t="str">
        <f>IFERROR(__xludf.DUMMYFUNCTION("""COMPUTED_VALUE"""),"Measured, NEXA, Chain Reaction, Bruce Clay MENA, SEO Sherpa, United SEO, Red Berries, EDS FZCO")</f>
        <v>Measured, NEXA, Chain Reaction, Bruce Clay MENA, SEO Sherpa, United SEO, Red Berries, EDS FZCO</v>
      </c>
      <c r="I14" s="11">
        <f>IFERROR(__xludf.DUMMYFUNCTION("""COMPUTED_VALUE"""),13.0)</f>
        <v>13</v>
      </c>
      <c r="J14" s="11">
        <f>IFERROR(__xludf.DUMMYFUNCTION("""COMPUTED_VALUE"""),0.01)</f>
        <v>0.01</v>
      </c>
      <c r="K14" s="11">
        <f>IFERROR(__xludf.DUMMYFUNCTION("""COMPUTED_VALUE"""),0.0)</f>
        <v>0</v>
      </c>
    </row>
    <row r="15" ht="15.75" customHeight="1">
      <c r="A15" s="8" t="str">
        <f>IFERROR(__xludf.DUMMYFUNCTION("""COMPUTED_VALUE"""),"https://support.google.com/analytics/answer/7237700?hl=en")</f>
        <v>https://support.google.com/analytics/answer/7237700?hl=en</v>
      </c>
      <c r="B15" s="8" t="str">
        <f>IFERROR(__xludf.DUMMYFUNCTION("""COMPUTED_VALUE"""),"google.com")</f>
        <v>google.com</v>
      </c>
      <c r="C15" s="11" t="str">
        <f>IFERROR(__xludf.DUMMYFUNCTION("""COMPUTED_VALUE"""),"OTHER")</f>
        <v>OTHER</v>
      </c>
      <c r="D15" s="11" t="str">
        <f>IFERROR(__xludf.DUMMYFUNCTION("""COMPUTED_VALUE"""),"OTHER")</f>
        <v>OTHER</v>
      </c>
      <c r="E15" s="11" t="str">
        <f>IFERROR(__xludf.DUMMYFUNCTION("""COMPUTED_VALUE"""),"Google Marketing Platform Partners - Analytics Help")</f>
        <v>Google Marketing Platform Partners - Analytics Help</v>
      </c>
      <c r="F15" s="11" t="str">
        <f>IFERROR(__xludf.DUMMYFUNCTION("""COMPUTED_VALUE"""),"Other")</f>
        <v>Other</v>
      </c>
      <c r="G15" s="11" t="b">
        <f>IFERROR(__xludf.DUMMYFUNCTION("""COMPUTED_VALUE"""),FALSE)</f>
        <v>0</v>
      </c>
      <c r="H15" s="11"/>
      <c r="I15" s="11">
        <f>IFERROR(__xludf.DUMMYFUNCTION("""COMPUTED_VALUE"""),11.0)</f>
        <v>11</v>
      </c>
      <c r="J15" s="11">
        <f>IFERROR(__xludf.DUMMYFUNCTION("""COMPUTED_VALUE"""),0.01)</f>
        <v>0.01</v>
      </c>
      <c r="K15" s="11">
        <f>IFERROR(__xludf.DUMMYFUNCTION("""COMPUTED_VALUE"""),2.18)</f>
        <v>2.18</v>
      </c>
    </row>
    <row r="16" ht="15.75" customHeight="1">
      <c r="A16" s="8" t="str">
        <f>IFERROR(__xludf.DUMMYFUNCTION("""COMPUTED_VALUE"""),"https://www.google.com/ads/publisher/partners/find-a-partner/")</f>
        <v>https://www.google.com/ads/publisher/partners/find-a-partner/</v>
      </c>
      <c r="B16" s="8" t="str">
        <f>IFERROR(__xludf.DUMMYFUNCTION("""COMPUTED_VALUE"""),"google.com")</f>
        <v>google.com</v>
      </c>
      <c r="C16" s="11" t="str">
        <f>IFERROR(__xludf.DUMMYFUNCTION("""COMPUTED_VALUE"""),"CATEGORY_PAGE")</f>
        <v>CATEGORY_PAGE</v>
      </c>
      <c r="D16" s="11" t="str">
        <f>IFERROR(__xludf.DUMMYFUNCTION("""COMPUTED_VALUE"""),"OTHER")</f>
        <v>OTHER</v>
      </c>
      <c r="E16" s="11" t="str">
        <f>IFERROR(__xludf.DUMMYFUNCTION("""COMPUTED_VALUE"""),"Find a Publishing Partner \| Certified Publishing Partner – Google")</f>
        <v>Find a Publishing Partner \| Certified Publishing Partner – Google</v>
      </c>
      <c r="F16" s="11" t="str">
        <f>IFERROR(__xludf.DUMMYFUNCTION("""COMPUTED_VALUE"""),"Category Page")</f>
        <v>Category Page</v>
      </c>
      <c r="G16" s="11" t="b">
        <f>IFERROR(__xludf.DUMMYFUNCTION("""COMPUTED_VALUE"""),FALSE)</f>
        <v>0</v>
      </c>
      <c r="H16" s="11"/>
      <c r="I16" s="11">
        <f>IFERROR(__xludf.DUMMYFUNCTION("""COMPUTED_VALUE"""),9.0)</f>
        <v>9</v>
      </c>
      <c r="J16" s="11">
        <f>IFERROR(__xludf.DUMMYFUNCTION("""COMPUTED_VALUE"""),0.01)</f>
        <v>0.01</v>
      </c>
      <c r="K16" s="11">
        <f>IFERROR(__xludf.DUMMYFUNCTION("""COMPUTED_VALUE"""),0.0)</f>
        <v>0</v>
      </c>
    </row>
    <row r="17" ht="15.75" customHeight="1">
      <c r="A17" s="8" t="str">
        <f>IFERROR(__xludf.DUMMYFUNCTION("""COMPUTED_VALUE"""),"https://www.google.com/intl/en_GB/ads/publisher/partners/find-a-partner/")</f>
        <v>https://www.google.com/intl/en_GB/ads/publisher/partners/find-a-partner/</v>
      </c>
      <c r="B17" s="8" t="str">
        <f>IFERROR(__xludf.DUMMYFUNCTION("""COMPUTED_VALUE"""),"google.com")</f>
        <v>google.com</v>
      </c>
      <c r="C17" s="11" t="str">
        <f>IFERROR(__xludf.DUMMYFUNCTION("""COMPUTED_VALUE"""),"PROFILE")</f>
        <v>PROFILE</v>
      </c>
      <c r="D17" s="11" t="str">
        <f>IFERROR(__xludf.DUMMYFUNCTION("""COMPUTED_VALUE"""),"OTHER")</f>
        <v>OTHER</v>
      </c>
      <c r="E17" s="11" t="str">
        <f>IFERROR(__xludf.DUMMYFUNCTION("""COMPUTED_VALUE"""),"Find a Publishing Partner")</f>
        <v>Find a Publishing Partner</v>
      </c>
      <c r="F17" s="11" t="str">
        <f>IFERROR(__xludf.DUMMYFUNCTION("""COMPUTED_VALUE"""),"Profile")</f>
        <v>Profile</v>
      </c>
      <c r="G17" s="11" t="b">
        <f>IFERROR(__xludf.DUMMYFUNCTION("""COMPUTED_VALUE"""),FALSE)</f>
        <v>0</v>
      </c>
      <c r="H17" s="11"/>
      <c r="I17" s="11">
        <f>IFERROR(__xludf.DUMMYFUNCTION("""COMPUTED_VALUE"""),9.0)</f>
        <v>9</v>
      </c>
      <c r="J17" s="11">
        <f>IFERROR(__xludf.DUMMYFUNCTION("""COMPUTED_VALUE"""),0.01)</f>
        <v>0.01</v>
      </c>
      <c r="K17" s="11">
        <f>IFERROR(__xludf.DUMMYFUNCTION("""COMPUTED_VALUE"""),0.0)</f>
        <v>0</v>
      </c>
    </row>
    <row r="18" ht="15.75" customHeight="1">
      <c r="A18" s="8" t="str">
        <f>IFERROR(__xludf.DUMMYFUNCTION("""COMPUTED_VALUE"""),"https://ensun.io/search/geospatial-gis/united-arab-emirates")</f>
        <v>https://ensun.io/search/geospatial-gis/united-arab-emirates</v>
      </c>
      <c r="B18" s="8" t="str">
        <f>IFERROR(__xludf.DUMMYFUNCTION("""COMPUTED_VALUE"""),"ensun.io")</f>
        <v>ensun.io</v>
      </c>
      <c r="C18" s="11" t="str">
        <f>IFERROR(__xludf.DUMMYFUNCTION("""COMPUTED_VALUE"""),"CATEGORY_PAGE")</f>
        <v>CATEGORY_PAGE</v>
      </c>
      <c r="D18" s="11" t="str">
        <f>IFERROR(__xludf.DUMMYFUNCTION("""COMPUTED_VALUE"""),"OTHER")</f>
        <v>OTHER</v>
      </c>
      <c r="E18" s="11" t="str">
        <f>IFERROR(__xludf.DUMMYFUNCTION("""COMPUTED_VALUE"""),"Top 94 Geospatial (Gis) Companies in United Arab Emirates (2026) \| ensun")</f>
        <v>Top 94 Geospatial (Gis) Companies in United Arab Emirates (2026) \| ensun</v>
      </c>
      <c r="F18" s="11" t="str">
        <f>IFERROR(__xludf.DUMMYFUNCTION("""COMPUTED_VALUE"""),"Category Page")</f>
        <v>Category Page</v>
      </c>
      <c r="G18" s="11" t="b">
        <f>IFERROR(__xludf.DUMMYFUNCTION("""COMPUTED_VALUE"""),FALSE)</f>
        <v>0</v>
      </c>
      <c r="H18" s="11"/>
      <c r="I18" s="11">
        <f>IFERROR(__xludf.DUMMYFUNCTION("""COMPUTED_VALUE"""),8.0)</f>
        <v>8</v>
      </c>
      <c r="J18" s="11">
        <f>IFERROR(__xludf.DUMMYFUNCTION("""COMPUTED_VALUE"""),0.01)</f>
        <v>0.01</v>
      </c>
      <c r="K18" s="11">
        <f>IFERROR(__xludf.DUMMYFUNCTION("""COMPUTED_VALUE"""),0.13)</f>
        <v>0.13</v>
      </c>
    </row>
    <row r="19" ht="15.75" customHeight="1">
      <c r="A19" s="8" t="str">
        <f>IFERROR(__xludf.DUMMYFUNCTION("""COMPUTED_VALUE"""),"https://www.google.com/partners/")</f>
        <v>https://www.google.com/partners/</v>
      </c>
      <c r="B19" s="8" t="str">
        <f>IFERROR(__xludf.DUMMYFUNCTION("""COMPUTED_VALUE"""),"google.com")</f>
        <v>google.com</v>
      </c>
      <c r="C19" s="11" t="str">
        <f>IFERROR(__xludf.DUMMYFUNCTION("""COMPUTED_VALUE"""),"OTHER")</f>
        <v>OTHER</v>
      </c>
      <c r="D19" s="11" t="str">
        <f>IFERROR(__xludf.DUMMYFUNCTION("""COMPUTED_VALUE"""),"OTHER")</f>
        <v>OTHER</v>
      </c>
      <c r="E19" s="11"/>
      <c r="F19" s="11" t="str">
        <f>IFERROR(__xludf.DUMMYFUNCTION("""COMPUTED_VALUE"""),"Other")</f>
        <v>Other</v>
      </c>
      <c r="G19" s="11"/>
      <c r="H19" s="11" t="str">
        <f>IFERROR(__xludf.DUMMYFUNCTION("""COMPUTED_VALUE"""),"Unknown")</f>
        <v>Unknown</v>
      </c>
      <c r="I19" s="11">
        <f>IFERROR(__xludf.DUMMYFUNCTION("""COMPUTED_VALUE"""),7.0)</f>
        <v>7</v>
      </c>
      <c r="J19" s="11">
        <f>IFERROR(__xludf.DUMMYFUNCTION("""COMPUTED_VALUE"""),0.01)</f>
        <v>0.01</v>
      </c>
      <c r="K19" s="11">
        <f>IFERROR(__xludf.DUMMYFUNCTION("""COMPUTED_VALUE"""),0.0)</f>
        <v>0</v>
      </c>
    </row>
    <row r="20" ht="15.75" customHeight="1">
      <c r="A20" s="8" t="str">
        <f>IFERROR(__xludf.DUMMYFUNCTION("""COMPUTED_VALUE"""),"https://support.google.com/tagmanager/answer/7237700?hl=en-GB")</f>
        <v>https://support.google.com/tagmanager/answer/7237700?hl=en-GB</v>
      </c>
      <c r="B20" s="8" t="str">
        <f>IFERROR(__xludf.DUMMYFUNCTION("""COMPUTED_VALUE"""),"google.com")</f>
        <v>google.com</v>
      </c>
      <c r="C20" s="11" t="str">
        <f>IFERROR(__xludf.DUMMYFUNCTION("""COMPUTED_VALUE"""),"OTHER")</f>
        <v>OTHER</v>
      </c>
      <c r="D20" s="11" t="str">
        <f>IFERROR(__xludf.DUMMYFUNCTION("""COMPUTED_VALUE"""),"OTHER")</f>
        <v>OTHER</v>
      </c>
      <c r="E20" s="11" t="str">
        <f>IFERROR(__xludf.DUMMYFUNCTION("""COMPUTED_VALUE"""),"Google Marketing Platform Partners - Tag Manager Help")</f>
        <v>Google Marketing Platform Partners - Tag Manager Help</v>
      </c>
      <c r="F20" s="11" t="str">
        <f>IFERROR(__xludf.DUMMYFUNCTION("""COMPUTED_VALUE"""),"Other")</f>
        <v>Other</v>
      </c>
      <c r="G20" s="11" t="b">
        <f>IFERROR(__xludf.DUMMYFUNCTION("""COMPUTED_VALUE"""),FALSE)</f>
        <v>0</v>
      </c>
      <c r="H20" s="11"/>
      <c r="I20" s="11">
        <f>IFERROR(__xludf.DUMMYFUNCTION("""COMPUTED_VALUE"""),7.0)</f>
        <v>7</v>
      </c>
      <c r="J20" s="11">
        <f>IFERROR(__xludf.DUMMYFUNCTION("""COMPUTED_VALUE"""),0.01)</f>
        <v>0.01</v>
      </c>
      <c r="K20" s="11">
        <f>IFERROR(__xludf.DUMMYFUNCTION("""COMPUTED_VALUE"""),0.0)</f>
        <v>0</v>
      </c>
    </row>
    <row r="21" ht="15.75" customHeight="1">
      <c r="A21" s="8" t="str">
        <f>IFERROR(__xludf.DUMMYFUNCTION("""COMPUTED_VALUE"""),"https://digitalmediasapiens.com/top-10-digital-agencies-in-dubai/")</f>
        <v>https://digitalmediasapiens.com/top-10-digital-agencies-in-dubai/</v>
      </c>
      <c r="B21" s="8" t="str">
        <f>IFERROR(__xludf.DUMMYFUNCTION("""COMPUTED_VALUE"""),"digitalmediasapiens.com")</f>
        <v>digitalmediasapiens.com</v>
      </c>
      <c r="C21" s="11" t="str">
        <f>IFERROR(__xludf.DUMMYFUNCTION("""COMPUTED_VALUE"""),"LISTICLE")</f>
        <v>LISTICLE</v>
      </c>
      <c r="D21" s="11" t="str">
        <f>IFERROR(__xludf.DUMMYFUNCTION("""COMPUTED_VALUE"""),"OTHER")</f>
        <v>OTHER</v>
      </c>
      <c r="E21" s="11" t="str">
        <f>IFERROR(__xludf.DUMMYFUNCTION("""COMPUTED_VALUE"""),"Top 10 AI Digital Marketing &amp;amp; SEO Agencies in Dubai (2026 Guide)")</f>
        <v>Top 10 AI Digital Marketing &amp;amp; SEO Agencies in Dubai (2026 Guide)</v>
      </c>
      <c r="F21" s="11" t="str">
        <f>IFERROR(__xludf.DUMMYFUNCTION("""COMPUTED_VALUE"""),"Listicle")</f>
        <v>Listicle</v>
      </c>
      <c r="G21" s="11" t="b">
        <f>IFERROR(__xludf.DUMMYFUNCTION("""COMPUTED_VALUE"""),FALSE)</f>
        <v>0</v>
      </c>
      <c r="H21" s="11" t="str">
        <f>IFERROR(__xludf.DUMMYFUNCTION("""COMPUTED_VALUE"""),"Digital Media Sapiens, Red Berries, Bruce Clay MENA, NEXA")</f>
        <v>Digital Media Sapiens, Red Berries, Bruce Clay MENA, NEXA</v>
      </c>
      <c r="I21" s="11">
        <f>IFERROR(__xludf.DUMMYFUNCTION("""COMPUTED_VALUE"""),6.0)</f>
        <v>6</v>
      </c>
      <c r="J21" s="11">
        <f>IFERROR(__xludf.DUMMYFUNCTION("""COMPUTED_VALUE"""),0.01)</f>
        <v>0.01</v>
      </c>
      <c r="K21" s="11">
        <f>IFERROR(__xludf.DUMMYFUNCTION("""COMPUTED_VALUE"""),2.17)</f>
        <v>2.17</v>
      </c>
    </row>
    <row r="22" ht="15.75" customHeight="1">
      <c r="A22" s="8" t="str">
        <f>IFERROR(__xludf.DUMMYFUNCTION("""COMPUTED_VALUE"""),"https://www.morismedia.in/united-arab-emirates-top-10-performance-marketing-agency-for-marketing-advertising-in-2026")</f>
        <v>https://www.morismedia.in/united-arab-emirates-top-10-performance-marketing-agency-for-marketing-advertising-in-2026</v>
      </c>
      <c r="B22" s="8" t="str">
        <f>IFERROR(__xludf.DUMMYFUNCTION("""COMPUTED_VALUE"""),"morismedia.in")</f>
        <v>morismedia.in</v>
      </c>
      <c r="C22" s="11" t="str">
        <f>IFERROR(__xludf.DUMMYFUNCTION("""COMPUTED_VALUE"""),"OTHER")</f>
        <v>OTHER</v>
      </c>
      <c r="D22" s="11" t="str">
        <f>IFERROR(__xludf.DUMMYFUNCTION("""COMPUTED_VALUE"""),"OTHER")</f>
        <v>OTHER</v>
      </c>
      <c r="E22" s="11" t="str">
        <f>IFERROR(__xludf.DUMMYFUNCTION("""COMPUTED_VALUE"""),"Top 10 Performance Marketing Agencies in United Arab Emirates 2026")</f>
        <v>Top 10 Performance Marketing Agencies in United Arab Emirates 2026</v>
      </c>
      <c r="F22" s="11" t="str">
        <f>IFERROR(__xludf.DUMMYFUNCTION("""COMPUTED_VALUE"""),"Other")</f>
        <v>Other</v>
      </c>
      <c r="G22" s="11" t="b">
        <f>IFERROR(__xludf.DUMMYFUNCTION("""COMPUTED_VALUE"""),FALSE)</f>
        <v>0</v>
      </c>
      <c r="H22" s="11" t="str">
        <f>IFERROR(__xludf.DUMMYFUNCTION("""COMPUTED_VALUE"""),"Mindshare, OMD, VML, Dentsu, Publicis Media, Measured")</f>
        <v>Mindshare, OMD, VML, Dentsu, Publicis Media, Measured</v>
      </c>
      <c r="I22" s="11">
        <f>IFERROR(__xludf.DUMMYFUNCTION("""COMPUTED_VALUE"""),6.0)</f>
        <v>6</v>
      </c>
      <c r="J22" s="11">
        <f>IFERROR(__xludf.DUMMYFUNCTION("""COMPUTED_VALUE"""),0.01)</f>
        <v>0.01</v>
      </c>
      <c r="K22" s="11">
        <f>IFERROR(__xludf.DUMMYFUNCTION("""COMPUTED_VALUE"""),0.83)</f>
        <v>0.83</v>
      </c>
    </row>
    <row r="23" ht="15.75" customHeight="1">
      <c r="A23" s="8" t="str">
        <f>IFERROR(__xludf.DUMMYFUNCTION("""COMPUTED_VALUE"""),"https://marketingplatform.google.com/about/contact-us/")</f>
        <v>https://marketingplatform.google.com/about/contact-us/</v>
      </c>
      <c r="B23" s="8" t="str">
        <f>IFERROR(__xludf.DUMMYFUNCTION("""COMPUTED_VALUE"""),"google.com")</f>
        <v>google.com</v>
      </c>
      <c r="C23" s="11" t="str">
        <f>IFERROR(__xludf.DUMMYFUNCTION("""COMPUTED_VALUE"""),"OTHER")</f>
        <v>OTHER</v>
      </c>
      <c r="D23" s="11" t="str">
        <f>IFERROR(__xludf.DUMMYFUNCTION("""COMPUTED_VALUE"""),"OTHER")</f>
        <v>OTHER</v>
      </c>
      <c r="E23" s="11"/>
      <c r="F23" s="11" t="str">
        <f>IFERROR(__xludf.DUMMYFUNCTION("""COMPUTED_VALUE"""),"Other")</f>
        <v>Other</v>
      </c>
      <c r="G23" s="11"/>
      <c r="H23" s="11" t="str">
        <f>IFERROR(__xludf.DUMMYFUNCTION("""COMPUTED_VALUE"""),"Unknown")</f>
        <v>Unknown</v>
      </c>
      <c r="I23" s="11">
        <f>IFERROR(__xludf.DUMMYFUNCTION("""COMPUTED_VALUE"""),5.0)</f>
        <v>5</v>
      </c>
      <c r="J23" s="11">
        <f>IFERROR(__xludf.DUMMYFUNCTION("""COMPUTED_VALUE"""),0.0)</f>
        <v>0</v>
      </c>
      <c r="K23" s="11">
        <f>IFERROR(__xludf.DUMMYFUNCTION("""COMPUTED_VALUE"""),0.2)</f>
        <v>0.2</v>
      </c>
    </row>
    <row r="24" ht="15.75" customHeight="1">
      <c r="A24" s="8" t="str">
        <f>IFERROR(__xludf.DUMMYFUNCTION("""COMPUTED_VALUE"""),"https://marketingplatform.google.com/about/partners/?authuser=1")</f>
        <v>https://marketingplatform.google.com/about/partners/?authuser=1</v>
      </c>
      <c r="B24" s="8" t="str">
        <f>IFERROR(__xludf.DUMMYFUNCTION("""COMPUTED_VALUE"""),"google.com")</f>
        <v>google.com</v>
      </c>
      <c r="C24" s="11" t="str">
        <f>IFERROR(__xludf.DUMMYFUNCTION("""COMPUTED_VALUE"""),"CATEGORY_PAGE")</f>
        <v>CATEGORY_PAGE</v>
      </c>
      <c r="D24" s="11" t="str">
        <f>IFERROR(__xludf.DUMMYFUNCTION("""COMPUTED_VALUE"""),"OTHER")</f>
        <v>OTHER</v>
      </c>
      <c r="E24" s="11" t="str">
        <f>IFERROR(__xludf.DUMMYFUNCTION("""COMPUTED_VALUE"""),"Meet Your New Marketing Partner - Google Marketing Platform Partners")</f>
        <v>Meet Your New Marketing Partner - Google Marketing Platform Partners</v>
      </c>
      <c r="F24" s="11" t="str">
        <f>IFERROR(__xludf.DUMMYFUNCTION("""COMPUTED_VALUE"""),"Category Page")</f>
        <v>Category Page</v>
      </c>
      <c r="G24" s="11" t="b">
        <f>IFERROR(__xludf.DUMMYFUNCTION("""COMPUTED_VALUE"""),FALSE)</f>
        <v>0</v>
      </c>
      <c r="H24" s="11"/>
      <c r="I24" s="11">
        <f>IFERROR(__xludf.DUMMYFUNCTION("""COMPUTED_VALUE"""),5.0)</f>
        <v>5</v>
      </c>
      <c r="J24" s="11">
        <f>IFERROR(__xludf.DUMMYFUNCTION("""COMPUTED_VALUE"""),0.0)</f>
        <v>0</v>
      </c>
      <c r="K24" s="11">
        <f>IFERROR(__xludf.DUMMYFUNCTION("""COMPUTED_VALUE"""),0.6)</f>
        <v>0.6</v>
      </c>
    </row>
    <row r="25" ht="15.75" customHeight="1">
      <c r="A25" s="8" t="str">
        <f>IFERROR(__xludf.DUMMYFUNCTION("""COMPUTED_VALUE"""),"https://marketingplatform.google.com/intl/en_uk/about/")</f>
        <v>https://marketingplatform.google.com/intl/en_uk/about/</v>
      </c>
      <c r="B25" s="8" t="str">
        <f>IFERROR(__xludf.DUMMYFUNCTION("""COMPUTED_VALUE"""),"google.com")</f>
        <v>google.com</v>
      </c>
      <c r="C25" s="11" t="str">
        <f>IFERROR(__xludf.DUMMYFUNCTION("""COMPUTED_VALUE"""),"PRODUCT_PAGE")</f>
        <v>PRODUCT_PAGE</v>
      </c>
      <c r="D25" s="11" t="str">
        <f>IFERROR(__xludf.DUMMYFUNCTION("""COMPUTED_VALUE"""),"OTHER")</f>
        <v>OTHER</v>
      </c>
      <c r="E25" s="11" t="str">
        <f>IFERROR(__xludf.DUMMYFUNCTION("""COMPUTED_VALUE"""),"Google Marketing Platform – Unified Advertising and Analytics")</f>
        <v>Google Marketing Platform – Unified Advertising and Analytics</v>
      </c>
      <c r="F25" s="11" t="str">
        <f>IFERROR(__xludf.DUMMYFUNCTION("""COMPUTED_VALUE"""),"Product Page")</f>
        <v>Product Page</v>
      </c>
      <c r="G25" s="11" t="b">
        <f>IFERROR(__xludf.DUMMYFUNCTION("""COMPUTED_VALUE"""),FALSE)</f>
        <v>0</v>
      </c>
      <c r="H25" s="11"/>
      <c r="I25" s="11">
        <f>IFERROR(__xludf.DUMMYFUNCTION("""COMPUTED_VALUE"""),5.0)</f>
        <v>5</v>
      </c>
      <c r="J25" s="11">
        <f>IFERROR(__xludf.DUMMYFUNCTION("""COMPUTED_VALUE"""),0.0)</f>
        <v>0</v>
      </c>
      <c r="K25" s="11">
        <f>IFERROR(__xludf.DUMMYFUNCTION("""COMPUTED_VALUE"""),0.0)</f>
        <v>0</v>
      </c>
    </row>
    <row r="26" ht="15.75" customHeight="1">
      <c r="A26" s="8" t="str">
        <f>IFERROR(__xludf.DUMMYFUNCTION("""COMPUTED_VALUE"""),"https://support.google.com/analytics/answer/7237700?hl=en-AU")</f>
        <v>https://support.google.com/analytics/answer/7237700?hl=en-AU</v>
      </c>
      <c r="B26" s="8" t="str">
        <f>IFERROR(__xludf.DUMMYFUNCTION("""COMPUTED_VALUE"""),"google.com")</f>
        <v>google.com</v>
      </c>
      <c r="C26" s="11" t="str">
        <f>IFERROR(__xludf.DUMMYFUNCTION("""COMPUTED_VALUE"""),"OTHER")</f>
        <v>OTHER</v>
      </c>
      <c r="D26" s="11" t="str">
        <f>IFERROR(__xludf.DUMMYFUNCTION("""COMPUTED_VALUE"""),"OTHER")</f>
        <v>OTHER</v>
      </c>
      <c r="E26" s="11" t="str">
        <f>IFERROR(__xludf.DUMMYFUNCTION("""COMPUTED_VALUE"""),"Google Marketing Platform Partners - Analytics Help")</f>
        <v>Google Marketing Platform Partners - Analytics Help</v>
      </c>
      <c r="F26" s="11" t="str">
        <f>IFERROR(__xludf.DUMMYFUNCTION("""COMPUTED_VALUE"""),"Other")</f>
        <v>Other</v>
      </c>
      <c r="G26" s="11" t="b">
        <f>IFERROR(__xludf.DUMMYFUNCTION("""COMPUTED_VALUE"""),FALSE)</f>
        <v>0</v>
      </c>
      <c r="H26" s="11"/>
      <c r="I26" s="11">
        <f>IFERROR(__xludf.DUMMYFUNCTION("""COMPUTED_VALUE"""),5.0)</f>
        <v>5</v>
      </c>
      <c r="J26" s="11">
        <f>IFERROR(__xludf.DUMMYFUNCTION("""COMPUTED_VALUE"""),0.0)</f>
        <v>0</v>
      </c>
      <c r="K26" s="11">
        <f>IFERROR(__xludf.DUMMYFUNCTION("""COMPUTED_VALUE"""),0.4)</f>
        <v>0.4</v>
      </c>
    </row>
    <row r="27" ht="15.75" customHeight="1">
      <c r="A27" s="8" t="str">
        <f>IFERROR(__xludf.DUMMYFUNCTION("""COMPUTED_VALUE"""),"https://business.google.com/us/think/measurement/incrementality-testing/")</f>
        <v>https://business.google.com/us/think/measurement/incrementality-testing/</v>
      </c>
      <c r="B27" s="8" t="str">
        <f>IFERROR(__xludf.DUMMYFUNCTION("""COMPUTED_VALUE"""),"google.com")</f>
        <v>google.com</v>
      </c>
      <c r="C27" s="11" t="str">
        <f>IFERROR(__xludf.DUMMYFUNCTION("""COMPUTED_VALUE"""),"ARTICLE")</f>
        <v>ARTICLE</v>
      </c>
      <c r="D27" s="11" t="str">
        <f>IFERROR(__xludf.DUMMYFUNCTION("""COMPUTED_VALUE"""),"OTHER")</f>
        <v>OTHER</v>
      </c>
      <c r="E27" s="11" t="str">
        <f>IFERROR(__xludf.DUMMYFUNCTION("""COMPUTED_VALUE"""),"Use incrementality testing for effective marketing measurement")</f>
        <v>Use incrementality testing for effective marketing measurement</v>
      </c>
      <c r="F27" s="11" t="str">
        <f>IFERROR(__xludf.DUMMYFUNCTION("""COMPUTED_VALUE"""),"Article")</f>
        <v>Article</v>
      </c>
      <c r="G27" s="11" t="b">
        <f>IFERROR(__xludf.DUMMYFUNCTION("""COMPUTED_VALUE"""),FALSE)</f>
        <v>0</v>
      </c>
      <c r="H27" s="11"/>
      <c r="I27" s="11">
        <f>IFERROR(__xludf.DUMMYFUNCTION("""COMPUTED_VALUE"""),4.0)</f>
        <v>4</v>
      </c>
      <c r="J27" s="11">
        <f>IFERROR(__xludf.DUMMYFUNCTION("""COMPUTED_VALUE"""),0.0)</f>
        <v>0</v>
      </c>
      <c r="K27" s="11">
        <f>IFERROR(__xludf.DUMMYFUNCTION("""COMPUTED_VALUE"""),0.0)</f>
        <v>0</v>
      </c>
    </row>
    <row r="28" ht="15.75" customHeight="1">
      <c r="A28" s="8" t="str">
        <f>IFERROR(__xludf.DUMMYFUNCTION("""COMPUTED_VALUE"""),"https://digitalmediasapiens.com/which-is-the-best-digital-marketing-agency-in-dubai/#:~:text=In%202026%2C%20visibility%20is%20no%20longer%20limited,%2D%20Strong%20internal%20linking%20and%20topical%20authority.")</f>
        <v>https://digitalmediasapiens.com/which-is-the-best-digital-marketing-agency-in-dubai/#:~:text=In%202026%2C%20visibility%20is%20no%20longer%20limited,%2D%20Strong%20internal%20linking%20and%20topical%20authority.</v>
      </c>
      <c r="B28" s="8" t="str">
        <f>IFERROR(__xludf.DUMMYFUNCTION("""COMPUTED_VALUE"""),"digitalmediasapiens.com")</f>
        <v>digitalmediasapiens.com</v>
      </c>
      <c r="C28" s="11" t="str">
        <f>IFERROR(__xludf.DUMMYFUNCTION("""COMPUTED_VALUE"""),"LISTICLE")</f>
        <v>LISTICLE</v>
      </c>
      <c r="D28" s="11" t="str">
        <f>IFERROR(__xludf.DUMMYFUNCTION("""COMPUTED_VALUE"""),"OTHER")</f>
        <v>OTHER</v>
      </c>
      <c r="E28" s="11" t="str">
        <f>IFERROR(__xludf.DUMMYFUNCTION("""COMPUTED_VALUE"""),"Which Is the Best Digital Marketing Agency in Dubai?")</f>
        <v>Which Is the Best Digital Marketing Agency in Dubai?</v>
      </c>
      <c r="F28" s="11" t="str">
        <f>IFERROR(__xludf.DUMMYFUNCTION("""COMPUTED_VALUE"""),"Listicle")</f>
        <v>Listicle</v>
      </c>
      <c r="G28" s="11" t="b">
        <f>IFERROR(__xludf.DUMMYFUNCTION("""COMPUTED_VALUE"""),FALSE)</f>
        <v>0</v>
      </c>
      <c r="H28" s="11" t="str">
        <f>IFERROR(__xludf.DUMMYFUNCTION("""COMPUTED_VALUE"""),"Digital Media Sapiens, NEXA, Digital Gravity, Global Media Insight, Prism Digital, Red Berries, United SEO")</f>
        <v>Digital Media Sapiens, NEXA, Digital Gravity, Global Media Insight, Prism Digital, Red Berries, United SEO</v>
      </c>
      <c r="I28" s="11">
        <f>IFERROR(__xludf.DUMMYFUNCTION("""COMPUTED_VALUE"""),4.0)</f>
        <v>4</v>
      </c>
      <c r="J28" s="11">
        <f>IFERROR(__xludf.DUMMYFUNCTION("""COMPUTED_VALUE"""),0.0)</f>
        <v>0</v>
      </c>
      <c r="K28" s="11">
        <f>IFERROR(__xludf.DUMMYFUNCTION("""COMPUTED_VALUE"""),1.0)</f>
        <v>1</v>
      </c>
    </row>
    <row r="29" ht="15.75" customHeight="1">
      <c r="A29" s="8" t="str">
        <f>IFERROR(__xludf.DUMMYFUNCTION("""COMPUTED_VALUE"""),"https://www.google.com/intl/en_GB/ads/publisher/partners/work-with-a-partner/")</f>
        <v>https://www.google.com/intl/en_GB/ads/publisher/partners/work-with-a-partner/</v>
      </c>
      <c r="B29" s="8" t="str">
        <f>IFERROR(__xludf.DUMMYFUNCTION("""COMPUTED_VALUE"""),"google.com")</f>
        <v>google.com</v>
      </c>
      <c r="C29" s="11" t="str">
        <f>IFERROR(__xludf.DUMMYFUNCTION("""COMPUTED_VALUE"""),"OTHER")</f>
        <v>OTHER</v>
      </c>
      <c r="D29" s="11" t="str">
        <f>IFERROR(__xludf.DUMMYFUNCTION("""COMPUTED_VALUE"""),"OTHER")</f>
        <v>OTHER</v>
      </c>
      <c r="E29" s="11"/>
      <c r="F29" s="11" t="str">
        <f>IFERROR(__xludf.DUMMYFUNCTION("""COMPUTED_VALUE"""),"Other")</f>
        <v>Other</v>
      </c>
      <c r="G29" s="11"/>
      <c r="H29" s="11" t="str">
        <f>IFERROR(__xludf.DUMMYFUNCTION("""COMPUTED_VALUE"""),"Unknown")</f>
        <v>Unknown</v>
      </c>
      <c r="I29" s="11">
        <f>IFERROR(__xludf.DUMMYFUNCTION("""COMPUTED_VALUE"""),4.0)</f>
        <v>4</v>
      </c>
      <c r="J29" s="11">
        <f>IFERROR(__xludf.DUMMYFUNCTION("""COMPUTED_VALUE"""),0.0)</f>
        <v>0</v>
      </c>
      <c r="K29" s="11">
        <f>IFERROR(__xludf.DUMMYFUNCTION("""COMPUTED_VALUE"""),0.0)</f>
        <v>0</v>
      </c>
    </row>
    <row r="30" ht="15.75" customHeight="1">
      <c r="A30" s="8" t="str">
        <f>IFERROR(__xludf.DUMMYFUNCTION("""COMPUTED_VALUE"""),"https://www.lenabara.com/")</f>
        <v>https://www.lenabara.com/</v>
      </c>
      <c r="B30" s="8" t="str">
        <f>IFERROR(__xludf.DUMMYFUNCTION("""COMPUTED_VALUE"""),"lenabara.com")</f>
        <v>lenabara.com</v>
      </c>
      <c r="C30" s="11" t="str">
        <f>IFERROR(__xludf.DUMMYFUNCTION("""COMPUTED_VALUE"""),"HOMEPAGE")</f>
        <v>HOMEPAGE</v>
      </c>
      <c r="D30" s="11" t="str">
        <f>IFERROR(__xludf.DUMMYFUNCTION("""COMPUTED_VALUE"""),"OTHER")</f>
        <v>OTHER</v>
      </c>
      <c r="E30" s="11" t="str">
        <f>IFERROR(__xludf.DUMMYFUNCTION("""COMPUTED_VALUE"""),"Performance Marketing Expert in UAE | Meta, Google, LinkedIn, TikTok Ads | Lena Bara")</f>
        <v>Performance Marketing Expert in UAE | Meta, Google, LinkedIn, TikTok Ads | Lena Bara</v>
      </c>
      <c r="F30" s="11" t="str">
        <f>IFERROR(__xludf.DUMMYFUNCTION("""COMPUTED_VALUE"""),"Homepage")</f>
        <v>Homepage</v>
      </c>
      <c r="G30" s="11" t="b">
        <f>IFERROR(__xludf.DUMMYFUNCTION("""COMPUTED_VALUE"""),FALSE)</f>
        <v>0</v>
      </c>
      <c r="H30" s="11" t="str">
        <f>IFERROR(__xludf.DUMMYFUNCTION("""COMPUTED_VALUE"""),"Measured")</f>
        <v>Measured</v>
      </c>
      <c r="I30" s="11">
        <f>IFERROR(__xludf.DUMMYFUNCTION("""COMPUTED_VALUE"""),4.0)</f>
        <v>4</v>
      </c>
      <c r="J30" s="11">
        <f>IFERROR(__xludf.DUMMYFUNCTION("""COMPUTED_VALUE"""),0.0)</f>
        <v>0</v>
      </c>
      <c r="K30" s="11">
        <f>IFERROR(__xludf.DUMMYFUNCTION("""COMPUTED_VALUE"""),0.0)</f>
        <v>0</v>
      </c>
    </row>
    <row r="31" ht="15.75" customHeight="1">
      <c r="A31" s="8" t="str">
        <f>IFERROR(__xludf.DUMMYFUNCTION("""COMPUTED_VALUE"""),"https://mystrika.com/directory/agencies/top/account-based-marketing-in-country-united-arab-emirates")</f>
        <v>https://mystrika.com/directory/agencies/top/account-based-marketing-in-country-united-arab-emirates</v>
      </c>
      <c r="B31" s="8" t="str">
        <f>IFERROR(__xludf.DUMMYFUNCTION("""COMPUTED_VALUE"""),"mystrika.com")</f>
        <v>mystrika.com</v>
      </c>
      <c r="C31" s="11" t="str">
        <f>IFERROR(__xludf.DUMMYFUNCTION("""COMPUTED_VALUE"""),"OTHER")</f>
        <v>OTHER</v>
      </c>
      <c r="D31" s="11" t="str">
        <f>IFERROR(__xludf.DUMMYFUNCTION("""COMPUTED_VALUE"""),"OTHER")</f>
        <v>OTHER</v>
      </c>
      <c r="E31" s="11" t="str">
        <f>IFERROR(__xludf.DUMMYFUNCTION("""COMPUTED_VALUE"""),"Top Rated Account Based Marketing Agencies in United Arab Emirates - Directory - Mystrika | Stop Cold Emailing. Start Conversations")</f>
        <v>Top Rated Account Based Marketing Agencies in United Arab Emirates - Directory - Mystrika | Stop Cold Emailing. Start Conversations</v>
      </c>
      <c r="F31" s="11" t="str">
        <f>IFERROR(__xludf.DUMMYFUNCTION("""COMPUTED_VALUE"""),"Other")</f>
        <v>Other</v>
      </c>
      <c r="G31" s="11" t="b">
        <f>IFERROR(__xludf.DUMMYFUNCTION("""COMPUTED_VALUE"""),FALSE)</f>
        <v>0</v>
      </c>
      <c r="H31" s="11" t="str">
        <f>IFERROR(__xludf.DUMMYFUNCTION("""COMPUTED_VALUE"""),"Acquisit, Chain Reaction, Dot IT, Kleosa, DigitalFarm, SEO Sherpa, United SEO, Upscale Digital")</f>
        <v>Acquisit, Chain Reaction, Dot IT, Kleosa, DigitalFarm, SEO Sherpa, United SEO, Upscale Digital</v>
      </c>
      <c r="I31" s="11">
        <f>IFERROR(__xludf.DUMMYFUNCTION("""COMPUTED_VALUE"""),4.0)</f>
        <v>4</v>
      </c>
      <c r="J31" s="11">
        <f>IFERROR(__xludf.DUMMYFUNCTION("""COMPUTED_VALUE"""),0.0)</f>
        <v>0</v>
      </c>
      <c r="K31" s="11">
        <f>IFERROR(__xludf.DUMMYFUNCTION("""COMPUTED_VALUE"""),2.0)</f>
        <v>2</v>
      </c>
    </row>
    <row r="32" ht="15.75" customHeight="1">
      <c r="A32" s="8" t="str">
        <f>IFERROR(__xludf.DUMMYFUNCTION("""COMPUTED_VALUE"""),"https://semnexus.com/best-aeo-agencies-dubai-2")</f>
        <v>https://semnexus.com/best-aeo-agencies-dubai-2</v>
      </c>
      <c r="B32" s="8" t="str">
        <f>IFERROR(__xludf.DUMMYFUNCTION("""COMPUTED_VALUE"""),"semnexus.com")</f>
        <v>semnexus.com</v>
      </c>
      <c r="C32" s="11" t="str">
        <f>IFERROR(__xludf.DUMMYFUNCTION("""COMPUTED_VALUE"""),"LISTICLE")</f>
        <v>LISTICLE</v>
      </c>
      <c r="D32" s="11" t="str">
        <f>IFERROR(__xludf.DUMMYFUNCTION("""COMPUTED_VALUE"""),"OTHER")</f>
        <v>OTHER</v>
      </c>
      <c r="E32" s="11" t="str">
        <f>IFERROR(__xludf.DUMMYFUNCTION("""COMPUTED_VALUE"""),"The Best AEO Agencies in Dubai: Dominating AI Search in 2026 | SEM Nexus")</f>
        <v>The Best AEO Agencies in Dubai: Dominating AI Search in 2026 | SEM Nexus</v>
      </c>
      <c r="F32" s="11" t="str">
        <f>IFERROR(__xludf.DUMMYFUNCTION("""COMPUTED_VALUE"""),"Listicle")</f>
        <v>Listicle</v>
      </c>
      <c r="G32" s="11" t="b">
        <f>IFERROR(__xludf.DUMMYFUNCTION("""COMPUTED_VALUE"""),FALSE)</f>
        <v>0</v>
      </c>
      <c r="H32" s="11" t="str">
        <f>IFERROR(__xludf.DUMMYFUNCTION("""COMPUTED_VALUE"""),"SEO Sherpa, NEXA, United SEO, intouch")</f>
        <v>SEO Sherpa, NEXA, United SEO, intouch</v>
      </c>
      <c r="I32" s="11">
        <f>IFERROR(__xludf.DUMMYFUNCTION("""COMPUTED_VALUE"""),4.0)</f>
        <v>4</v>
      </c>
      <c r="J32" s="11">
        <f>IFERROR(__xludf.DUMMYFUNCTION("""COMPUTED_VALUE"""),0.0)</f>
        <v>0</v>
      </c>
      <c r="K32" s="11">
        <f>IFERROR(__xludf.DUMMYFUNCTION("""COMPUTED_VALUE"""),1.25)</f>
        <v>1.25</v>
      </c>
    </row>
    <row r="33" ht="15.75" customHeight="1">
      <c r="A33" s="8" t="str">
        <f>IFERROR(__xludf.DUMMYFUNCTION("""COMPUTED_VALUE"""),"https://sourceforge.net/software/incrementality-testing/middle-east/")</f>
        <v>https://sourceforge.net/software/incrementality-testing/middle-east/</v>
      </c>
      <c r="B33" s="8" t="str">
        <f>IFERROR(__xludf.DUMMYFUNCTION("""COMPUTED_VALUE"""),"sourceforge.net")</f>
        <v>sourceforge.net</v>
      </c>
      <c r="C33" s="11" t="str">
        <f>IFERROR(__xludf.DUMMYFUNCTION("""COMPUTED_VALUE"""),"LISTICLE")</f>
        <v>LISTICLE</v>
      </c>
      <c r="D33" s="11" t="str">
        <f>IFERROR(__xludf.DUMMYFUNCTION("""COMPUTED_VALUE"""),"OTHER")</f>
        <v>OTHER</v>
      </c>
      <c r="E33" s="11" t="str">
        <f>IFERROR(__xludf.DUMMYFUNCTION("""COMPUTED_VALUE"""),"Best Incrementality Testing Tools in the Middle East of 2026 - Reviews &amp;amp; Comparison")</f>
        <v>Best Incrementality Testing Tools in the Middle East of 2026 - Reviews &amp;amp; Comparison</v>
      </c>
      <c r="F33" s="11" t="str">
        <f>IFERROR(__xludf.DUMMYFUNCTION("""COMPUTED_VALUE"""),"Listicle")</f>
        <v>Listicle</v>
      </c>
      <c r="G33" s="11" t="b">
        <f>IFERROR(__xludf.DUMMYFUNCTION("""COMPUTED_VALUE"""),FALSE)</f>
        <v>0</v>
      </c>
      <c r="H33" s="11" t="str">
        <f>IFERROR(__xludf.DUMMYFUNCTION("""COMPUTED_VALUE"""),"Measured, Sellforte, Rockerbox, Haus, Analytic Partners, Push, Tenet")</f>
        <v>Measured, Sellforte, Rockerbox, Haus, Analytic Partners, Push, Tenet</v>
      </c>
      <c r="I33" s="11">
        <f>IFERROR(__xludf.DUMMYFUNCTION("""COMPUTED_VALUE"""),4.0)</f>
        <v>4</v>
      </c>
      <c r="J33" s="11">
        <f>IFERROR(__xludf.DUMMYFUNCTION("""COMPUTED_VALUE"""),0.0)</f>
        <v>0</v>
      </c>
      <c r="K33" s="11">
        <f>IFERROR(__xludf.DUMMYFUNCTION("""COMPUTED_VALUE"""),0.5)</f>
        <v>0.5</v>
      </c>
    </row>
    <row r="34" ht="15.75" customHeight="1">
      <c r="A34" s="8" t="str">
        <f>IFERROR(__xludf.DUMMYFUNCTION("""COMPUTED_VALUE"""),"https://ads.google.com/intl/us-EN/home/partners/work-with-a-partner/")</f>
        <v>https://ads.google.com/intl/us-EN/home/partners/work-with-a-partner/</v>
      </c>
      <c r="B34" s="8" t="str">
        <f>IFERROR(__xludf.DUMMYFUNCTION("""COMPUTED_VALUE"""),"google.com")</f>
        <v>google.com</v>
      </c>
      <c r="C34" s="11" t="str">
        <f>IFERROR(__xludf.DUMMYFUNCTION("""COMPUTED_VALUE"""),"OTHER")</f>
        <v>OTHER</v>
      </c>
      <c r="D34" s="11" t="str">
        <f>IFERROR(__xludf.DUMMYFUNCTION("""COMPUTED_VALUE"""),"OTHER")</f>
        <v>OTHER</v>
      </c>
      <c r="E34" s="11"/>
      <c r="F34" s="11" t="str">
        <f>IFERROR(__xludf.DUMMYFUNCTION("""COMPUTED_VALUE"""),"Other")</f>
        <v>Other</v>
      </c>
      <c r="G34" s="11"/>
      <c r="H34" s="11" t="str">
        <f>IFERROR(__xludf.DUMMYFUNCTION("""COMPUTED_VALUE"""),"Unknown")</f>
        <v>Unknown</v>
      </c>
      <c r="I34" s="11">
        <f>IFERROR(__xludf.DUMMYFUNCTION("""COMPUTED_VALUE"""),3.0)</f>
        <v>3</v>
      </c>
      <c r="J34" s="11">
        <f>IFERROR(__xludf.DUMMYFUNCTION("""COMPUTED_VALUE"""),0.0)</f>
        <v>0</v>
      </c>
      <c r="K34" s="11">
        <f>IFERROR(__xludf.DUMMYFUNCTION("""COMPUTED_VALUE"""),0.0)</f>
        <v>0</v>
      </c>
    </row>
    <row r="35" ht="15.75" customHeight="1">
      <c r="A35" s="8" t="str">
        <f>IFERROR(__xludf.DUMMYFUNCTION("""COMPUTED_VALUE"""),"https://business.google.com/en-all/support/work-with-a-partner/")</f>
        <v>https://business.google.com/en-all/support/work-with-a-partner/</v>
      </c>
      <c r="B35" s="8" t="str">
        <f>IFERROR(__xludf.DUMMYFUNCTION("""COMPUTED_VALUE"""),"google.com")</f>
        <v>google.com</v>
      </c>
      <c r="C35" s="11" t="str">
        <f>IFERROR(__xludf.DUMMYFUNCTION("""COMPUTED_VALUE"""),"PRODUCT_PAGE")</f>
        <v>PRODUCT_PAGE</v>
      </c>
      <c r="D35" s="11" t="str">
        <f>IFERROR(__xludf.DUMMYFUNCTION("""COMPUTED_VALUE"""),"OTHER")</f>
        <v>OTHER</v>
      </c>
      <c r="E35" s="11" t="str">
        <f>IFERROR(__xludf.DUMMYFUNCTION("""COMPUTED_VALUE"""),"Work with a Google Partner for a Successful Campaign – Google Ads")</f>
        <v>Work with a Google Partner for a Successful Campaign – Google Ads</v>
      </c>
      <c r="F35" s="11" t="str">
        <f>IFERROR(__xludf.DUMMYFUNCTION("""COMPUTED_VALUE"""),"Product Page")</f>
        <v>Product Page</v>
      </c>
      <c r="G35" s="11" t="b">
        <f>IFERROR(__xludf.DUMMYFUNCTION("""COMPUTED_VALUE"""),FALSE)</f>
        <v>0</v>
      </c>
      <c r="H35" s="11" t="str">
        <f>IFERROR(__xludf.DUMMYFUNCTION("""COMPUTED_VALUE"""),"New Engen, Wpromote")</f>
        <v>New Engen, Wpromote</v>
      </c>
      <c r="I35" s="11">
        <f>IFERROR(__xludf.DUMMYFUNCTION("""COMPUTED_VALUE"""),3.0)</f>
        <v>3</v>
      </c>
      <c r="J35" s="11">
        <f>IFERROR(__xludf.DUMMYFUNCTION("""COMPUTED_VALUE"""),0.0)</f>
        <v>0</v>
      </c>
      <c r="K35" s="11">
        <f>IFERROR(__xludf.DUMMYFUNCTION("""COMPUTED_VALUE"""),0.0)</f>
        <v>0</v>
      </c>
    </row>
    <row r="36" ht="15.75" customHeight="1">
      <c r="A36" s="8" t="str">
        <f>IFERROR(__xludf.DUMMYFUNCTION("""COMPUTED_VALUE"""),"https://getprolinks.com/best-ai-driven-marketing-agency-in-dubai/")</f>
        <v>https://getprolinks.com/best-ai-driven-marketing-agency-in-dubai/</v>
      </c>
      <c r="B36" s="8" t="str">
        <f>IFERROR(__xludf.DUMMYFUNCTION("""COMPUTED_VALUE"""),"getprolinks.com")</f>
        <v>getprolinks.com</v>
      </c>
      <c r="C36" s="11" t="str">
        <f>IFERROR(__xludf.DUMMYFUNCTION("""COMPUTED_VALUE"""),"OTHER")</f>
        <v>OTHER</v>
      </c>
      <c r="D36" s="11" t="str">
        <f>IFERROR(__xludf.DUMMYFUNCTION("""COMPUTED_VALUE"""),"OTHER")</f>
        <v>OTHER</v>
      </c>
      <c r="E36" s="11"/>
      <c r="F36" s="11" t="str">
        <f>IFERROR(__xludf.DUMMYFUNCTION("""COMPUTED_VALUE"""),"Other")</f>
        <v>Other</v>
      </c>
      <c r="G36" s="11"/>
      <c r="H36" s="11" t="str">
        <f>IFERROR(__xludf.DUMMYFUNCTION("""COMPUTED_VALUE"""),"Unknown")</f>
        <v>Unknown</v>
      </c>
      <c r="I36" s="11">
        <f>IFERROR(__xludf.DUMMYFUNCTION("""COMPUTED_VALUE"""),3.0)</f>
        <v>3</v>
      </c>
      <c r="J36" s="11">
        <f>IFERROR(__xludf.DUMMYFUNCTION("""COMPUTED_VALUE"""),0.0)</f>
        <v>0</v>
      </c>
      <c r="K36" s="11">
        <f>IFERROR(__xludf.DUMMYFUNCTION("""COMPUTED_VALUE"""),1.33)</f>
        <v>1.33</v>
      </c>
    </row>
    <row r="37" ht="15.75" customHeight="1">
      <c r="A37" s="8" t="str">
        <f>IFERROR(__xludf.DUMMYFUNCTION("""COMPUTED_VALUE"""),"https://www.google.com/intl/ar/ads/publisher/partners/find-a-partner/")</f>
        <v>https://www.google.com/intl/ar/ads/publisher/partners/find-a-partner/</v>
      </c>
      <c r="B37" s="8" t="str">
        <f>IFERROR(__xludf.DUMMYFUNCTION("""COMPUTED_VALUE"""),"google.com")</f>
        <v>google.com</v>
      </c>
      <c r="C37" s="11" t="str">
        <f>IFERROR(__xludf.DUMMYFUNCTION("""COMPUTED_VALUE"""),"CATEGORY_PAGE")</f>
        <v>CATEGORY_PAGE</v>
      </c>
      <c r="D37" s="11" t="str">
        <f>IFERROR(__xludf.DUMMYFUNCTION("""COMPUTED_VALUE"""),"OTHER")</f>
        <v>OTHER</v>
      </c>
      <c r="E37" s="11" t="str">
        <f>IFERROR(__xludf.DUMMYFUNCTION("""COMPUTED_VALUE"""),"البحث عن شريك للناشرين")</f>
        <v>البحث عن شريك للناشرين</v>
      </c>
      <c r="F37" s="11" t="str">
        <f>IFERROR(__xludf.DUMMYFUNCTION("""COMPUTED_VALUE"""),"Category Page")</f>
        <v>Category Page</v>
      </c>
      <c r="G37" s="11" t="b">
        <f>IFERROR(__xludf.DUMMYFUNCTION("""COMPUTED_VALUE"""),FALSE)</f>
        <v>0</v>
      </c>
      <c r="H37" s="11"/>
      <c r="I37" s="11">
        <f>IFERROR(__xludf.DUMMYFUNCTION("""COMPUTED_VALUE"""),3.0)</f>
        <v>3</v>
      </c>
      <c r="J37" s="11">
        <f>IFERROR(__xludf.DUMMYFUNCTION("""COMPUTED_VALUE"""),0.0)</f>
        <v>0</v>
      </c>
      <c r="K37" s="11">
        <f>IFERROR(__xludf.DUMMYFUNCTION("""COMPUTED_VALUE"""),0.0)</f>
        <v>0</v>
      </c>
    </row>
    <row r="38" ht="15.75" customHeight="1">
      <c r="A38" s="8" t="str">
        <f>IFERROR(__xludf.DUMMYFUNCTION("""COMPUTED_VALUE"""),"https://www.morismedia.in/dubais-top-analytics-and-data-agency-in-dubai-ajman-united-arab-emirates")</f>
        <v>https://www.morismedia.in/dubais-top-analytics-and-data-agency-in-dubai-ajman-united-arab-emirates</v>
      </c>
      <c r="B38" s="8" t="str">
        <f>IFERROR(__xludf.DUMMYFUNCTION("""COMPUTED_VALUE"""),"morismedia.in")</f>
        <v>morismedia.in</v>
      </c>
      <c r="C38" s="11" t="str">
        <f>IFERROR(__xludf.DUMMYFUNCTION("""COMPUTED_VALUE"""),"LISTICLE")</f>
        <v>LISTICLE</v>
      </c>
      <c r="D38" s="11" t="str">
        <f>IFERROR(__xludf.DUMMYFUNCTION("""COMPUTED_VALUE"""),"OTHER")</f>
        <v>OTHER</v>
      </c>
      <c r="E38" s="11" t="str">
        <f>IFERROR(__xludf.DUMMYFUNCTION("""COMPUTED_VALUE"""),"Top 10 Analytics &amp;amp; Data Agencies in Dubai 2026 | Best Firms &amp;amp; Services")</f>
        <v>Top 10 Analytics &amp;amp; Data Agencies in Dubai 2026 | Best Firms &amp;amp; Services</v>
      </c>
      <c r="F38" s="11" t="str">
        <f>IFERROR(__xludf.DUMMYFUNCTION("""COMPUTED_VALUE"""),"Listicle")</f>
        <v>Listicle</v>
      </c>
      <c r="G38" s="11" t="b">
        <f>IFERROR(__xludf.DUMMYFUNCTION("""COMPUTED_VALUE"""),FALSE)</f>
        <v>0</v>
      </c>
      <c r="H38" s="11"/>
      <c r="I38" s="11">
        <f>IFERROR(__xludf.DUMMYFUNCTION("""COMPUTED_VALUE"""),3.0)</f>
        <v>3</v>
      </c>
      <c r="J38" s="11">
        <f>IFERROR(__xludf.DUMMYFUNCTION("""COMPUTED_VALUE"""),0.0)</f>
        <v>0</v>
      </c>
      <c r="K38" s="11">
        <f>IFERROR(__xludf.DUMMYFUNCTION("""COMPUTED_VALUE"""),1.0)</f>
        <v>1</v>
      </c>
    </row>
    <row r="39" ht="15.75" customHeight="1">
      <c r="A39" s="8" t="str">
        <f>IFERROR(__xludf.DUMMYFUNCTION("""COMPUTED_VALUE"""),"https://music.amazon.in/podcasts/ab0c6775-0756-4b4a-9584-c0818438a009/episodes/48290346-a1af-4264-a808-6eaa2ac56efd/how-to-rank-in-ai-%E2%80%94-sqseo-podcast-what-are-the-best-generative-engine-optimization-geo-agencies-in-united-arab-emirates")</f>
        <v>https://music.amazon.in/podcasts/ab0c6775-0756-4b4a-9584-c0818438a009/episodes/48290346-a1af-4264-a808-6eaa2ac56efd/how-to-rank-in-ai-%E2%80%94-sqseo-podcast-what-are-the-best-generative-engine-optimization-geo-agencies-in-united-arab-emirates</v>
      </c>
      <c r="B39" s="8" t="str">
        <f>IFERROR(__xludf.DUMMYFUNCTION("""COMPUTED_VALUE"""),"amazon.in")</f>
        <v>amazon.in</v>
      </c>
      <c r="C39" s="11" t="str">
        <f>IFERROR(__xludf.DUMMYFUNCTION("""COMPUTED_VALUE"""),"OTHER")</f>
        <v>OTHER</v>
      </c>
      <c r="D39" s="11" t="str">
        <f>IFERROR(__xludf.DUMMYFUNCTION("""COMPUTED_VALUE"""),"OTHER")</f>
        <v>OTHER</v>
      </c>
      <c r="E39" s="11"/>
      <c r="F39" s="11" t="str">
        <f>IFERROR(__xludf.DUMMYFUNCTION("""COMPUTED_VALUE"""),"Other")</f>
        <v>Other</v>
      </c>
      <c r="G39" s="11"/>
      <c r="H39" s="11" t="str">
        <f>IFERROR(__xludf.DUMMYFUNCTION("""COMPUTED_VALUE"""),"Unknown")</f>
        <v>Unknown</v>
      </c>
      <c r="I39" s="11">
        <f>IFERROR(__xludf.DUMMYFUNCTION("""COMPUTED_VALUE"""),3.0)</f>
        <v>3</v>
      </c>
      <c r="J39" s="11">
        <f>IFERROR(__xludf.DUMMYFUNCTION("""COMPUTED_VALUE"""),0.0)</f>
        <v>0</v>
      </c>
      <c r="K39" s="11">
        <f>IFERROR(__xludf.DUMMYFUNCTION("""COMPUTED_VALUE"""),0.0)</f>
        <v>0</v>
      </c>
    </row>
    <row r="40" ht="15.75" customHeight="1">
      <c r="A40" s="8" t="str">
        <f>IFERROR(__xludf.DUMMYFUNCTION("""COMPUTED_VALUE"""),"https://aisuperior.com/geospatial-companies-in-uae/")</f>
        <v>https://aisuperior.com/geospatial-companies-in-uae/</v>
      </c>
      <c r="B40" s="8" t="str">
        <f>IFERROR(__xludf.DUMMYFUNCTION("""COMPUTED_VALUE"""),"aisuperior.com")</f>
        <v>aisuperior.com</v>
      </c>
      <c r="C40" s="11" t="str">
        <f>IFERROR(__xludf.DUMMYFUNCTION("""COMPUTED_VALUE"""),"LISTICLE")</f>
        <v>LISTICLE</v>
      </c>
      <c r="D40" s="11" t="str">
        <f>IFERROR(__xludf.DUMMYFUNCTION("""COMPUTED_VALUE"""),"OTHER")</f>
        <v>OTHER</v>
      </c>
      <c r="E40" s="11" t="str">
        <f>IFERROR(__xludf.DUMMYFUNCTION("""COMPUTED_VALUE"""),"Top Geospatial Companies in UAE Providing Advanced Solutions")</f>
        <v>Top Geospatial Companies in UAE Providing Advanced Solutions</v>
      </c>
      <c r="F40" s="11" t="str">
        <f>IFERROR(__xludf.DUMMYFUNCTION("""COMPUTED_VALUE"""),"Listicle")</f>
        <v>Listicle</v>
      </c>
      <c r="G40" s="11" t="b">
        <f>IFERROR(__xludf.DUMMYFUNCTION("""COMPUTED_VALUE"""),FALSE)</f>
        <v>0</v>
      </c>
      <c r="H40" s="11" t="str">
        <f>IFERROR(__xludf.DUMMYFUNCTION("""COMPUTED_VALUE"""),"PHD")</f>
        <v>PHD</v>
      </c>
      <c r="I40" s="11">
        <f>IFERROR(__xludf.DUMMYFUNCTION("""COMPUTED_VALUE"""),2.0)</f>
        <v>2</v>
      </c>
      <c r="J40" s="11">
        <f>IFERROR(__xludf.DUMMYFUNCTION("""COMPUTED_VALUE"""),0.0)</f>
        <v>0</v>
      </c>
      <c r="K40" s="11">
        <f>IFERROR(__xludf.DUMMYFUNCTION("""COMPUTED_VALUE"""),1.0)</f>
        <v>1</v>
      </c>
    </row>
    <row r="41" ht="15.75" customHeight="1">
      <c r="A41" s="8" t="str">
        <f>IFERROR(__xludf.DUMMYFUNCTION("""COMPUTED_VALUE"""),"https://business.google.com/en-all/support/become-a-partner/")</f>
        <v>https://business.google.com/en-all/support/become-a-partner/</v>
      </c>
      <c r="B41" s="8" t="str">
        <f>IFERROR(__xludf.DUMMYFUNCTION("""COMPUTED_VALUE"""),"google.com")</f>
        <v>google.com</v>
      </c>
      <c r="C41" s="11" t="str">
        <f>IFERROR(__xludf.DUMMYFUNCTION("""COMPUTED_VALUE"""),"PRODUCT_PAGE")</f>
        <v>PRODUCT_PAGE</v>
      </c>
      <c r="D41" s="11" t="str">
        <f>IFERROR(__xludf.DUMMYFUNCTION("""COMPUTED_VALUE"""),"OTHER")</f>
        <v>OTHER</v>
      </c>
      <c r="E41" s="11" t="str">
        <f>IFERROR(__xludf.DUMMYFUNCTION("""COMPUTED_VALUE"""),"Google Partners Programme: Become a Partner – Google Ads")</f>
        <v>Google Partners Programme: Become a Partner – Google Ads</v>
      </c>
      <c r="F41" s="11" t="str">
        <f>IFERROR(__xludf.DUMMYFUNCTION("""COMPUTED_VALUE"""),"Product Page")</f>
        <v>Product Page</v>
      </c>
      <c r="G41" s="11" t="b">
        <f>IFERROR(__xludf.DUMMYFUNCTION("""COMPUTED_VALUE"""),FALSE)</f>
        <v>0</v>
      </c>
      <c r="H41" s="11" t="str">
        <f>IFERROR(__xludf.DUMMYFUNCTION("""COMPUTED_VALUE"""),"New Engen, Merkle")</f>
        <v>New Engen, Merkle</v>
      </c>
      <c r="I41" s="11">
        <f>IFERROR(__xludf.DUMMYFUNCTION("""COMPUTED_VALUE"""),2.0)</f>
        <v>2</v>
      </c>
      <c r="J41" s="11">
        <f>IFERROR(__xludf.DUMMYFUNCTION("""COMPUTED_VALUE"""),0.0)</f>
        <v>0</v>
      </c>
      <c r="K41" s="11">
        <f>IFERROR(__xludf.DUMMYFUNCTION("""COMPUTED_VALUE"""),0.0)</f>
        <v>0</v>
      </c>
    </row>
    <row r="42" ht="15.75" customHeight="1">
      <c r="A42" s="8" t="str">
        <f>IFERROR(__xludf.DUMMYFUNCTION("""COMPUTED_VALUE"""),"https://business.google.com/uk/think/measurement/incrementality-testing/")</f>
        <v>https://business.google.com/uk/think/measurement/incrementality-testing/</v>
      </c>
      <c r="B42" s="8" t="str">
        <f>IFERROR(__xludf.DUMMYFUNCTION("""COMPUTED_VALUE"""),"google.com")</f>
        <v>google.com</v>
      </c>
      <c r="C42" s="11" t="str">
        <f>IFERROR(__xludf.DUMMYFUNCTION("""COMPUTED_VALUE"""),"HOW_TO_GUIDE")</f>
        <v>HOW_TO_GUIDE</v>
      </c>
      <c r="D42" s="11" t="str">
        <f>IFERROR(__xludf.DUMMYFUNCTION("""COMPUTED_VALUE"""),"OTHER")</f>
        <v>OTHER</v>
      </c>
      <c r="E42" s="11" t="str">
        <f>IFERROR(__xludf.DUMMYFUNCTION("""COMPUTED_VALUE"""),"Use incrementality testing for effective marketing measurement")</f>
        <v>Use incrementality testing for effective marketing measurement</v>
      </c>
      <c r="F42" s="11" t="str">
        <f>IFERROR(__xludf.DUMMYFUNCTION("""COMPUTED_VALUE"""),"How-To Guide")</f>
        <v>How-To Guide</v>
      </c>
      <c r="G42" s="11" t="b">
        <f>IFERROR(__xludf.DUMMYFUNCTION("""COMPUTED_VALUE"""),FALSE)</f>
        <v>0</v>
      </c>
      <c r="H42" s="11"/>
      <c r="I42" s="11">
        <f>IFERROR(__xludf.DUMMYFUNCTION("""COMPUTED_VALUE"""),2.0)</f>
        <v>2</v>
      </c>
      <c r="J42" s="11">
        <f>IFERROR(__xludf.DUMMYFUNCTION("""COMPUTED_VALUE"""),0.0)</f>
        <v>0</v>
      </c>
      <c r="K42" s="11">
        <f>IFERROR(__xludf.DUMMYFUNCTION("""COMPUTED_VALUE"""),0.0)</f>
        <v>0</v>
      </c>
    </row>
    <row r="43" ht="15.75" customHeight="1">
      <c r="A43" s="8" t="str">
        <f>IFERROR(__xludf.DUMMYFUNCTION("""COMPUTED_VALUE"""),"https://business.google.com/us/support/work-with-a-partner/")</f>
        <v>https://business.google.com/us/support/work-with-a-partner/</v>
      </c>
      <c r="B43" s="8" t="str">
        <f>IFERROR(__xludf.DUMMYFUNCTION("""COMPUTED_VALUE"""),"google.com")</f>
        <v>google.com</v>
      </c>
      <c r="C43" s="11" t="str">
        <f>IFERROR(__xludf.DUMMYFUNCTION("""COMPUTED_VALUE"""),"ARTICLE")</f>
        <v>ARTICLE</v>
      </c>
      <c r="D43" s="11" t="str">
        <f>IFERROR(__xludf.DUMMYFUNCTION("""COMPUTED_VALUE"""),"OTHER")</f>
        <v>OTHER</v>
      </c>
      <c r="E43" s="11" t="str">
        <f>IFERROR(__xludf.DUMMYFUNCTION("""COMPUTED_VALUE"""),"Get a Google Partner for a Successful Ad Campaign - Google Ads")</f>
        <v>Get a Google Partner for a Successful Ad Campaign - Google Ads</v>
      </c>
      <c r="F43" s="11" t="str">
        <f>IFERROR(__xludf.DUMMYFUNCTION("""COMPUTED_VALUE"""),"Article")</f>
        <v>Article</v>
      </c>
      <c r="G43" s="11" t="b">
        <f>IFERROR(__xludf.DUMMYFUNCTION("""COMPUTED_VALUE"""),FALSE)</f>
        <v>0</v>
      </c>
      <c r="H43" s="11" t="str">
        <f>IFERROR(__xludf.DUMMYFUNCTION("""COMPUTED_VALUE"""),"New Engen, Wpromote")</f>
        <v>New Engen, Wpromote</v>
      </c>
      <c r="I43" s="11">
        <f>IFERROR(__xludf.DUMMYFUNCTION("""COMPUTED_VALUE"""),2.0)</f>
        <v>2</v>
      </c>
      <c r="J43" s="11">
        <f>IFERROR(__xludf.DUMMYFUNCTION("""COMPUTED_VALUE"""),0.0)</f>
        <v>0</v>
      </c>
      <c r="K43" s="11">
        <f>IFERROR(__xludf.DUMMYFUNCTION("""COMPUTED_VALUE"""),0.0)</f>
        <v>0</v>
      </c>
    </row>
    <row r="44" ht="15.75" customHeight="1">
      <c r="A44" s="8" t="str">
        <f>IFERROR(__xludf.DUMMYFUNCTION("""COMPUTED_VALUE"""),"https://digitalmediasapiens.com/top-10-digital-marketing-agencies-in-dubai/")</f>
        <v>https://digitalmediasapiens.com/top-10-digital-marketing-agencies-in-dubai/</v>
      </c>
      <c r="B44" s="8" t="str">
        <f>IFERROR(__xludf.DUMMYFUNCTION("""COMPUTED_VALUE"""),"digitalmediasapiens.com")</f>
        <v>digitalmediasapiens.com</v>
      </c>
      <c r="C44" s="11" t="str">
        <f>IFERROR(__xludf.DUMMYFUNCTION("""COMPUTED_VALUE"""),"LISTICLE")</f>
        <v>LISTICLE</v>
      </c>
      <c r="D44" s="11" t="str">
        <f>IFERROR(__xludf.DUMMYFUNCTION("""COMPUTED_VALUE"""),"OTHER")</f>
        <v>OTHER</v>
      </c>
      <c r="E44" s="11" t="str">
        <f>IFERROR(__xludf.DUMMYFUNCTION("""COMPUTED_VALUE"""),"Top 10 Digital Marketing Agencies in Dubai - Digital Media Sapiens")</f>
        <v>Top 10 Digital Marketing Agencies in Dubai - Digital Media Sapiens</v>
      </c>
      <c r="F44" s="11" t="str">
        <f>IFERROR(__xludf.DUMMYFUNCTION("""COMPUTED_VALUE"""),"Listicle")</f>
        <v>Listicle</v>
      </c>
      <c r="G44" s="11" t="b">
        <f>IFERROR(__xludf.DUMMYFUNCTION("""COMPUTED_VALUE"""),FALSE)</f>
        <v>0</v>
      </c>
      <c r="H44" s="11" t="str">
        <f>IFERROR(__xludf.DUMMYFUNCTION("""COMPUTED_VALUE"""),"Digital Media Sapiens, NEXA, Bruce Clay MENA, Blue Beetle, Chain Reaction")</f>
        <v>Digital Media Sapiens, NEXA, Bruce Clay MENA, Blue Beetle, Chain Reaction</v>
      </c>
      <c r="I44" s="11">
        <f>IFERROR(__xludf.DUMMYFUNCTION("""COMPUTED_VALUE"""),2.0)</f>
        <v>2</v>
      </c>
      <c r="J44" s="11">
        <f>IFERROR(__xludf.DUMMYFUNCTION("""COMPUTED_VALUE"""),0.0)</f>
        <v>0</v>
      </c>
      <c r="K44" s="11">
        <f>IFERROR(__xludf.DUMMYFUNCTION("""COMPUTED_VALUE"""),1.5)</f>
        <v>1.5</v>
      </c>
    </row>
    <row r="45" ht="15.75" customHeight="1">
      <c r="A45" s="8" t="str">
        <f>IFERROR(__xludf.DUMMYFUNCTION("""COMPUTED_VALUE"""),"https://digitalmediasapiens.com/top-15-digital-marketing-agencies-in-dubai-your-ultimate-guide-to-finding-the-right-partner/")</f>
        <v>https://digitalmediasapiens.com/top-15-digital-marketing-agencies-in-dubai-your-ultimate-guide-to-finding-the-right-partner/</v>
      </c>
      <c r="B45" s="8" t="str">
        <f>IFERROR(__xludf.DUMMYFUNCTION("""COMPUTED_VALUE"""),"digitalmediasapiens.com")</f>
        <v>digitalmediasapiens.com</v>
      </c>
      <c r="C45" s="11" t="str">
        <f>IFERROR(__xludf.DUMMYFUNCTION("""COMPUTED_VALUE"""),"LISTICLE")</f>
        <v>LISTICLE</v>
      </c>
      <c r="D45" s="11" t="str">
        <f>IFERROR(__xludf.DUMMYFUNCTION("""COMPUTED_VALUE"""),"OTHER")</f>
        <v>OTHER</v>
      </c>
      <c r="E45" s="11" t="str">
        <f>IFERROR(__xludf.DUMMYFUNCTION("""COMPUTED_VALUE"""),"Top 15 Digital Marketing Agencies in Dubai: Your Ultimate Guide to Finding the Right Partner - Digital Media Sapiens")</f>
        <v>Top 15 Digital Marketing Agencies in Dubai: Your Ultimate Guide to Finding the Right Partner - Digital Media Sapiens</v>
      </c>
      <c r="F45" s="11" t="str">
        <f>IFERROR(__xludf.DUMMYFUNCTION("""COMPUTED_VALUE"""),"Listicle")</f>
        <v>Listicle</v>
      </c>
      <c r="G45" s="11" t="b">
        <f>IFERROR(__xludf.DUMMYFUNCTION("""COMPUTED_VALUE"""),FALSE)</f>
        <v>0</v>
      </c>
      <c r="H45" s="11" t="str">
        <f>IFERROR(__xludf.DUMMYFUNCTION("""COMPUTED_VALUE"""),"Digital Media Sapiens, NEXA, Chain Reaction, Momentum, Global Media Insight, Red Berries")</f>
        <v>Digital Media Sapiens, NEXA, Chain Reaction, Momentum, Global Media Insight, Red Berries</v>
      </c>
      <c r="I45" s="11">
        <f>IFERROR(__xludf.DUMMYFUNCTION("""COMPUTED_VALUE"""),2.0)</f>
        <v>2</v>
      </c>
      <c r="J45" s="11">
        <f>IFERROR(__xludf.DUMMYFUNCTION("""COMPUTED_VALUE"""),0.0)</f>
        <v>0</v>
      </c>
      <c r="K45" s="11">
        <f>IFERROR(__xludf.DUMMYFUNCTION("""COMPUTED_VALUE"""),1.0)</f>
        <v>1</v>
      </c>
    </row>
    <row r="46" ht="15.75" customHeight="1">
      <c r="A46" s="8" t="str">
        <f>IFERROR(__xludf.DUMMYFUNCTION("""COMPUTED_VALUE"""),"https://www.google.com/ads/publisher/partners/work-with-a-partner/")</f>
        <v>https://www.google.com/ads/publisher/partners/work-with-a-partner/</v>
      </c>
      <c r="B46" s="8" t="str">
        <f>IFERROR(__xludf.DUMMYFUNCTION("""COMPUTED_VALUE"""),"google.com")</f>
        <v>google.com</v>
      </c>
      <c r="C46" s="11" t="str">
        <f>IFERROR(__xludf.DUMMYFUNCTION("""COMPUTED_VALUE"""),"OTHER")</f>
        <v>OTHER</v>
      </c>
      <c r="D46" s="11" t="str">
        <f>IFERROR(__xludf.DUMMYFUNCTION("""COMPUTED_VALUE"""),"OTHER")</f>
        <v>OTHER</v>
      </c>
      <c r="E46" s="11"/>
      <c r="F46" s="11" t="str">
        <f>IFERROR(__xludf.DUMMYFUNCTION("""COMPUTED_VALUE"""),"Other")</f>
        <v>Other</v>
      </c>
      <c r="G46" s="11"/>
      <c r="H46" s="11" t="str">
        <f>IFERROR(__xludf.DUMMYFUNCTION("""COMPUTED_VALUE"""),"Unknown")</f>
        <v>Unknown</v>
      </c>
      <c r="I46" s="11">
        <f>IFERROR(__xludf.DUMMYFUNCTION("""COMPUTED_VALUE"""),2.0)</f>
        <v>2</v>
      </c>
      <c r="J46" s="11">
        <f>IFERROR(__xludf.DUMMYFUNCTION("""COMPUTED_VALUE"""),0.0)</f>
        <v>0</v>
      </c>
      <c r="K46" s="11">
        <f>IFERROR(__xludf.DUMMYFUNCTION("""COMPUTED_VALUE"""),0.0)</f>
        <v>0</v>
      </c>
    </row>
    <row r="47" ht="15.75" customHeight="1">
      <c r="A47" s="8" t="str">
        <f>IFERROR(__xludf.DUMMYFUNCTION("""COMPUTED_VALUE"""),"https://govanator.com/best-social-media-marketing-services-in-dubai/")</f>
        <v>https://govanator.com/best-social-media-marketing-services-in-dubai/</v>
      </c>
      <c r="B47" s="8" t="str">
        <f>IFERROR(__xludf.DUMMYFUNCTION("""COMPUTED_VALUE"""),"govanator.com")</f>
        <v>govanator.com</v>
      </c>
      <c r="C47" s="11" t="str">
        <f>IFERROR(__xludf.DUMMYFUNCTION("""COMPUTED_VALUE"""),"PRODUCT_PAGE")</f>
        <v>PRODUCT_PAGE</v>
      </c>
      <c r="D47" s="11" t="str">
        <f>IFERROR(__xludf.DUMMYFUNCTION("""COMPUTED_VALUE"""),"OTHER")</f>
        <v>OTHER</v>
      </c>
      <c r="E47" s="11" t="str">
        <f>IFERROR(__xludf.DUMMYFUNCTION("""COMPUTED_VALUE"""),"Best Social Media Marketing Services in Dubai")</f>
        <v>Best Social Media Marketing Services in Dubai</v>
      </c>
      <c r="F47" s="11" t="str">
        <f>IFERROR(__xludf.DUMMYFUNCTION("""COMPUTED_VALUE"""),"Product Page")</f>
        <v>Product Page</v>
      </c>
      <c r="G47" s="11" t="b">
        <f>IFERROR(__xludf.DUMMYFUNCTION("""COMPUTED_VALUE"""),FALSE)</f>
        <v>0</v>
      </c>
      <c r="H47" s="11" t="str">
        <f>IFERROR(__xludf.DUMMYFUNCTION("""COMPUTED_VALUE"""),"Web Tonic, inBeat, ASTUDIO, Prism Digital, DigitalFarm, Chain Reaction, Digital Gravity, NEXA, intouch")</f>
        <v>Web Tonic, inBeat, ASTUDIO, Prism Digital, DigitalFarm, Chain Reaction, Digital Gravity, NEXA, intouch</v>
      </c>
      <c r="I47" s="11">
        <f>IFERROR(__xludf.DUMMYFUNCTION("""COMPUTED_VALUE"""),2.0)</f>
        <v>2</v>
      </c>
      <c r="J47" s="11">
        <f>IFERROR(__xludf.DUMMYFUNCTION("""COMPUTED_VALUE"""),0.0)</f>
        <v>0</v>
      </c>
      <c r="K47" s="11">
        <f>IFERROR(__xludf.DUMMYFUNCTION("""COMPUTED_VALUE"""),1.0)</f>
        <v>1</v>
      </c>
    </row>
    <row r="48" ht="15.75" customHeight="1">
      <c r="A48" s="8" t="str">
        <f>IFERROR(__xludf.DUMMYFUNCTION("""COMPUTED_VALUE"""),"https://marketingplatform.google.com/about/")</f>
        <v>https://marketingplatform.google.com/about/</v>
      </c>
      <c r="B48" s="8" t="str">
        <f>IFERROR(__xludf.DUMMYFUNCTION("""COMPUTED_VALUE"""),"google.com")</f>
        <v>google.com</v>
      </c>
      <c r="C48" s="11" t="str">
        <f>IFERROR(__xludf.DUMMYFUNCTION("""COMPUTED_VALUE"""),"HOMEPAGE")</f>
        <v>HOMEPAGE</v>
      </c>
      <c r="D48" s="11" t="str">
        <f>IFERROR(__xludf.DUMMYFUNCTION("""COMPUTED_VALUE"""),"OTHER")</f>
        <v>OTHER</v>
      </c>
      <c r="E48" s="11" t="str">
        <f>IFERROR(__xludf.DUMMYFUNCTION("""COMPUTED_VALUE"""),"Google Marketing Platform - Unified Advertising and Analytics")</f>
        <v>Google Marketing Platform - Unified Advertising and Analytics</v>
      </c>
      <c r="F48" s="11" t="str">
        <f>IFERROR(__xludf.DUMMYFUNCTION("""COMPUTED_VALUE"""),"Homepage")</f>
        <v>Homepage</v>
      </c>
      <c r="G48" s="11" t="b">
        <f>IFERROR(__xludf.DUMMYFUNCTION("""COMPUTED_VALUE"""),FALSE)</f>
        <v>0</v>
      </c>
      <c r="H48" s="11"/>
      <c r="I48" s="11">
        <f>IFERROR(__xludf.DUMMYFUNCTION("""COMPUTED_VALUE"""),2.0)</f>
        <v>2</v>
      </c>
      <c r="J48" s="11">
        <f>IFERROR(__xludf.DUMMYFUNCTION("""COMPUTED_VALUE"""),0.0)</f>
        <v>0</v>
      </c>
      <c r="K48" s="11">
        <f>IFERROR(__xludf.DUMMYFUNCTION("""COMPUTED_VALUE"""),0.0)</f>
        <v>0</v>
      </c>
    </row>
    <row r="49" ht="15.75" customHeight="1">
      <c r="A49" s="8" t="str">
        <f>IFERROR(__xludf.DUMMYFUNCTION("""COMPUTED_VALUE"""),"https://www.morismedia.in/abu-dhabi-top-10-paid-media-management-agency-serving-finance-in-2026")</f>
        <v>https://www.morismedia.in/abu-dhabi-top-10-paid-media-management-agency-serving-finance-in-2026</v>
      </c>
      <c r="B49" s="8" t="str">
        <f>IFERROR(__xludf.DUMMYFUNCTION("""COMPUTED_VALUE"""),"morismedia.in")</f>
        <v>morismedia.in</v>
      </c>
      <c r="C49" s="11" t="str">
        <f>IFERROR(__xludf.DUMMYFUNCTION("""COMPUTED_VALUE"""),"OTHER")</f>
        <v>OTHER</v>
      </c>
      <c r="D49" s="11" t="str">
        <f>IFERROR(__xludf.DUMMYFUNCTION("""COMPUTED_VALUE"""),"OTHER")</f>
        <v>OTHER</v>
      </c>
      <c r="E49" s="11" t="str">
        <f>IFERROR(__xludf.DUMMYFUNCTION("""COMPUTED_VALUE"""),"Abu Dhabi’s Top 10 Trusted Paid Media Management Agencies 2026")</f>
        <v>Abu Dhabi’s Top 10 Trusted Paid Media Management Agencies 2026</v>
      </c>
      <c r="F49" s="11" t="str">
        <f>IFERROR(__xludf.DUMMYFUNCTION("""COMPUTED_VALUE"""),"Other")</f>
        <v>Other</v>
      </c>
      <c r="G49" s="11" t="b">
        <f>IFERROR(__xludf.DUMMYFUNCTION("""COMPUTED_VALUE"""),FALSE)</f>
        <v>0</v>
      </c>
      <c r="H49" s="11" t="str">
        <f>IFERROR(__xludf.DUMMYFUNCTION("""COMPUTED_VALUE"""),"NEXA, Blue Beetle, Chain Reaction, VML, Dentsu")</f>
        <v>NEXA, Blue Beetle, Chain Reaction, VML, Dentsu</v>
      </c>
      <c r="I49" s="11">
        <f>IFERROR(__xludf.DUMMYFUNCTION("""COMPUTED_VALUE"""),2.0)</f>
        <v>2</v>
      </c>
      <c r="J49" s="11">
        <f>IFERROR(__xludf.DUMMYFUNCTION("""COMPUTED_VALUE"""),0.0)</f>
        <v>0</v>
      </c>
      <c r="K49" s="11">
        <f>IFERROR(__xludf.DUMMYFUNCTION("""COMPUTED_VALUE"""),0.0)</f>
        <v>0</v>
      </c>
    </row>
    <row r="50" ht="15.75" customHeight="1">
      <c r="A50" s="8" t="str">
        <f>IFERROR(__xludf.DUMMYFUNCTION("""COMPUTED_VALUE"""),"https://www.morismedia.in/best-advertising-agency-in-dubai-du-ae")</f>
        <v>https://www.morismedia.in/best-advertising-agency-in-dubai-du-ae</v>
      </c>
      <c r="B50" s="8" t="str">
        <f>IFERROR(__xludf.DUMMYFUNCTION("""COMPUTED_VALUE"""),"morismedia.in")</f>
        <v>morismedia.in</v>
      </c>
      <c r="C50" s="11" t="str">
        <f>IFERROR(__xludf.DUMMYFUNCTION("""COMPUTED_VALUE"""),"LISTICLE")</f>
        <v>LISTICLE</v>
      </c>
      <c r="D50" s="11" t="str">
        <f>IFERROR(__xludf.DUMMYFUNCTION("""COMPUTED_VALUE"""),"OTHER")</f>
        <v>OTHER</v>
      </c>
      <c r="E50" s="11" t="str">
        <f>IFERROR(__xludf.DUMMYFUNCTION("""COMPUTED_VALUE"""),"Top 10 Advertising Agencies in Dubai: Best Marketing Firms 2026 - Rankings &amp;amp; Reviews")</f>
        <v>Top 10 Advertising Agencies in Dubai: Best Marketing Firms 2026 - Rankings &amp;amp; Reviews</v>
      </c>
      <c r="F50" s="11" t="str">
        <f>IFERROR(__xludf.DUMMYFUNCTION("""COMPUTED_VALUE"""),"Listicle")</f>
        <v>Listicle</v>
      </c>
      <c r="G50" s="11" t="b">
        <f>IFERROR(__xludf.DUMMYFUNCTION("""COMPUTED_VALUE"""),FALSE)</f>
        <v>0</v>
      </c>
      <c r="H50" s="11" t="str">
        <f>IFERROR(__xludf.DUMMYFUNCTION("""COMPUTED_VALUE"""),"Memac Ogilvy, Impact BBDO, TBWA\RAAD, Disruptive Advertising")</f>
        <v>Memac Ogilvy, Impact BBDO, TBWA\RAAD, Disruptive Advertising</v>
      </c>
      <c r="I50" s="11">
        <f>IFERROR(__xludf.DUMMYFUNCTION("""COMPUTED_VALUE"""),2.0)</f>
        <v>2</v>
      </c>
      <c r="J50" s="11">
        <f>IFERROR(__xludf.DUMMYFUNCTION("""COMPUTED_VALUE"""),0.0)</f>
        <v>0</v>
      </c>
      <c r="K50" s="11">
        <f>IFERROR(__xludf.DUMMYFUNCTION("""COMPUTED_VALUE"""),1.5)</f>
        <v>1.5</v>
      </c>
    </row>
    <row r="51" ht="15.75" customHeight="1">
      <c r="A51" s="8" t="str">
        <f>IFERROR(__xludf.DUMMYFUNCTION("""COMPUTED_VALUE"""),"https://music.amazon.es/podcasts/ab0c6775-0756-4b4a-9584-c0818438a009/episodes/48290346-a1af-4264-a808-6eaa2ac56efd/how-to-rank-in-ai-%E2%80%94-sqseo-podcast-what-are-the-best-generative-engine-optimization-geo-agencies-in-united-arab-emirates")</f>
        <v>https://music.amazon.es/podcasts/ab0c6775-0756-4b4a-9584-c0818438a009/episodes/48290346-a1af-4264-a808-6eaa2ac56efd/how-to-rank-in-ai-%E2%80%94-sqseo-podcast-what-are-the-best-generative-engine-optimization-geo-agencies-in-united-arab-emirates</v>
      </c>
      <c r="B51" s="8" t="str">
        <f>IFERROR(__xludf.DUMMYFUNCTION("""COMPUTED_VALUE"""),"amazon.es")</f>
        <v>amazon.es</v>
      </c>
      <c r="C51" s="11" t="str">
        <f>IFERROR(__xludf.DUMMYFUNCTION("""COMPUTED_VALUE"""),"OTHER")</f>
        <v>OTHER</v>
      </c>
      <c r="D51" s="11" t="str">
        <f>IFERROR(__xludf.DUMMYFUNCTION("""COMPUTED_VALUE"""),"OTHER")</f>
        <v>OTHER</v>
      </c>
      <c r="E51" s="11"/>
      <c r="F51" s="11" t="str">
        <f>IFERROR(__xludf.DUMMYFUNCTION("""COMPUTED_VALUE"""),"Other")</f>
        <v>Other</v>
      </c>
      <c r="G51" s="11"/>
      <c r="H51" s="11" t="str">
        <f>IFERROR(__xludf.DUMMYFUNCTION("""COMPUTED_VALUE"""),"Unknown")</f>
        <v>Unknown</v>
      </c>
      <c r="I51" s="11">
        <f>IFERROR(__xludf.DUMMYFUNCTION("""COMPUTED_VALUE"""),2.0)</f>
        <v>2</v>
      </c>
      <c r="J51" s="11">
        <f>IFERROR(__xludf.DUMMYFUNCTION("""COMPUTED_VALUE"""),0.0)</f>
        <v>0</v>
      </c>
      <c r="K51" s="11">
        <f>IFERROR(__xludf.DUMMYFUNCTION("""COMPUTED_VALUE"""),0.0)</f>
        <v>0</v>
      </c>
    </row>
    <row r="52" ht="15.75" customHeight="1">
      <c r="A52" s="8" t="str">
        <f>IFERROR(__xludf.DUMMYFUNCTION("""COMPUTED_VALUE"""),"https://support.google.com/tagmanager/answer/7237700?hl=en")</f>
        <v>https://support.google.com/tagmanager/answer/7237700?hl=en</v>
      </c>
      <c r="B52" s="8" t="str">
        <f>IFERROR(__xludf.DUMMYFUNCTION("""COMPUTED_VALUE"""),"google.com")</f>
        <v>google.com</v>
      </c>
      <c r="C52" s="11" t="str">
        <f>IFERROR(__xludf.DUMMYFUNCTION("""COMPUTED_VALUE"""),"OTHER")</f>
        <v>OTHER</v>
      </c>
      <c r="D52" s="11" t="str">
        <f>IFERROR(__xludf.DUMMYFUNCTION("""COMPUTED_VALUE"""),"OTHER")</f>
        <v>OTHER</v>
      </c>
      <c r="E52" s="11" t="str">
        <f>IFERROR(__xludf.DUMMYFUNCTION("""COMPUTED_VALUE"""),"Google Marketing Platform Partners - Tag Manager Help")</f>
        <v>Google Marketing Platform Partners - Tag Manager Help</v>
      </c>
      <c r="F52" s="11" t="str">
        <f>IFERROR(__xludf.DUMMYFUNCTION("""COMPUTED_VALUE"""),"Other")</f>
        <v>Other</v>
      </c>
      <c r="G52" s="11" t="b">
        <f>IFERROR(__xludf.DUMMYFUNCTION("""COMPUTED_VALUE"""),FALSE)</f>
        <v>0</v>
      </c>
      <c r="H52" s="11"/>
      <c r="I52" s="11">
        <f>IFERROR(__xludf.DUMMYFUNCTION("""COMPUTED_VALUE"""),2.0)</f>
        <v>2</v>
      </c>
      <c r="J52" s="11">
        <f>IFERROR(__xludf.DUMMYFUNCTION("""COMPUTED_VALUE"""),0.0)</f>
        <v>0</v>
      </c>
      <c r="K52" s="11">
        <f>IFERROR(__xludf.DUMMYFUNCTION("""COMPUTED_VALUE"""),0.0)</f>
        <v>0</v>
      </c>
    </row>
    <row r="53" ht="15.75" customHeight="1">
      <c r="A53" s="8" t="str">
        <f>IFERROR(__xludf.DUMMYFUNCTION("""COMPUTED_VALUE"""),"https://support.google.com/tagmanager/answer/7237700?hl=en-au")</f>
        <v>https://support.google.com/tagmanager/answer/7237700?hl=en-au</v>
      </c>
      <c r="B53" s="8" t="str">
        <f>IFERROR(__xludf.DUMMYFUNCTION("""COMPUTED_VALUE"""),"google.com")</f>
        <v>google.com</v>
      </c>
      <c r="C53" s="11" t="str">
        <f>IFERROR(__xludf.DUMMYFUNCTION("""COMPUTED_VALUE"""),"OTHER")</f>
        <v>OTHER</v>
      </c>
      <c r="D53" s="11" t="str">
        <f>IFERROR(__xludf.DUMMYFUNCTION("""COMPUTED_VALUE"""),"OTHER")</f>
        <v>OTHER</v>
      </c>
      <c r="E53" s="11" t="str">
        <f>IFERROR(__xludf.DUMMYFUNCTION("""COMPUTED_VALUE"""),"Google Marketing Platform Partners - Tag Manager Help")</f>
        <v>Google Marketing Platform Partners - Tag Manager Help</v>
      </c>
      <c r="F53" s="11" t="str">
        <f>IFERROR(__xludf.DUMMYFUNCTION("""COMPUTED_VALUE"""),"Other")</f>
        <v>Other</v>
      </c>
      <c r="G53" s="11" t="b">
        <f>IFERROR(__xludf.DUMMYFUNCTION("""COMPUTED_VALUE"""),FALSE)</f>
        <v>0</v>
      </c>
      <c r="H53" s="11"/>
      <c r="I53" s="11">
        <f>IFERROR(__xludf.DUMMYFUNCTION("""COMPUTED_VALUE"""),2.0)</f>
        <v>2</v>
      </c>
      <c r="J53" s="11">
        <f>IFERROR(__xludf.DUMMYFUNCTION("""COMPUTED_VALUE"""),0.0)</f>
        <v>0</v>
      </c>
      <c r="K53" s="11">
        <f>IFERROR(__xludf.DUMMYFUNCTION("""COMPUTED_VALUE"""),0.0)</f>
        <v>0</v>
      </c>
    </row>
    <row r="54" ht="15.75" customHeight="1">
      <c r="A54" s="8" t="str">
        <f>IFERROR(__xludf.DUMMYFUNCTION("""COMPUTED_VALUE"""),"https://www.teamtweaks.com/blog/digital-marketing-agency-in-uae/")</f>
        <v>https://www.teamtweaks.com/blog/digital-marketing-agency-in-uae/</v>
      </c>
      <c r="B54" s="8" t="str">
        <f>IFERROR(__xludf.DUMMYFUNCTION("""COMPUTED_VALUE"""),"teamtweaks.com")</f>
        <v>teamtweaks.com</v>
      </c>
      <c r="C54" s="11" t="str">
        <f>IFERROR(__xludf.DUMMYFUNCTION("""COMPUTED_VALUE"""),"LISTICLE")</f>
        <v>LISTICLE</v>
      </c>
      <c r="D54" s="11" t="str">
        <f>IFERROR(__xludf.DUMMYFUNCTION("""COMPUTED_VALUE"""),"OTHER")</f>
        <v>OTHER</v>
      </c>
      <c r="E54" s="11" t="str">
        <f>IFERROR(__xludf.DUMMYFUNCTION("""COMPUTED_VALUE"""),"15+ Top Digital Marketing Agency in UAE For 2026")</f>
        <v>15+ Top Digital Marketing Agency in UAE For 2026</v>
      </c>
      <c r="F54" s="11" t="str">
        <f>IFERROR(__xludf.DUMMYFUNCTION("""COMPUTED_VALUE"""),"Listicle")</f>
        <v>Listicle</v>
      </c>
      <c r="G54" s="11" t="b">
        <f>IFERROR(__xludf.DUMMYFUNCTION("""COMPUTED_VALUE"""),FALSE)</f>
        <v>0</v>
      </c>
      <c r="H54" s="11" t="str">
        <f>IFERROR(__xludf.DUMMYFUNCTION("""COMPUTED_VALUE"""),"Prism Digital, United SEO, Above Digital, NEXA, DigitalFarm, Measured")</f>
        <v>Prism Digital, United SEO, Above Digital, NEXA, DigitalFarm, Measured</v>
      </c>
      <c r="I54" s="11">
        <f>IFERROR(__xludf.DUMMYFUNCTION("""COMPUTED_VALUE"""),2.0)</f>
        <v>2</v>
      </c>
      <c r="J54" s="11">
        <f>IFERROR(__xludf.DUMMYFUNCTION("""COMPUTED_VALUE"""),0.0)</f>
        <v>0</v>
      </c>
      <c r="K54" s="11">
        <f>IFERROR(__xludf.DUMMYFUNCTION("""COMPUTED_VALUE"""),0.0)</f>
        <v>0</v>
      </c>
    </row>
    <row r="55" ht="15.75" customHeight="1">
      <c r="A55" s="8" t="str">
        <f>IFERROR(__xludf.DUMMYFUNCTION("""COMPUTED_VALUE"""),"https://thehovi.com/")</f>
        <v>https://thehovi.com/</v>
      </c>
      <c r="B55" s="8" t="str">
        <f>IFERROR(__xludf.DUMMYFUNCTION("""COMPUTED_VALUE"""),"thehovi.com")</f>
        <v>thehovi.com</v>
      </c>
      <c r="C55" s="11" t="str">
        <f>IFERROR(__xludf.DUMMYFUNCTION("""COMPUTED_VALUE"""),"HOMEPAGE")</f>
        <v>HOMEPAGE</v>
      </c>
      <c r="D55" s="11" t="str">
        <f>IFERROR(__xludf.DUMMYFUNCTION("""COMPUTED_VALUE"""),"OTHER")</f>
        <v>OTHER</v>
      </c>
      <c r="E55" s="11" t="str">
        <f>IFERROR(__xludf.DUMMYFUNCTION("""COMPUTED_VALUE"""),"AI Marketing Agency Dubai | Hovi Digital Lab")</f>
        <v>AI Marketing Agency Dubai | Hovi Digital Lab</v>
      </c>
      <c r="F55" s="11" t="str">
        <f>IFERROR(__xludf.DUMMYFUNCTION("""COMPUTED_VALUE"""),"Homepage")</f>
        <v>Homepage</v>
      </c>
      <c r="G55" s="11" t="b">
        <f>IFERROR(__xludf.DUMMYFUNCTION("""COMPUTED_VALUE"""),FALSE)</f>
        <v>0</v>
      </c>
      <c r="H55" s="11" t="str">
        <f>IFERROR(__xludf.DUMMYFUNCTION("""COMPUTED_VALUE"""),"Hovi Digital Lab")</f>
        <v>Hovi Digital Lab</v>
      </c>
      <c r="I55" s="11">
        <f>IFERROR(__xludf.DUMMYFUNCTION("""COMPUTED_VALUE"""),2.0)</f>
        <v>2</v>
      </c>
      <c r="J55" s="11">
        <f>IFERROR(__xludf.DUMMYFUNCTION("""COMPUTED_VALUE"""),0.0)</f>
        <v>0</v>
      </c>
      <c r="K55" s="11">
        <f>IFERROR(__xludf.DUMMYFUNCTION("""COMPUTED_VALUE"""),1.0)</f>
        <v>1</v>
      </c>
    </row>
    <row r="56" ht="15.75" customHeight="1">
      <c r="A56" s="8" t="str">
        <f>IFERROR(__xludf.DUMMYFUNCTION("""COMPUTED_VALUE"""),"https://upgrowth.in/geo-optimization-uae/")</f>
        <v>https://upgrowth.in/geo-optimization-uae/</v>
      </c>
      <c r="B56" s="8" t="str">
        <f>IFERROR(__xludf.DUMMYFUNCTION("""COMPUTED_VALUE"""),"upgrowth.in")</f>
        <v>upgrowth.in</v>
      </c>
      <c r="C56" s="11" t="str">
        <f>IFERROR(__xludf.DUMMYFUNCTION("""COMPUTED_VALUE"""),"OTHER")</f>
        <v>OTHER</v>
      </c>
      <c r="D56" s="11" t="str">
        <f>IFERROR(__xludf.DUMMYFUNCTION("""COMPUTED_VALUE"""),"OTHER")</f>
        <v>OTHER</v>
      </c>
      <c r="E56" s="11" t="str">
        <f>IFERROR(__xludf.DUMMYFUNCTION("""COMPUTED_VALUE"""),"GEO Optimization UAE: How to Get Your Brand | upGrowth")</f>
        <v>GEO Optimization UAE: How to Get Your Brand | upGrowth</v>
      </c>
      <c r="F56" s="11" t="str">
        <f>IFERROR(__xludf.DUMMYFUNCTION("""COMPUTED_VALUE"""),"Other")</f>
        <v>Other</v>
      </c>
      <c r="G56" s="11" t="b">
        <f>IFERROR(__xludf.DUMMYFUNCTION("""COMPUTED_VALUE"""),FALSE)</f>
        <v>0</v>
      </c>
      <c r="H56" s="11" t="str">
        <f>IFERROR(__xludf.DUMMYFUNCTION("""COMPUTED_VALUE"""),"Measured")</f>
        <v>Measured</v>
      </c>
      <c r="I56" s="11">
        <f>IFERROR(__xludf.DUMMYFUNCTION("""COMPUTED_VALUE"""),2.0)</f>
        <v>2</v>
      </c>
      <c r="J56" s="11">
        <f>IFERROR(__xludf.DUMMYFUNCTION("""COMPUTED_VALUE"""),0.0)</f>
        <v>0</v>
      </c>
      <c r="K56" s="11">
        <f>IFERROR(__xludf.DUMMYFUNCTION("""COMPUTED_VALUE"""),0.0)</f>
        <v>0</v>
      </c>
    </row>
    <row r="57" ht="15.75" customHeight="1">
      <c r="A57" s="8" t="str">
        <f>IFERROR(__xludf.DUMMYFUNCTION("""COMPUTED_VALUE"""),"https://aceofperformance.com/")</f>
        <v>https://aceofperformance.com/</v>
      </c>
      <c r="B57" s="8" t="str">
        <f>IFERROR(__xludf.DUMMYFUNCTION("""COMPUTED_VALUE"""),"aceofperformance.com")</f>
        <v>aceofperformance.com</v>
      </c>
      <c r="C57" s="11" t="str">
        <f>IFERROR(__xludf.DUMMYFUNCTION("""COMPUTED_VALUE"""),"HOMEPAGE")</f>
        <v>HOMEPAGE</v>
      </c>
      <c r="D57" s="11" t="str">
        <f>IFERROR(__xludf.DUMMYFUNCTION("""COMPUTED_VALUE"""),"OTHER")</f>
        <v>OTHER</v>
      </c>
      <c r="E57" s="11" t="str">
        <f>IFERROR(__xludf.DUMMYFUNCTION("""COMPUTED_VALUE"""),"ACE of Performance")</f>
        <v>ACE of Performance</v>
      </c>
      <c r="F57" s="11" t="str">
        <f>IFERROR(__xludf.DUMMYFUNCTION("""COMPUTED_VALUE"""),"Homepage")</f>
        <v>Homepage</v>
      </c>
      <c r="G57" s="11" t="b">
        <f>IFERROR(__xludf.DUMMYFUNCTION("""COMPUTED_VALUE"""),FALSE)</f>
        <v>0</v>
      </c>
      <c r="H57" s="11" t="str">
        <f>IFERROR(__xludf.DUMMYFUNCTION("""COMPUTED_VALUE"""),"Push")</f>
        <v>Push</v>
      </c>
      <c r="I57" s="11">
        <f>IFERROR(__xludf.DUMMYFUNCTION("""COMPUTED_VALUE"""),1.0)</f>
        <v>1</v>
      </c>
      <c r="J57" s="11">
        <f>IFERROR(__xludf.DUMMYFUNCTION("""COMPUTED_VALUE"""),0.0)</f>
        <v>0</v>
      </c>
      <c r="K57" s="11">
        <f>IFERROR(__xludf.DUMMYFUNCTION("""COMPUTED_VALUE"""),0.0)</f>
        <v>0</v>
      </c>
    </row>
    <row r="58" ht="15.75" customHeight="1">
      <c r="A58" s="8" t="str">
        <f>IFERROR(__xludf.DUMMYFUNCTION("""COMPUTED_VALUE"""),"https://ads.google.com/intl/us/home/partners/work-with-a-partner/")</f>
        <v>https://ads.google.com/intl/us/home/partners/work-with-a-partner/</v>
      </c>
      <c r="B58" s="8" t="str">
        <f>IFERROR(__xludf.DUMMYFUNCTION("""COMPUTED_VALUE"""),"google.com")</f>
        <v>google.com</v>
      </c>
      <c r="C58" s="11" t="str">
        <f>IFERROR(__xludf.DUMMYFUNCTION("""COMPUTED_VALUE"""),"OTHER")</f>
        <v>OTHER</v>
      </c>
      <c r="D58" s="11" t="str">
        <f>IFERROR(__xludf.DUMMYFUNCTION("""COMPUTED_VALUE"""),"OTHER")</f>
        <v>OTHER</v>
      </c>
      <c r="E58" s="11"/>
      <c r="F58" s="11" t="str">
        <f>IFERROR(__xludf.DUMMYFUNCTION("""COMPUTED_VALUE"""),"Other")</f>
        <v>Other</v>
      </c>
      <c r="G58" s="11"/>
      <c r="H58" s="11" t="str">
        <f>IFERROR(__xludf.DUMMYFUNCTION("""COMPUTED_VALUE"""),"Unknown")</f>
        <v>Unknown</v>
      </c>
      <c r="I58" s="11">
        <f>IFERROR(__xludf.DUMMYFUNCTION("""COMPUTED_VALUE"""),1.0)</f>
        <v>1</v>
      </c>
      <c r="J58" s="11">
        <f>IFERROR(__xludf.DUMMYFUNCTION("""COMPUTED_VALUE"""),0.0)</f>
        <v>0</v>
      </c>
      <c r="K58" s="11">
        <f>IFERROR(__xludf.DUMMYFUNCTION("""COMPUTED_VALUE"""),0.0)</f>
        <v>0</v>
      </c>
    </row>
    <row r="59" ht="15.75" customHeight="1">
      <c r="A59" s="8" t="str">
        <f>IFERROR(__xludf.DUMMYFUNCTION("""COMPUTED_VALUE"""),"https://ae.jooble.org/jdp/9164769935601073808")</f>
        <v>https://ae.jooble.org/jdp/9164769935601073808</v>
      </c>
      <c r="B59" s="8" t="str">
        <f>IFERROR(__xludf.DUMMYFUNCTION("""COMPUTED_VALUE"""),"jooble.org")</f>
        <v>jooble.org</v>
      </c>
      <c r="C59" s="11" t="str">
        <f>IFERROR(__xludf.DUMMYFUNCTION("""COMPUTED_VALUE"""),"OTHER")</f>
        <v>OTHER</v>
      </c>
      <c r="D59" s="11" t="str">
        <f>IFERROR(__xludf.DUMMYFUNCTION("""COMPUTED_VALUE"""),"OTHER")</f>
        <v>OTHER</v>
      </c>
      <c r="E59" s="11"/>
      <c r="F59" s="11" t="str">
        <f>IFERROR(__xludf.DUMMYFUNCTION("""COMPUTED_VALUE"""),"Other")</f>
        <v>Other</v>
      </c>
      <c r="G59" s="11"/>
      <c r="H59" s="11" t="str">
        <f>IFERROR(__xludf.DUMMYFUNCTION("""COMPUTED_VALUE"""),"Unknown")</f>
        <v>Unknown</v>
      </c>
      <c r="I59" s="11">
        <f>IFERROR(__xludf.DUMMYFUNCTION("""COMPUTED_VALUE"""),1.0)</f>
        <v>1</v>
      </c>
      <c r="J59" s="11">
        <f>IFERROR(__xludf.DUMMYFUNCTION("""COMPUTED_VALUE"""),0.0)</f>
        <v>0</v>
      </c>
      <c r="K59" s="11">
        <f>IFERROR(__xludf.DUMMYFUNCTION("""COMPUTED_VALUE"""),1.0)</f>
        <v>1</v>
      </c>
    </row>
    <row r="60" ht="15.75" customHeight="1">
      <c r="A60" s="8" t="str">
        <f>IFERROR(__xludf.DUMMYFUNCTION("""COMPUTED_VALUE"""),"https://aeon-movies.com/")</f>
        <v>https://aeon-movies.com/</v>
      </c>
      <c r="B60" s="8" t="str">
        <f>IFERROR(__xludf.DUMMYFUNCTION("""COMPUTED_VALUE"""),"aeon-movies.com")</f>
        <v>aeon-movies.com</v>
      </c>
      <c r="C60" s="11" t="str">
        <f>IFERROR(__xludf.DUMMYFUNCTION("""COMPUTED_VALUE"""),"OTHER")</f>
        <v>OTHER</v>
      </c>
      <c r="D60" s="11" t="str">
        <f>IFERROR(__xludf.DUMMYFUNCTION("""COMPUTED_VALUE"""),"OTHER")</f>
        <v>OTHER</v>
      </c>
      <c r="E60" s="11"/>
      <c r="F60" s="11" t="str">
        <f>IFERROR(__xludf.DUMMYFUNCTION("""COMPUTED_VALUE"""),"Other")</f>
        <v>Other</v>
      </c>
      <c r="G60" s="11"/>
      <c r="H60" s="11" t="str">
        <f>IFERROR(__xludf.DUMMYFUNCTION("""COMPUTED_VALUE"""),"Unknown")</f>
        <v>Unknown</v>
      </c>
      <c r="I60" s="11">
        <f>IFERROR(__xludf.DUMMYFUNCTION("""COMPUTED_VALUE"""),1.0)</f>
        <v>1</v>
      </c>
      <c r="J60" s="11">
        <f>IFERROR(__xludf.DUMMYFUNCTION("""COMPUTED_VALUE"""),0.0)</f>
        <v>0</v>
      </c>
      <c r="K60" s="11">
        <f>IFERROR(__xludf.DUMMYFUNCTION("""COMPUTED_VALUE"""),0.0)</f>
        <v>0</v>
      </c>
    </row>
    <row r="61" ht="15.75" customHeight="1">
      <c r="A61" s="8" t="str">
        <f>IFERROR(__xludf.DUMMYFUNCTION("""COMPUTED_VALUE"""),"https://aisuperior.com/ai-consulting-companies-in-the-uae/")</f>
        <v>https://aisuperior.com/ai-consulting-companies-in-the-uae/</v>
      </c>
      <c r="B61" s="8" t="str">
        <f>IFERROR(__xludf.DUMMYFUNCTION("""COMPUTED_VALUE"""),"aisuperior.com")</f>
        <v>aisuperior.com</v>
      </c>
      <c r="C61" s="11" t="str">
        <f>IFERROR(__xludf.DUMMYFUNCTION("""COMPUTED_VALUE"""),"LISTICLE")</f>
        <v>LISTICLE</v>
      </c>
      <c r="D61" s="11" t="str">
        <f>IFERROR(__xludf.DUMMYFUNCTION("""COMPUTED_VALUE"""),"OTHER")</f>
        <v>OTHER</v>
      </c>
      <c r="E61" s="11" t="str">
        <f>IFERROR(__xludf.DUMMYFUNCTION("""COMPUTED_VALUE"""),"20 Best AI Consulting Companies in the UAE (2026)")</f>
        <v>20 Best AI Consulting Companies in the UAE (2026)</v>
      </c>
      <c r="F61" s="11" t="str">
        <f>IFERROR(__xludf.DUMMYFUNCTION("""COMPUTED_VALUE"""),"Listicle")</f>
        <v>Listicle</v>
      </c>
      <c r="G61" s="11" t="b">
        <f>IFERROR(__xludf.DUMMYFUNCTION("""COMPUTED_VALUE"""),FALSE)</f>
        <v>0</v>
      </c>
      <c r="H61" s="11" t="str">
        <f>IFERROR(__xludf.DUMMYFUNCTION("""COMPUTED_VALUE"""),"Push, PHD")</f>
        <v>Push, PHD</v>
      </c>
      <c r="I61" s="11">
        <f>IFERROR(__xludf.DUMMYFUNCTION("""COMPUTED_VALUE"""),1.0)</f>
        <v>1</v>
      </c>
      <c r="J61" s="11">
        <f>IFERROR(__xludf.DUMMYFUNCTION("""COMPUTED_VALUE"""),0.0)</f>
        <v>0</v>
      </c>
      <c r="K61" s="11">
        <f>IFERROR(__xludf.DUMMYFUNCTION("""COMPUTED_VALUE"""),0.0)</f>
        <v>0</v>
      </c>
    </row>
    <row r="62" ht="15.75" customHeight="1">
      <c r="A62" s="8" t="str">
        <f>IFERROR(__xludf.DUMMYFUNCTION("""COMPUTED_VALUE"""),"https://ajunais.com/#:~:text=AI%2Dpowered%20launch%20roadmaps%20with%20channel%20strategy%2C%20campaign,every%20scale%2C%20every%20challenge.%20%2D%20AI%2Dpowered%20intelligence.")</f>
        <v>https://ajunais.com/#:~:text=AI%2Dpowered%20launch%20roadmaps%20with%20channel%20strategy%2C%20campaign,every%20scale%2C%20every%20challenge.%20%2D%20AI%2Dpowered%20intelligence.</v>
      </c>
      <c r="B62" s="8" t="str">
        <f>IFERROR(__xludf.DUMMYFUNCTION("""COMPUTED_VALUE"""),"ajunais.com")</f>
        <v>ajunais.com</v>
      </c>
      <c r="C62" s="11" t="str">
        <f>IFERROR(__xludf.DUMMYFUNCTION("""COMPUTED_VALUE"""),"HOMEPAGE")</f>
        <v>HOMEPAGE</v>
      </c>
      <c r="D62" s="11" t="str">
        <f>IFERROR(__xludf.DUMMYFUNCTION("""COMPUTED_VALUE"""),"OTHER")</f>
        <v>OTHER</v>
      </c>
      <c r="E62" s="11" t="str">
        <f>IFERROR(__xludf.DUMMYFUNCTION("""COMPUTED_VALUE"""),"Brand Strategy Consultant Dubai | AI-First | AJ")</f>
        <v>Brand Strategy Consultant Dubai | AI-First | AJ</v>
      </c>
      <c r="F62" s="11" t="str">
        <f>IFERROR(__xludf.DUMMYFUNCTION("""COMPUTED_VALUE"""),"Homepage")</f>
        <v>Homepage</v>
      </c>
      <c r="G62" s="11" t="b">
        <f>IFERROR(__xludf.DUMMYFUNCTION("""COMPUTED_VALUE"""),FALSE)</f>
        <v>0</v>
      </c>
      <c r="H62" s="11" t="str">
        <f>IFERROR(__xludf.DUMMYFUNCTION("""COMPUTED_VALUE"""),"Push, Brandtech, intouch")</f>
        <v>Push, Brandtech, intouch</v>
      </c>
      <c r="I62" s="11">
        <f>IFERROR(__xludf.DUMMYFUNCTION("""COMPUTED_VALUE"""),1.0)</f>
        <v>1</v>
      </c>
      <c r="J62" s="11">
        <f>IFERROR(__xludf.DUMMYFUNCTION("""COMPUTED_VALUE"""),0.0)</f>
        <v>0</v>
      </c>
      <c r="K62" s="11">
        <f>IFERROR(__xludf.DUMMYFUNCTION("""COMPUTED_VALUE"""),2.0)</f>
        <v>2</v>
      </c>
    </row>
    <row r="63" ht="15.75" customHeight="1">
      <c r="A63" s="8" t="str">
        <f>IFERROR(__xludf.DUMMYFUNCTION("""COMPUTED_VALUE"""),"https://alserhmedia.com/")</f>
        <v>https://alserhmedia.com/</v>
      </c>
      <c r="B63" s="8" t="str">
        <f>IFERROR(__xludf.DUMMYFUNCTION("""COMPUTED_VALUE"""),"alserhmedia.com")</f>
        <v>alserhmedia.com</v>
      </c>
      <c r="C63" s="11" t="str">
        <f>IFERROR(__xludf.DUMMYFUNCTION("""COMPUTED_VALUE"""),"OTHER")</f>
        <v>OTHER</v>
      </c>
      <c r="D63" s="11" t="str">
        <f>IFERROR(__xludf.DUMMYFUNCTION("""COMPUTED_VALUE"""),"OTHER")</f>
        <v>OTHER</v>
      </c>
      <c r="E63" s="11"/>
      <c r="F63" s="11" t="str">
        <f>IFERROR(__xludf.DUMMYFUNCTION("""COMPUTED_VALUE"""),"Other")</f>
        <v>Other</v>
      </c>
      <c r="G63" s="11"/>
      <c r="H63" s="11" t="str">
        <f>IFERROR(__xludf.DUMMYFUNCTION("""COMPUTED_VALUE"""),"Unknown")</f>
        <v>Unknown</v>
      </c>
      <c r="I63" s="11">
        <f>IFERROR(__xludf.DUMMYFUNCTION("""COMPUTED_VALUE"""),1.0)</f>
        <v>1</v>
      </c>
      <c r="J63" s="11">
        <f>IFERROR(__xludf.DUMMYFUNCTION("""COMPUTED_VALUE"""),0.0)</f>
        <v>0</v>
      </c>
      <c r="K63" s="11">
        <f>IFERROR(__xludf.DUMMYFUNCTION("""COMPUTED_VALUE"""),2.0)</f>
        <v>2</v>
      </c>
    </row>
    <row r="64" ht="15.75" customHeight="1">
      <c r="A64" s="8" t="str">
        <f>IFERROR(__xludf.DUMMYFUNCTION("""COMPUTED_VALUE"""),"https://www.amraandelma.com/digital-marketing-agencies-in-dubai/#:~:text=While%20many%20agencies%20concentrate%20on%20a%20single,that%20continue%20to%20convert%20long%20after%20launch.")</f>
        <v>https://www.amraandelma.com/digital-marketing-agencies-in-dubai/#:~:text=While%20many%20agencies%20concentrate%20on%20a%20single,that%20continue%20to%20convert%20long%20after%20launch.</v>
      </c>
      <c r="B64" s="8" t="str">
        <f>IFERROR(__xludf.DUMMYFUNCTION("""COMPUTED_VALUE"""),"amraandelma.com")</f>
        <v>amraandelma.com</v>
      </c>
      <c r="C64" s="11" t="str">
        <f>IFERROR(__xludf.DUMMYFUNCTION("""COMPUTED_VALUE"""),"OTHER")</f>
        <v>OTHER</v>
      </c>
      <c r="D64" s="11" t="str">
        <f>IFERROR(__xludf.DUMMYFUNCTION("""COMPUTED_VALUE"""),"OTHER")</f>
        <v>OTHER</v>
      </c>
      <c r="E64" s="11" t="str">
        <f>IFERROR(__xludf.DUMMYFUNCTION("""COMPUTED_VALUE"""),"20 BEST DIGITAL MARKETING AGENCIES IN DUBAI DOMINATING GLOBAL BRANDS IN 2026")</f>
        <v>20 BEST DIGITAL MARKETING AGENCIES IN DUBAI DOMINATING GLOBAL BRANDS IN 2026</v>
      </c>
      <c r="F64" s="11" t="str">
        <f>IFERROR(__xludf.DUMMYFUNCTION("""COMPUTED_VALUE"""),"Other")</f>
        <v>Other</v>
      </c>
      <c r="G64" s="11" t="b">
        <f>IFERROR(__xludf.DUMMYFUNCTION("""COMPUTED_VALUE"""),FALSE)</f>
        <v>0</v>
      </c>
      <c r="H64" s="11" t="str">
        <f>IFERROR(__xludf.DUMMYFUNCTION("""COMPUTED_VALUE"""),"Momentum, Push, intouch, Adapts Media, Digital Gravity")</f>
        <v>Momentum, Push, intouch, Adapts Media, Digital Gravity</v>
      </c>
      <c r="I64" s="11">
        <f>IFERROR(__xludf.DUMMYFUNCTION("""COMPUTED_VALUE"""),1.0)</f>
        <v>1</v>
      </c>
      <c r="J64" s="11">
        <f>IFERROR(__xludf.DUMMYFUNCTION("""COMPUTED_VALUE"""),0.0)</f>
        <v>0</v>
      </c>
      <c r="K64" s="11">
        <f>IFERROR(__xludf.DUMMYFUNCTION("""COMPUTED_VALUE"""),3.0)</f>
        <v>3</v>
      </c>
    </row>
    <row r="65" ht="15.75" customHeight="1">
      <c r="A65" s="8" t="str">
        <f>IFERROR(__xludf.DUMMYFUNCTION("""COMPUTED_VALUE"""),"https://www.amraandelma.com/performance-marketing-agencies/")</f>
        <v>https://www.amraandelma.com/performance-marketing-agencies/</v>
      </c>
      <c r="B65" s="8" t="str">
        <f>IFERROR(__xludf.DUMMYFUNCTION("""COMPUTED_VALUE"""),"amraandelma.com")</f>
        <v>amraandelma.com</v>
      </c>
      <c r="C65" s="11" t="str">
        <f>IFERROR(__xludf.DUMMYFUNCTION("""COMPUTED_VALUE"""),"LISTICLE")</f>
        <v>LISTICLE</v>
      </c>
      <c r="D65" s="11" t="str">
        <f>IFERROR(__xludf.DUMMYFUNCTION("""COMPUTED_VALUE"""),"OTHER")</f>
        <v>OTHER</v>
      </c>
      <c r="E65" s="11" t="str">
        <f>IFERROR(__xludf.DUMMYFUNCTION("""COMPUTED_VALUE"""),"10 TOP PERFORMANCE MARKETING AGENCIES SECRETLY DRIVING BILLIONS IN REVENUE IN 2026")</f>
        <v>10 TOP PERFORMANCE MARKETING AGENCIES SECRETLY DRIVING BILLIONS IN REVENUE IN 2026</v>
      </c>
      <c r="F65" s="11" t="str">
        <f>IFERROR(__xludf.DUMMYFUNCTION("""COMPUTED_VALUE"""),"Listicle")</f>
        <v>Listicle</v>
      </c>
      <c r="G65" s="11" t="b">
        <f>IFERROR(__xludf.DUMMYFUNCTION("""COMPUTED_VALUE"""),FALSE)</f>
        <v>0</v>
      </c>
      <c r="H65" s="11" t="str">
        <f>IFERROR(__xludf.DUMMYFUNCTION("""COMPUTED_VALUE"""),"Momentum, Push")</f>
        <v>Momentum, Push</v>
      </c>
      <c r="I65" s="11">
        <f>IFERROR(__xludf.DUMMYFUNCTION("""COMPUTED_VALUE"""),1.0)</f>
        <v>1</v>
      </c>
      <c r="J65" s="11">
        <f>IFERROR(__xludf.DUMMYFUNCTION("""COMPUTED_VALUE"""),0.0)</f>
        <v>0</v>
      </c>
      <c r="K65" s="11">
        <f>IFERROR(__xludf.DUMMYFUNCTION("""COMPUTED_VALUE"""),0.0)</f>
        <v>0</v>
      </c>
    </row>
    <row r="66" ht="15.75" customHeight="1">
      <c r="A66" s="8" t="str">
        <f>IFERROR(__xludf.DUMMYFUNCTION("""COMPUTED_VALUE"""),"https://banibro.com/blog/erp-implementation-companies-in-dubai/")</f>
        <v>https://banibro.com/blog/erp-implementation-companies-in-dubai/</v>
      </c>
      <c r="B66" s="8" t="str">
        <f>IFERROR(__xludf.DUMMYFUNCTION("""COMPUTED_VALUE"""),"banibro.com")</f>
        <v>banibro.com</v>
      </c>
      <c r="C66" s="11" t="str">
        <f>IFERROR(__xludf.DUMMYFUNCTION("""COMPUTED_VALUE"""),"PROFILE")</f>
        <v>PROFILE</v>
      </c>
      <c r="D66" s="11" t="str">
        <f>IFERROR(__xludf.DUMMYFUNCTION("""COMPUTED_VALUE"""),"OTHER")</f>
        <v>OTHER</v>
      </c>
      <c r="E66" s="11" t="str">
        <f>IFERROR(__xludf.DUMMYFUNCTION("""COMPUTED_VALUE"""),"Top ERP Implementation Companies in Dubai 2026 | UAE")</f>
        <v>Top ERP Implementation Companies in Dubai 2026 | UAE</v>
      </c>
      <c r="F66" s="11" t="str">
        <f>IFERROR(__xludf.DUMMYFUNCTION("""COMPUTED_VALUE"""),"Profile")</f>
        <v>Profile</v>
      </c>
      <c r="G66" s="11" t="b">
        <f>IFERROR(__xludf.DUMMYFUNCTION("""COMPUTED_VALUE"""),FALSE)</f>
        <v>0</v>
      </c>
      <c r="H66" s="11"/>
      <c r="I66" s="11">
        <f>IFERROR(__xludf.DUMMYFUNCTION("""COMPUTED_VALUE"""),1.0)</f>
        <v>1</v>
      </c>
      <c r="J66" s="11">
        <f>IFERROR(__xludf.DUMMYFUNCTION("""COMPUTED_VALUE"""),0.0)</f>
        <v>0</v>
      </c>
      <c r="K66" s="11">
        <f>IFERROR(__xludf.DUMMYFUNCTION("""COMPUTED_VALUE"""),1.0)</f>
        <v>1</v>
      </c>
    </row>
    <row r="67" ht="15.75" customHeight="1">
      <c r="A67" s="8" t="str">
        <f>IFERROR(__xludf.DUMMYFUNCTION("""COMPUTED_VALUE"""),"https://business.google.com/in/think/marketing-strategies/incrementality-testing/")</f>
        <v>https://business.google.com/in/think/marketing-strategies/incrementality-testing/</v>
      </c>
      <c r="B67" s="8" t="str">
        <f>IFERROR(__xludf.DUMMYFUNCTION("""COMPUTED_VALUE"""),"google.com")</f>
        <v>google.com</v>
      </c>
      <c r="C67" s="11" t="str">
        <f>IFERROR(__xludf.DUMMYFUNCTION("""COMPUTED_VALUE"""),"ARTICLE")</f>
        <v>ARTICLE</v>
      </c>
      <c r="D67" s="11" t="str">
        <f>IFERROR(__xludf.DUMMYFUNCTION("""COMPUTED_VALUE"""),"OTHER")</f>
        <v>OTHER</v>
      </c>
      <c r="E67" s="11" t="str">
        <f>IFERROR(__xludf.DUMMYFUNCTION("""COMPUTED_VALUE"""),"Use incrementality testing for effective marketing measurement")</f>
        <v>Use incrementality testing for effective marketing measurement</v>
      </c>
      <c r="F67" s="11" t="str">
        <f>IFERROR(__xludf.DUMMYFUNCTION("""COMPUTED_VALUE"""),"Article")</f>
        <v>Article</v>
      </c>
      <c r="G67" s="11" t="b">
        <f>IFERROR(__xludf.DUMMYFUNCTION("""COMPUTED_VALUE"""),FALSE)</f>
        <v>0</v>
      </c>
      <c r="H67" s="11"/>
      <c r="I67" s="11">
        <f>IFERROR(__xludf.DUMMYFUNCTION("""COMPUTED_VALUE"""),1.0)</f>
        <v>1</v>
      </c>
      <c r="J67" s="11">
        <f>IFERROR(__xludf.DUMMYFUNCTION("""COMPUTED_VALUE"""),0.0)</f>
        <v>0</v>
      </c>
      <c r="K67" s="11">
        <f>IFERROR(__xludf.DUMMYFUNCTION("""COMPUTED_VALUE"""),3.0)</f>
        <v>3</v>
      </c>
    </row>
    <row r="68" ht="15.75" customHeight="1">
      <c r="A68" s="8" t="str">
        <f>IFERROR(__xludf.DUMMYFUNCTION("""COMPUTED_VALUE"""),"https://digitalmediasapiens.com/best-digital-marketing-agency-in-dubai-for-roi-driven-growth/")</f>
        <v>https://digitalmediasapiens.com/best-digital-marketing-agency-in-dubai-for-roi-driven-growth/</v>
      </c>
      <c r="B68" s="8" t="str">
        <f>IFERROR(__xludf.DUMMYFUNCTION("""COMPUTED_VALUE"""),"digitalmediasapiens.com")</f>
        <v>digitalmediasapiens.com</v>
      </c>
      <c r="C68" s="11" t="str">
        <f>IFERROR(__xludf.DUMMYFUNCTION("""COMPUTED_VALUE"""),"PRODUCT_PAGE")</f>
        <v>PRODUCT_PAGE</v>
      </c>
      <c r="D68" s="11" t="str">
        <f>IFERROR(__xludf.DUMMYFUNCTION("""COMPUTED_VALUE"""),"OTHER")</f>
        <v>OTHER</v>
      </c>
      <c r="E68" s="11" t="str">
        <f>IFERROR(__xludf.DUMMYFUNCTION("""COMPUTED_VALUE"""),"Best Digital Marketing Agency in Dubai for ROI-Driven Growth - Digital Media Sapiens")</f>
        <v>Best Digital Marketing Agency in Dubai for ROI-Driven Growth - Digital Media Sapiens</v>
      </c>
      <c r="F68" s="11" t="str">
        <f>IFERROR(__xludf.DUMMYFUNCTION("""COMPUTED_VALUE"""),"Product Page")</f>
        <v>Product Page</v>
      </c>
      <c r="G68" s="11" t="b">
        <f>IFERROR(__xludf.DUMMYFUNCTION("""COMPUTED_VALUE"""),FALSE)</f>
        <v>0</v>
      </c>
      <c r="H68" s="11" t="str">
        <f>IFERROR(__xludf.DUMMYFUNCTION("""COMPUTED_VALUE"""),"Digital Media Sapiens")</f>
        <v>Digital Media Sapiens</v>
      </c>
      <c r="I68" s="11">
        <f>IFERROR(__xludf.DUMMYFUNCTION("""COMPUTED_VALUE"""),1.0)</f>
        <v>1</v>
      </c>
      <c r="J68" s="11">
        <f>IFERROR(__xludf.DUMMYFUNCTION("""COMPUTED_VALUE"""),0.0)</f>
        <v>0</v>
      </c>
      <c r="K68" s="11">
        <f>IFERROR(__xludf.DUMMYFUNCTION("""COMPUTED_VALUE"""),2.0)</f>
        <v>2</v>
      </c>
    </row>
    <row r="69" ht="15.75" customHeight="1">
      <c r="A69" s="8" t="str">
        <f>IFERROR(__xludf.DUMMYFUNCTION("""COMPUTED_VALUE"""),"https://digitalmediasapiens.com/marketing-consultant-services-dubai/")</f>
        <v>https://digitalmediasapiens.com/marketing-consultant-services-dubai/</v>
      </c>
      <c r="B69" s="8" t="str">
        <f>IFERROR(__xludf.DUMMYFUNCTION("""COMPUTED_VALUE"""),"digitalmediasapiens.com")</f>
        <v>digitalmediasapiens.com</v>
      </c>
      <c r="C69" s="11" t="str">
        <f>IFERROR(__xludf.DUMMYFUNCTION("""COMPUTED_VALUE"""),"PRODUCT_PAGE")</f>
        <v>PRODUCT_PAGE</v>
      </c>
      <c r="D69" s="11" t="str">
        <f>IFERROR(__xludf.DUMMYFUNCTION("""COMPUTED_VALUE"""),"OTHER")</f>
        <v>OTHER</v>
      </c>
      <c r="E69" s="11" t="str">
        <f>IFERROR(__xludf.DUMMYFUNCTION("""COMPUTED_VALUE"""),"Marketing Consultant Services Dubai - Digital Media Sapiens")</f>
        <v>Marketing Consultant Services Dubai - Digital Media Sapiens</v>
      </c>
      <c r="F69" s="11" t="str">
        <f>IFERROR(__xludf.DUMMYFUNCTION("""COMPUTED_VALUE"""),"Product Page")</f>
        <v>Product Page</v>
      </c>
      <c r="G69" s="11" t="b">
        <f>IFERROR(__xludf.DUMMYFUNCTION("""COMPUTED_VALUE"""),FALSE)</f>
        <v>0</v>
      </c>
      <c r="H69" s="11" t="str">
        <f>IFERROR(__xludf.DUMMYFUNCTION("""COMPUTED_VALUE"""),"Digital Media Sapiens")</f>
        <v>Digital Media Sapiens</v>
      </c>
      <c r="I69" s="11">
        <f>IFERROR(__xludf.DUMMYFUNCTION("""COMPUTED_VALUE"""),1.0)</f>
        <v>1</v>
      </c>
      <c r="J69" s="11">
        <f>IFERROR(__xludf.DUMMYFUNCTION("""COMPUTED_VALUE"""),0.0)</f>
        <v>0</v>
      </c>
      <c r="K69" s="11">
        <f>IFERROR(__xludf.DUMMYFUNCTION("""COMPUTED_VALUE"""),1.0)</f>
        <v>1</v>
      </c>
    </row>
    <row r="70" ht="15.75" customHeight="1">
      <c r="A70" s="8" t="str">
        <f>IFERROR(__xludf.DUMMYFUNCTION("""COMPUTED_VALUE"""),"https://directory.esomar.org/results.php?conducted_id%5B%5D=190")</f>
        <v>https://directory.esomar.org/results.php?conducted_id%5B%5D=190</v>
      </c>
      <c r="B70" s="8" t="str">
        <f>IFERROR(__xludf.DUMMYFUNCTION("""COMPUTED_VALUE"""),"esomar.org")</f>
        <v>esomar.org</v>
      </c>
      <c r="C70" s="11" t="str">
        <f>IFERROR(__xludf.DUMMYFUNCTION("""COMPUTED_VALUE"""),"OTHER")</f>
        <v>OTHER</v>
      </c>
      <c r="D70" s="11" t="str">
        <f>IFERROR(__xludf.DUMMYFUNCTION("""COMPUTED_VALUE"""),"OTHER")</f>
        <v>OTHER</v>
      </c>
      <c r="E70" s="11"/>
      <c r="F70" s="11" t="str">
        <f>IFERROR(__xludf.DUMMYFUNCTION("""COMPUTED_VALUE"""),"Other")</f>
        <v>Other</v>
      </c>
      <c r="G70" s="11"/>
      <c r="H70" s="11" t="str">
        <f>IFERROR(__xludf.DUMMYFUNCTION("""COMPUTED_VALUE"""),"Unknown")</f>
        <v>Unknown</v>
      </c>
      <c r="I70" s="11">
        <f>IFERROR(__xludf.DUMMYFUNCTION("""COMPUTED_VALUE"""),1.0)</f>
        <v>1</v>
      </c>
      <c r="J70" s="11">
        <f>IFERROR(__xludf.DUMMYFUNCTION("""COMPUTED_VALUE"""),0.0)</f>
        <v>0</v>
      </c>
      <c r="K70" s="11">
        <f>IFERROR(__xludf.DUMMYFUNCTION("""COMPUTED_VALUE"""),1.0)</f>
        <v>1</v>
      </c>
    </row>
    <row r="71" ht="15.75" customHeight="1">
      <c r="A71" s="8" t="str">
        <f>IFERROR(__xludf.DUMMYFUNCTION("""COMPUTED_VALUE"""),"https://www.dutest.com/services/lifting-equipment-inspection-third-party-inspection-uae/")</f>
        <v>https://www.dutest.com/services/lifting-equipment-inspection-third-party-inspection-uae/</v>
      </c>
      <c r="B71" s="8" t="str">
        <f>IFERROR(__xludf.DUMMYFUNCTION("""COMPUTED_VALUE"""),"dutest.com")</f>
        <v>dutest.com</v>
      </c>
      <c r="C71" s="11" t="str">
        <f>IFERROR(__xludf.DUMMYFUNCTION("""COMPUTED_VALUE"""),"PRODUCT_PAGE")</f>
        <v>PRODUCT_PAGE</v>
      </c>
      <c r="D71" s="11" t="str">
        <f>IFERROR(__xludf.DUMMYFUNCTION("""COMPUTED_VALUE"""),"OTHER")</f>
        <v>OTHER</v>
      </c>
      <c r="E71" s="11" t="str">
        <f>IFERROR(__xludf.DUMMYFUNCTION("""COMPUTED_VALUE"""),"Lifting Equipment Inspection In UAE - Inspection Companies in Dubai, UAEDutest")</f>
        <v>Lifting Equipment Inspection In UAE - Inspection Companies in Dubai, UAEDutest</v>
      </c>
      <c r="F71" s="11" t="str">
        <f>IFERROR(__xludf.DUMMYFUNCTION("""COMPUTED_VALUE"""),"Product Page")</f>
        <v>Product Page</v>
      </c>
      <c r="G71" s="11" t="b">
        <f>IFERROR(__xludf.DUMMYFUNCTION("""COMPUTED_VALUE"""),FALSE)</f>
        <v>0</v>
      </c>
      <c r="H71" s="11"/>
      <c r="I71" s="11">
        <f>IFERROR(__xludf.DUMMYFUNCTION("""COMPUTED_VALUE"""),1.0)</f>
        <v>1</v>
      </c>
      <c r="J71" s="11">
        <f>IFERROR(__xludf.DUMMYFUNCTION("""COMPUTED_VALUE"""),0.0)</f>
        <v>0</v>
      </c>
      <c r="K71" s="11">
        <f>IFERROR(__xludf.DUMMYFUNCTION("""COMPUTED_VALUE"""),0.0)</f>
        <v>0</v>
      </c>
    </row>
    <row r="72" ht="15.75" customHeight="1">
      <c r="A72" s="8" t="str">
        <f>IFERROR(__xludf.DUMMYFUNCTION("""COMPUTED_VALUE"""),"https://emblixsolutions.ae/ai-powered-digital-marketing-services-in-dubai/#:~:text=GPT%2D5%20for%20campaign%20planning%2C%20competitive%20synthesis%2C%20and,analysis.%20Best%20depth%2Dof%2Dreasoning%20in%20the%20stack.%20Gemini.")</f>
        <v>https://emblixsolutions.ae/ai-powered-digital-marketing-services-in-dubai/#:~:text=GPT%2D5%20for%20campaign%20planning%2C%20competitive%20synthesis%2C%20and,analysis.%20Best%20depth%2Dof%2Dreasoning%20in%20the%20stack.%20Gemini.</v>
      </c>
      <c r="B72" s="8" t="str">
        <f>IFERROR(__xludf.DUMMYFUNCTION("""COMPUTED_VALUE"""),"emblixsolutions.ae")</f>
        <v>emblixsolutions.ae</v>
      </c>
      <c r="C72" s="11" t="str">
        <f>IFERROR(__xludf.DUMMYFUNCTION("""COMPUTED_VALUE"""),"OTHER")</f>
        <v>OTHER</v>
      </c>
      <c r="D72" s="11" t="str">
        <f>IFERROR(__xludf.DUMMYFUNCTION("""COMPUTED_VALUE"""),"OTHER")</f>
        <v>OTHER</v>
      </c>
      <c r="E72" s="11"/>
      <c r="F72" s="11" t="str">
        <f>IFERROR(__xludf.DUMMYFUNCTION("""COMPUTED_VALUE"""),"Other")</f>
        <v>Other</v>
      </c>
      <c r="G72" s="11"/>
      <c r="H72" s="11" t="str">
        <f>IFERROR(__xludf.DUMMYFUNCTION("""COMPUTED_VALUE"""),"Unknown")</f>
        <v>Unknown</v>
      </c>
      <c r="I72" s="11">
        <f>IFERROR(__xludf.DUMMYFUNCTION("""COMPUTED_VALUE"""),1.0)</f>
        <v>1</v>
      </c>
      <c r="J72" s="11">
        <f>IFERROR(__xludf.DUMMYFUNCTION("""COMPUTED_VALUE"""),0.0)</f>
        <v>0</v>
      </c>
      <c r="K72" s="11">
        <f>IFERROR(__xludf.DUMMYFUNCTION("""COMPUTED_VALUE"""),4.0)</f>
        <v>4</v>
      </c>
    </row>
    <row r="73" ht="15.75" customHeight="1">
      <c r="A73" s="8" t="str">
        <f>IFERROR(__xludf.DUMMYFUNCTION("""COMPUTED_VALUE"""),"https://ensun.io/search/geospatial-data/united-arab-emirates")</f>
        <v>https://ensun.io/search/geospatial-data/united-arab-emirates</v>
      </c>
      <c r="B73" s="8" t="str">
        <f>IFERROR(__xludf.DUMMYFUNCTION("""COMPUTED_VALUE"""),"ensun.io")</f>
        <v>ensun.io</v>
      </c>
      <c r="C73" s="11" t="str">
        <f>IFERROR(__xludf.DUMMYFUNCTION("""COMPUTED_VALUE"""),"OTHER")</f>
        <v>OTHER</v>
      </c>
      <c r="D73" s="11" t="str">
        <f>IFERROR(__xludf.DUMMYFUNCTION("""COMPUTED_VALUE"""),"OTHER")</f>
        <v>OTHER</v>
      </c>
      <c r="E73" s="11" t="str">
        <f>IFERROR(__xludf.DUMMYFUNCTION("""COMPUTED_VALUE"""),"Top 100 Geospatial Data Companies in United Arab Emirates (2026) \| ensun")</f>
        <v>Top 100 Geospatial Data Companies in United Arab Emirates (2026) \| ensun</v>
      </c>
      <c r="F73" s="11" t="str">
        <f>IFERROR(__xludf.DUMMYFUNCTION("""COMPUTED_VALUE"""),"Other")</f>
        <v>Other</v>
      </c>
      <c r="G73" s="11" t="b">
        <f>IFERROR(__xludf.DUMMYFUNCTION("""COMPUTED_VALUE"""),FALSE)</f>
        <v>0</v>
      </c>
      <c r="H73" s="11"/>
      <c r="I73" s="11">
        <f>IFERROR(__xludf.DUMMYFUNCTION("""COMPUTED_VALUE"""),1.0)</f>
        <v>1</v>
      </c>
      <c r="J73" s="11">
        <f>IFERROR(__xludf.DUMMYFUNCTION("""COMPUTED_VALUE"""),0.0)</f>
        <v>0</v>
      </c>
      <c r="K73" s="11">
        <f>IFERROR(__xludf.DUMMYFUNCTION("""COMPUTED_VALUE"""),1.0)</f>
        <v>1</v>
      </c>
    </row>
    <row r="74" ht="15.75" customHeight="1">
      <c r="A74" s="8" t="str">
        <f>IFERROR(__xludf.DUMMYFUNCTION("""COMPUTED_VALUE"""),"https://www.foreplay.co/post/madgicx-alternatives")</f>
        <v>https://www.foreplay.co/post/madgicx-alternatives</v>
      </c>
      <c r="B74" s="8" t="str">
        <f>IFERROR(__xludf.DUMMYFUNCTION("""COMPUTED_VALUE"""),"foreplay.co")</f>
        <v>foreplay.co</v>
      </c>
      <c r="C74" s="11" t="str">
        <f>IFERROR(__xludf.DUMMYFUNCTION("""COMPUTED_VALUE"""),"ALTERNATIVE")</f>
        <v>ALTERNATIVE</v>
      </c>
      <c r="D74" s="11" t="str">
        <f>IFERROR(__xludf.DUMMYFUNCTION("""COMPUTED_VALUE"""),"OTHER")</f>
        <v>OTHER</v>
      </c>
      <c r="E74" s="11" t="str">
        <f>IFERROR(__xludf.DUMMYFUNCTION("""COMPUTED_VALUE"""),"9 Best Madgicx Alternatives")</f>
        <v>9 Best Madgicx Alternatives</v>
      </c>
      <c r="F74" s="11" t="str">
        <f>IFERROR(__xludf.DUMMYFUNCTION("""COMPUTED_VALUE"""),"Alternative")</f>
        <v>Alternative</v>
      </c>
      <c r="G74" s="11" t="b">
        <f>IFERROR(__xludf.DUMMYFUNCTION("""COMPUTED_VALUE"""),FALSE)</f>
        <v>0</v>
      </c>
      <c r="H74" s="11" t="str">
        <f>IFERROR(__xludf.DUMMYFUNCTION("""COMPUTED_VALUE"""),"Huge")</f>
        <v>Huge</v>
      </c>
      <c r="I74" s="11">
        <f>IFERROR(__xludf.DUMMYFUNCTION("""COMPUTED_VALUE"""),1.0)</f>
        <v>1</v>
      </c>
      <c r="J74" s="11">
        <f>IFERROR(__xludf.DUMMYFUNCTION("""COMPUTED_VALUE"""),0.0)</f>
        <v>0</v>
      </c>
      <c r="K74" s="11">
        <f>IFERROR(__xludf.DUMMYFUNCTION("""COMPUTED_VALUE"""),1.0)</f>
        <v>1</v>
      </c>
    </row>
    <row r="75" ht="15.75" customHeight="1">
      <c r="A75" s="8" t="str">
        <f>IFERROR(__xludf.DUMMYFUNCTION("""COMPUTED_VALUE"""),"https://www.geniecrawl.com/top-50-geo-and-ai-marketing-agencies-in-the-uk-2026-rankings/")</f>
        <v>https://www.geniecrawl.com/top-50-geo-and-ai-marketing-agencies-in-the-uk-2026-rankings/</v>
      </c>
      <c r="B75" s="8" t="str">
        <f>IFERROR(__xludf.DUMMYFUNCTION("""COMPUTED_VALUE"""),"geniecrawl.com")</f>
        <v>geniecrawl.com</v>
      </c>
      <c r="C75" s="11" t="str">
        <f>IFERROR(__xludf.DUMMYFUNCTION("""COMPUTED_VALUE"""),"OTHER")</f>
        <v>OTHER</v>
      </c>
      <c r="D75" s="11" t="str">
        <f>IFERROR(__xludf.DUMMYFUNCTION("""COMPUTED_VALUE"""),"OTHER")</f>
        <v>OTHER</v>
      </c>
      <c r="E75" s="11" t="str">
        <f>IFERROR(__xludf.DUMMYFUNCTION("""COMPUTED_VALUE"""),"UK’s Leading GEO &amp; AI Marketing Agencies for 2026")</f>
        <v>UK’s Leading GEO &amp; AI Marketing Agencies for 2026</v>
      </c>
      <c r="F75" s="11" t="str">
        <f>IFERROR(__xludf.DUMMYFUNCTION("""COMPUTED_VALUE"""),"Other")</f>
        <v>Other</v>
      </c>
      <c r="G75" s="11" t="b">
        <f>IFERROR(__xludf.DUMMYFUNCTION("""COMPUTED_VALUE"""),FALSE)</f>
        <v>0</v>
      </c>
      <c r="H75" s="11" t="str">
        <f>IFERROR(__xludf.DUMMYFUNCTION("""COMPUTED_VALUE"""),"Bird Marketing, Push, Croud, intouch")</f>
        <v>Bird Marketing, Push, Croud, intouch</v>
      </c>
      <c r="I75" s="11">
        <f>IFERROR(__xludf.DUMMYFUNCTION("""COMPUTED_VALUE"""),1.0)</f>
        <v>1</v>
      </c>
      <c r="J75" s="11">
        <f>IFERROR(__xludf.DUMMYFUNCTION("""COMPUTED_VALUE"""),0.0)</f>
        <v>0</v>
      </c>
      <c r="K75" s="11">
        <f>IFERROR(__xludf.DUMMYFUNCTION("""COMPUTED_VALUE"""),1.0)</f>
        <v>1</v>
      </c>
    </row>
    <row r="76" ht="15.75" customHeight="1">
      <c r="A76" s="8" t="str">
        <f>IFERROR(__xludf.DUMMYFUNCTION("""COMPUTED_VALUE"""),"https://www.google.com/searchviewer/10?svid=CAwSGxIZCgNwdnESEkNnc3ZaeTh4ZEdSM2REUmpkdxgK")</f>
        <v>https://www.google.com/searchviewer/10?svid=CAwSGxIZCgNwdnESEkNnc3ZaeTh4ZEdSM2REUmpkdxgK</v>
      </c>
      <c r="B76" s="8" t="str">
        <f>IFERROR(__xludf.DUMMYFUNCTION("""COMPUTED_VALUE"""),"google.com")</f>
        <v>google.com</v>
      </c>
      <c r="C76" s="11" t="str">
        <f>IFERROR(__xludf.DUMMYFUNCTION("""COMPUTED_VALUE"""),"OTHER")</f>
        <v>OTHER</v>
      </c>
      <c r="D76" s="11" t="str">
        <f>IFERROR(__xludf.DUMMYFUNCTION("""COMPUTED_VALUE"""),"OTHER")</f>
        <v>OTHER</v>
      </c>
      <c r="E76" s="11"/>
      <c r="F76" s="11" t="str">
        <f>IFERROR(__xludf.DUMMYFUNCTION("""COMPUTED_VALUE"""),"Other")</f>
        <v>Other</v>
      </c>
      <c r="G76" s="11"/>
      <c r="H76" s="11" t="str">
        <f>IFERROR(__xludf.DUMMYFUNCTION("""COMPUTED_VALUE"""),"Unknown")</f>
        <v>Unknown</v>
      </c>
      <c r="I76" s="11">
        <f>IFERROR(__xludf.DUMMYFUNCTION("""COMPUTED_VALUE"""),1.0)</f>
        <v>1</v>
      </c>
      <c r="J76" s="11">
        <f>IFERROR(__xludf.DUMMYFUNCTION("""COMPUTED_VALUE"""),0.0)</f>
        <v>0</v>
      </c>
      <c r="K76" s="11">
        <f>IFERROR(__xludf.DUMMYFUNCTION("""COMPUTED_VALUE"""),0.0)</f>
        <v>0</v>
      </c>
    </row>
    <row r="77" ht="15.75" customHeight="1">
      <c r="A77" s="8" t="str">
        <f>IFERROR(__xludf.DUMMYFUNCTION("""COMPUTED_VALUE"""),"https://www.google.com/searchviewer/10?svid=CAwSHBIaCgNwdnESE0Nnd3ZaeTh4Y1RZMFpGOW1ZamcYCg")</f>
        <v>https://www.google.com/searchviewer/10?svid=CAwSHBIaCgNwdnESE0Nnd3ZaeTh4Y1RZMFpGOW1ZamcYCg</v>
      </c>
      <c r="B77" s="8" t="str">
        <f>IFERROR(__xludf.DUMMYFUNCTION("""COMPUTED_VALUE"""),"google.com")</f>
        <v>google.com</v>
      </c>
      <c r="C77" s="11" t="str">
        <f>IFERROR(__xludf.DUMMYFUNCTION("""COMPUTED_VALUE"""),"OTHER")</f>
        <v>OTHER</v>
      </c>
      <c r="D77" s="11" t="str">
        <f>IFERROR(__xludf.DUMMYFUNCTION("""COMPUTED_VALUE"""),"OTHER")</f>
        <v>OTHER</v>
      </c>
      <c r="E77" s="11"/>
      <c r="F77" s="11" t="str">
        <f>IFERROR(__xludf.DUMMYFUNCTION("""COMPUTED_VALUE"""),"Other")</f>
        <v>Other</v>
      </c>
      <c r="G77" s="11"/>
      <c r="H77" s="11" t="str">
        <f>IFERROR(__xludf.DUMMYFUNCTION("""COMPUTED_VALUE"""),"Unknown")</f>
        <v>Unknown</v>
      </c>
      <c r="I77" s="11">
        <f>IFERROR(__xludf.DUMMYFUNCTION("""COMPUTED_VALUE"""),1.0)</f>
        <v>1</v>
      </c>
      <c r="J77" s="11">
        <f>IFERROR(__xludf.DUMMYFUNCTION("""COMPUTED_VALUE"""),0.0)</f>
        <v>0</v>
      </c>
      <c r="K77" s="11">
        <f>IFERROR(__xludf.DUMMYFUNCTION("""COMPUTED_VALUE"""),0.0)</f>
        <v>0</v>
      </c>
    </row>
    <row r="78" ht="15.75" customHeight="1">
      <c r="A78" s="8" t="str">
        <f>IFERROR(__xludf.DUMMYFUNCTION("""COMPUTED_VALUE"""),"https://www.google.com/searchviewer/10?svid=CAwSHBIaCgNwdnESE0Nnd3ZaeTh4YUdjMGVHYzBkakkYCg")</f>
        <v>https://www.google.com/searchviewer/10?svid=CAwSHBIaCgNwdnESE0Nnd3ZaeTh4YUdjMGVHYzBkakkYCg</v>
      </c>
      <c r="B78" s="8" t="str">
        <f>IFERROR(__xludf.DUMMYFUNCTION("""COMPUTED_VALUE"""),"google.com")</f>
        <v>google.com</v>
      </c>
      <c r="C78" s="11" t="str">
        <f>IFERROR(__xludf.DUMMYFUNCTION("""COMPUTED_VALUE"""),"OTHER")</f>
        <v>OTHER</v>
      </c>
      <c r="D78" s="11" t="str">
        <f>IFERROR(__xludf.DUMMYFUNCTION("""COMPUTED_VALUE"""),"OTHER")</f>
        <v>OTHER</v>
      </c>
      <c r="E78" s="11"/>
      <c r="F78" s="11" t="str">
        <f>IFERROR(__xludf.DUMMYFUNCTION("""COMPUTED_VALUE"""),"Other")</f>
        <v>Other</v>
      </c>
      <c r="G78" s="11"/>
      <c r="H78" s="11" t="str">
        <f>IFERROR(__xludf.DUMMYFUNCTION("""COMPUTED_VALUE"""),"Unknown")</f>
        <v>Unknown</v>
      </c>
      <c r="I78" s="11">
        <f>IFERROR(__xludf.DUMMYFUNCTION("""COMPUTED_VALUE"""),1.0)</f>
        <v>1</v>
      </c>
      <c r="J78" s="11">
        <f>IFERROR(__xludf.DUMMYFUNCTION("""COMPUTED_VALUE"""),0.0)</f>
        <v>0</v>
      </c>
      <c r="K78" s="11">
        <f>IFERROR(__xludf.DUMMYFUNCTION("""COMPUTED_VALUE"""),0.0)</f>
        <v>0</v>
      </c>
    </row>
    <row r="79" ht="15.75" customHeight="1">
      <c r="A79" s="8" t="str">
        <f>IFERROR(__xludf.DUMMYFUNCTION("""COMPUTED_VALUE"""),"https://www.google.com/searchviewer/10?svid=CAwSHRIbCgNwdnESFENnMHZaeTh4TVc1NGNXMWpaM04zGAo")</f>
        <v>https://www.google.com/searchviewer/10?svid=CAwSHRIbCgNwdnESFENnMHZaeTh4TVc1NGNXMWpaM04zGAo</v>
      </c>
      <c r="B79" s="8" t="str">
        <f>IFERROR(__xludf.DUMMYFUNCTION("""COMPUTED_VALUE"""),"google.com")</f>
        <v>google.com</v>
      </c>
      <c r="C79" s="11" t="str">
        <f>IFERROR(__xludf.DUMMYFUNCTION("""COMPUTED_VALUE"""),"OTHER")</f>
        <v>OTHER</v>
      </c>
      <c r="D79" s="11" t="str">
        <f>IFERROR(__xludf.DUMMYFUNCTION("""COMPUTED_VALUE"""),"OTHER")</f>
        <v>OTHER</v>
      </c>
      <c r="E79" s="11"/>
      <c r="F79" s="11" t="str">
        <f>IFERROR(__xludf.DUMMYFUNCTION("""COMPUTED_VALUE"""),"Other")</f>
        <v>Other</v>
      </c>
      <c r="G79" s="11"/>
      <c r="H79" s="11" t="str">
        <f>IFERROR(__xludf.DUMMYFUNCTION("""COMPUTED_VALUE"""),"Unknown")</f>
        <v>Unknown</v>
      </c>
      <c r="I79" s="11">
        <f>IFERROR(__xludf.DUMMYFUNCTION("""COMPUTED_VALUE"""),1.0)</f>
        <v>1</v>
      </c>
      <c r="J79" s="11">
        <f>IFERROR(__xludf.DUMMYFUNCTION("""COMPUTED_VALUE"""),0.0)</f>
        <v>0</v>
      </c>
      <c r="K79" s="11">
        <f>IFERROR(__xludf.DUMMYFUNCTION("""COMPUTED_VALUE"""),0.0)</f>
        <v>0</v>
      </c>
    </row>
    <row r="80" ht="15.75" customHeight="1">
      <c r="A80" s="8" t="str">
        <f>IFERROR(__xludf.DUMMYFUNCTION("""COMPUTED_VALUE"""),"https://www.google.com/searchviewer/10?svid=CAwSHRIbCgNwdnESFENnMHZaeTh4TVc1dGVsOHhkSGxzGAo")</f>
        <v>https://www.google.com/searchviewer/10?svid=CAwSHRIbCgNwdnESFENnMHZaeTh4TVc1dGVsOHhkSGxzGAo</v>
      </c>
      <c r="B80" s="8" t="str">
        <f>IFERROR(__xludf.DUMMYFUNCTION("""COMPUTED_VALUE"""),"google.com")</f>
        <v>google.com</v>
      </c>
      <c r="C80" s="11" t="str">
        <f>IFERROR(__xludf.DUMMYFUNCTION("""COMPUTED_VALUE"""),"OTHER")</f>
        <v>OTHER</v>
      </c>
      <c r="D80" s="11" t="str">
        <f>IFERROR(__xludf.DUMMYFUNCTION("""COMPUTED_VALUE"""),"OTHER")</f>
        <v>OTHER</v>
      </c>
      <c r="E80" s="11"/>
      <c r="F80" s="11" t="str">
        <f>IFERROR(__xludf.DUMMYFUNCTION("""COMPUTED_VALUE"""),"Other")</f>
        <v>Other</v>
      </c>
      <c r="G80" s="11"/>
      <c r="H80" s="11" t="str">
        <f>IFERROR(__xludf.DUMMYFUNCTION("""COMPUTED_VALUE"""),"Unknown")</f>
        <v>Unknown</v>
      </c>
      <c r="I80" s="11">
        <f>IFERROR(__xludf.DUMMYFUNCTION("""COMPUTED_VALUE"""),1.0)</f>
        <v>1</v>
      </c>
      <c r="J80" s="11">
        <f>IFERROR(__xludf.DUMMYFUNCTION("""COMPUTED_VALUE"""),0.0)</f>
        <v>0</v>
      </c>
      <c r="K80" s="11">
        <f>IFERROR(__xludf.DUMMYFUNCTION("""COMPUTED_VALUE"""),2.0)</f>
        <v>2</v>
      </c>
    </row>
    <row r="81" ht="15.75" customHeight="1">
      <c r="A81" s="8" t="str">
        <f>IFERROR(__xludf.DUMMYFUNCTION("""COMPUTED_VALUE"""),"https://www.google.com/searchviewer/10?svid=CAwSHRIbCgNwdnESFENnMHZaeTh4TVd4MGNUZzVYM055GAo")</f>
        <v>https://www.google.com/searchviewer/10?svid=CAwSHRIbCgNwdnESFENnMHZaeTh4TVd4MGNUZzVYM055GAo</v>
      </c>
      <c r="B81" s="8" t="str">
        <f>IFERROR(__xludf.DUMMYFUNCTION("""COMPUTED_VALUE"""),"google.com")</f>
        <v>google.com</v>
      </c>
      <c r="C81" s="11" t="str">
        <f>IFERROR(__xludf.DUMMYFUNCTION("""COMPUTED_VALUE"""),"OTHER")</f>
        <v>OTHER</v>
      </c>
      <c r="D81" s="11" t="str">
        <f>IFERROR(__xludf.DUMMYFUNCTION("""COMPUTED_VALUE"""),"OTHER")</f>
        <v>OTHER</v>
      </c>
      <c r="E81" s="11"/>
      <c r="F81" s="11" t="str">
        <f>IFERROR(__xludf.DUMMYFUNCTION("""COMPUTED_VALUE"""),"Other")</f>
        <v>Other</v>
      </c>
      <c r="G81" s="11"/>
      <c r="H81" s="11" t="str">
        <f>IFERROR(__xludf.DUMMYFUNCTION("""COMPUTED_VALUE"""),"Unknown")</f>
        <v>Unknown</v>
      </c>
      <c r="I81" s="11">
        <f>IFERROR(__xludf.DUMMYFUNCTION("""COMPUTED_VALUE"""),1.0)</f>
        <v>1</v>
      </c>
      <c r="J81" s="11">
        <f>IFERROR(__xludf.DUMMYFUNCTION("""COMPUTED_VALUE"""),0.0)</f>
        <v>0</v>
      </c>
      <c r="K81" s="11">
        <f>IFERROR(__xludf.DUMMYFUNCTION("""COMPUTED_VALUE"""),0.0)</f>
        <v>0</v>
      </c>
    </row>
    <row r="82" ht="15.75" customHeight="1">
      <c r="A82" s="8" t="str">
        <f>IFERROR(__xludf.DUMMYFUNCTION("""COMPUTED_VALUE"""),"https://www.google.com/searchviewer/10?svid=CAwSHRIbCgNwdnESFENnMHZaeTh4TVdJMlpEQXdiRE54GAo")</f>
        <v>https://www.google.com/searchviewer/10?svid=CAwSHRIbCgNwdnESFENnMHZaeTh4TVdJMlpEQXdiRE54GAo</v>
      </c>
      <c r="B82" s="8" t="str">
        <f>IFERROR(__xludf.DUMMYFUNCTION("""COMPUTED_VALUE"""),"google.com")</f>
        <v>google.com</v>
      </c>
      <c r="C82" s="11" t="str">
        <f>IFERROR(__xludf.DUMMYFUNCTION("""COMPUTED_VALUE"""),"OTHER")</f>
        <v>OTHER</v>
      </c>
      <c r="D82" s="11" t="str">
        <f>IFERROR(__xludf.DUMMYFUNCTION("""COMPUTED_VALUE"""),"OTHER")</f>
        <v>OTHER</v>
      </c>
      <c r="E82" s="11"/>
      <c r="F82" s="11" t="str">
        <f>IFERROR(__xludf.DUMMYFUNCTION("""COMPUTED_VALUE"""),"Other")</f>
        <v>Other</v>
      </c>
      <c r="G82" s="11"/>
      <c r="H82" s="11" t="str">
        <f>IFERROR(__xludf.DUMMYFUNCTION("""COMPUTED_VALUE"""),"Unknown")</f>
        <v>Unknown</v>
      </c>
      <c r="I82" s="11">
        <f>IFERROR(__xludf.DUMMYFUNCTION("""COMPUTED_VALUE"""),1.0)</f>
        <v>1</v>
      </c>
      <c r="J82" s="11">
        <f>IFERROR(__xludf.DUMMYFUNCTION("""COMPUTED_VALUE"""),0.0)</f>
        <v>0</v>
      </c>
      <c r="K82" s="11">
        <f>IFERROR(__xludf.DUMMYFUNCTION("""COMPUTED_VALUE"""),0.0)</f>
        <v>0</v>
      </c>
    </row>
    <row r="83" ht="15.75" customHeight="1">
      <c r="A83" s="8" t="str">
        <f>IFERROR(__xludf.DUMMYFUNCTION("""COMPUTED_VALUE"""),"https://www.google.com/searchviewer/10?svid=CAwSHRIbCgNwdnESFENnMHZaeTh4TVdKaWQzaHNjM2N5GAo")</f>
        <v>https://www.google.com/searchviewer/10?svid=CAwSHRIbCgNwdnESFENnMHZaeTh4TVdKaWQzaHNjM2N5GAo</v>
      </c>
      <c r="B83" s="8" t="str">
        <f>IFERROR(__xludf.DUMMYFUNCTION("""COMPUTED_VALUE"""),"google.com")</f>
        <v>google.com</v>
      </c>
      <c r="C83" s="11" t="str">
        <f>IFERROR(__xludf.DUMMYFUNCTION("""COMPUTED_VALUE"""),"OTHER")</f>
        <v>OTHER</v>
      </c>
      <c r="D83" s="11" t="str">
        <f>IFERROR(__xludf.DUMMYFUNCTION("""COMPUTED_VALUE"""),"OTHER")</f>
        <v>OTHER</v>
      </c>
      <c r="E83" s="11"/>
      <c r="F83" s="11" t="str">
        <f>IFERROR(__xludf.DUMMYFUNCTION("""COMPUTED_VALUE"""),"Other")</f>
        <v>Other</v>
      </c>
      <c r="G83" s="11"/>
      <c r="H83" s="11" t="str">
        <f>IFERROR(__xludf.DUMMYFUNCTION("""COMPUTED_VALUE"""),"Unknown")</f>
        <v>Unknown</v>
      </c>
      <c r="I83" s="11">
        <f>IFERROR(__xludf.DUMMYFUNCTION("""COMPUTED_VALUE"""),1.0)</f>
        <v>1</v>
      </c>
      <c r="J83" s="11">
        <f>IFERROR(__xludf.DUMMYFUNCTION("""COMPUTED_VALUE"""),0.0)</f>
        <v>0</v>
      </c>
      <c r="K83" s="11">
        <f>IFERROR(__xludf.DUMMYFUNCTION("""COMPUTED_VALUE"""),0.0)</f>
        <v>0</v>
      </c>
    </row>
    <row r="84" ht="15.75" customHeight="1">
      <c r="A84" s="8" t="str">
        <f>IFERROR(__xludf.DUMMYFUNCTION("""COMPUTED_VALUE"""),"https://www.google.com/searchviewer/10?svid=CAwSHRIbCgNwdnESFENnMHZaeTh4TVdOcWFHcG1abTE0GAo")</f>
        <v>https://www.google.com/searchviewer/10?svid=CAwSHRIbCgNwdnESFENnMHZaeTh4TVdOcWFHcG1abTE0GAo</v>
      </c>
      <c r="B84" s="8" t="str">
        <f>IFERROR(__xludf.DUMMYFUNCTION("""COMPUTED_VALUE"""),"google.com")</f>
        <v>google.com</v>
      </c>
      <c r="C84" s="11" t="str">
        <f>IFERROR(__xludf.DUMMYFUNCTION("""COMPUTED_VALUE"""),"OTHER")</f>
        <v>OTHER</v>
      </c>
      <c r="D84" s="11" t="str">
        <f>IFERROR(__xludf.DUMMYFUNCTION("""COMPUTED_VALUE"""),"OTHER")</f>
        <v>OTHER</v>
      </c>
      <c r="E84" s="11"/>
      <c r="F84" s="11" t="str">
        <f>IFERROR(__xludf.DUMMYFUNCTION("""COMPUTED_VALUE"""),"Other")</f>
        <v>Other</v>
      </c>
      <c r="G84" s="11"/>
      <c r="H84" s="11" t="str">
        <f>IFERROR(__xludf.DUMMYFUNCTION("""COMPUTED_VALUE"""),"Unknown")</f>
        <v>Unknown</v>
      </c>
      <c r="I84" s="11">
        <f>IFERROR(__xludf.DUMMYFUNCTION("""COMPUTED_VALUE"""),1.0)</f>
        <v>1</v>
      </c>
      <c r="J84" s="11">
        <f>IFERROR(__xludf.DUMMYFUNCTION("""COMPUTED_VALUE"""),0.0)</f>
        <v>0</v>
      </c>
      <c r="K84" s="11">
        <f>IFERROR(__xludf.DUMMYFUNCTION("""COMPUTED_VALUE"""),0.0)</f>
        <v>0</v>
      </c>
    </row>
    <row r="85" ht="15.75" customHeight="1">
      <c r="A85" s="8" t="str">
        <f>IFERROR(__xludf.DUMMYFUNCTION("""COMPUTED_VALUE"""),"https://www.google.com/searchviewer/10?svid=CAwSHRIbCgNwdnESFENnMHZaeTh4TVdOdGRuTmtOWEk1GAo")</f>
        <v>https://www.google.com/searchviewer/10?svid=CAwSHRIbCgNwdnESFENnMHZaeTh4TVdOdGRuTmtOWEk1GAo</v>
      </c>
      <c r="B85" s="8" t="str">
        <f>IFERROR(__xludf.DUMMYFUNCTION("""COMPUTED_VALUE"""),"google.com")</f>
        <v>google.com</v>
      </c>
      <c r="C85" s="11" t="str">
        <f>IFERROR(__xludf.DUMMYFUNCTION("""COMPUTED_VALUE"""),"OTHER")</f>
        <v>OTHER</v>
      </c>
      <c r="D85" s="11" t="str">
        <f>IFERROR(__xludf.DUMMYFUNCTION("""COMPUTED_VALUE"""),"OTHER")</f>
        <v>OTHER</v>
      </c>
      <c r="E85" s="11"/>
      <c r="F85" s="11" t="str">
        <f>IFERROR(__xludf.DUMMYFUNCTION("""COMPUTED_VALUE"""),"Other")</f>
        <v>Other</v>
      </c>
      <c r="G85" s="11"/>
      <c r="H85" s="11" t="str">
        <f>IFERROR(__xludf.DUMMYFUNCTION("""COMPUTED_VALUE"""),"Unknown")</f>
        <v>Unknown</v>
      </c>
      <c r="I85" s="11">
        <f>IFERROR(__xludf.DUMMYFUNCTION("""COMPUTED_VALUE"""),1.0)</f>
        <v>1</v>
      </c>
      <c r="J85" s="11">
        <f>IFERROR(__xludf.DUMMYFUNCTION("""COMPUTED_VALUE"""),0.0)</f>
        <v>0</v>
      </c>
      <c r="K85" s="11">
        <f>IFERROR(__xludf.DUMMYFUNCTION("""COMPUTED_VALUE"""),0.0)</f>
        <v>0</v>
      </c>
    </row>
    <row r="86" ht="15.75" customHeight="1">
      <c r="A86" s="8" t="str">
        <f>IFERROR(__xludf.DUMMYFUNCTION("""COMPUTED_VALUE"""),"https://www.google.com/searchviewer/10?svid=CAwSHRIbCgNwdnESFENnMHZaeTh4TVdwdVgxOTJjVGx4GAo")</f>
        <v>https://www.google.com/searchviewer/10?svid=CAwSHRIbCgNwdnESFENnMHZaeTh4TVdwdVgxOTJjVGx4GAo</v>
      </c>
      <c r="B86" s="8" t="str">
        <f>IFERROR(__xludf.DUMMYFUNCTION("""COMPUTED_VALUE"""),"google.com")</f>
        <v>google.com</v>
      </c>
      <c r="C86" s="11" t="str">
        <f>IFERROR(__xludf.DUMMYFUNCTION("""COMPUTED_VALUE"""),"OTHER")</f>
        <v>OTHER</v>
      </c>
      <c r="D86" s="11" t="str">
        <f>IFERROR(__xludf.DUMMYFUNCTION("""COMPUTED_VALUE"""),"OTHER")</f>
        <v>OTHER</v>
      </c>
      <c r="E86" s="11"/>
      <c r="F86" s="11" t="str">
        <f>IFERROR(__xludf.DUMMYFUNCTION("""COMPUTED_VALUE"""),"Other")</f>
        <v>Other</v>
      </c>
      <c r="G86" s="11"/>
      <c r="H86" s="11" t="str">
        <f>IFERROR(__xludf.DUMMYFUNCTION("""COMPUTED_VALUE"""),"Unknown")</f>
        <v>Unknown</v>
      </c>
      <c r="I86" s="11">
        <f>IFERROR(__xludf.DUMMYFUNCTION("""COMPUTED_VALUE"""),1.0)</f>
        <v>1</v>
      </c>
      <c r="J86" s="11">
        <f>IFERROR(__xludf.DUMMYFUNCTION("""COMPUTED_VALUE"""),0.0)</f>
        <v>0</v>
      </c>
      <c r="K86" s="11">
        <f>IFERROR(__xludf.DUMMYFUNCTION("""COMPUTED_VALUE"""),0.0)</f>
        <v>0</v>
      </c>
    </row>
    <row r="87" ht="15.75" customHeight="1">
      <c r="A87" s="8" t="str">
        <f>IFERROR(__xludf.DUMMYFUNCTION("""COMPUTED_VALUE"""),"https://www.google.com/searchviewer/10?svid=CAwSHRIbCgNwdnESFENnMHZaeTh4TVhKbVl6ZDVZbTF6GAo")</f>
        <v>https://www.google.com/searchviewer/10?svid=CAwSHRIbCgNwdnESFENnMHZaeTh4TVhKbVl6ZDVZbTF6GAo</v>
      </c>
      <c r="B87" s="8" t="str">
        <f>IFERROR(__xludf.DUMMYFUNCTION("""COMPUTED_VALUE"""),"google.com")</f>
        <v>google.com</v>
      </c>
      <c r="C87" s="11" t="str">
        <f>IFERROR(__xludf.DUMMYFUNCTION("""COMPUTED_VALUE"""),"OTHER")</f>
        <v>OTHER</v>
      </c>
      <c r="D87" s="11" t="str">
        <f>IFERROR(__xludf.DUMMYFUNCTION("""COMPUTED_VALUE"""),"OTHER")</f>
        <v>OTHER</v>
      </c>
      <c r="E87" s="11"/>
      <c r="F87" s="11" t="str">
        <f>IFERROR(__xludf.DUMMYFUNCTION("""COMPUTED_VALUE"""),"Other")</f>
        <v>Other</v>
      </c>
      <c r="G87" s="11"/>
      <c r="H87" s="11" t="str">
        <f>IFERROR(__xludf.DUMMYFUNCTION("""COMPUTED_VALUE"""),"Unknown")</f>
        <v>Unknown</v>
      </c>
      <c r="I87" s="11">
        <f>IFERROR(__xludf.DUMMYFUNCTION("""COMPUTED_VALUE"""),1.0)</f>
        <v>1</v>
      </c>
      <c r="J87" s="11">
        <f>IFERROR(__xludf.DUMMYFUNCTION("""COMPUTED_VALUE"""),0.0)</f>
        <v>0</v>
      </c>
      <c r="K87" s="11">
        <f>IFERROR(__xludf.DUMMYFUNCTION("""COMPUTED_VALUE"""),0.0)</f>
        <v>0</v>
      </c>
    </row>
    <row r="88" ht="15.75" customHeight="1">
      <c r="A88" s="8" t="str">
        <f>IFERROR(__xludf.DUMMYFUNCTION("""COMPUTED_VALUE"""),"https://www.google.com/searchviewer/10?svid=CAwSHRIbCgNwdnESFENnMHZaeTh4TVhRMFlqRnNjSEJuGAo")</f>
        <v>https://www.google.com/searchviewer/10?svid=CAwSHRIbCgNwdnESFENnMHZaeTh4TVhRMFlqRnNjSEJuGAo</v>
      </c>
      <c r="B88" s="8" t="str">
        <f>IFERROR(__xludf.DUMMYFUNCTION("""COMPUTED_VALUE"""),"google.com")</f>
        <v>google.com</v>
      </c>
      <c r="C88" s="11" t="str">
        <f>IFERROR(__xludf.DUMMYFUNCTION("""COMPUTED_VALUE"""),"OTHER")</f>
        <v>OTHER</v>
      </c>
      <c r="D88" s="11" t="str">
        <f>IFERROR(__xludf.DUMMYFUNCTION("""COMPUTED_VALUE"""),"OTHER")</f>
        <v>OTHER</v>
      </c>
      <c r="E88" s="11"/>
      <c r="F88" s="11" t="str">
        <f>IFERROR(__xludf.DUMMYFUNCTION("""COMPUTED_VALUE"""),"Other")</f>
        <v>Other</v>
      </c>
      <c r="G88" s="11"/>
      <c r="H88" s="11" t="str">
        <f>IFERROR(__xludf.DUMMYFUNCTION("""COMPUTED_VALUE"""),"Unknown")</f>
        <v>Unknown</v>
      </c>
      <c r="I88" s="11">
        <f>IFERROR(__xludf.DUMMYFUNCTION("""COMPUTED_VALUE"""),1.0)</f>
        <v>1</v>
      </c>
      <c r="J88" s="11">
        <f>IFERROR(__xludf.DUMMYFUNCTION("""COMPUTED_VALUE"""),0.0)</f>
        <v>0</v>
      </c>
      <c r="K88" s="11">
        <f>IFERROR(__xludf.DUMMYFUNCTION("""COMPUTED_VALUE"""),0.0)</f>
        <v>0</v>
      </c>
    </row>
    <row r="89" ht="15.75" customHeight="1">
      <c r="A89" s="8" t="str">
        <f>IFERROR(__xludf.DUMMYFUNCTION("""COMPUTED_VALUE"""),"https://www.google.com/searchviewer/10?svid=CAwSHRIbCgNwdnESFENnMHZaeTh4TVhSdVgyTTBabnB3GAo")</f>
        <v>https://www.google.com/searchviewer/10?svid=CAwSHRIbCgNwdnESFENnMHZaeTh4TVhSdVgyTTBabnB3GAo</v>
      </c>
      <c r="B89" s="8" t="str">
        <f>IFERROR(__xludf.DUMMYFUNCTION("""COMPUTED_VALUE"""),"google.com")</f>
        <v>google.com</v>
      </c>
      <c r="C89" s="11" t="str">
        <f>IFERROR(__xludf.DUMMYFUNCTION("""COMPUTED_VALUE"""),"OTHER")</f>
        <v>OTHER</v>
      </c>
      <c r="D89" s="11" t="str">
        <f>IFERROR(__xludf.DUMMYFUNCTION("""COMPUTED_VALUE"""),"OTHER")</f>
        <v>OTHER</v>
      </c>
      <c r="E89" s="11"/>
      <c r="F89" s="11" t="str">
        <f>IFERROR(__xludf.DUMMYFUNCTION("""COMPUTED_VALUE"""),"Other")</f>
        <v>Other</v>
      </c>
      <c r="G89" s="11"/>
      <c r="H89" s="11" t="str">
        <f>IFERROR(__xludf.DUMMYFUNCTION("""COMPUTED_VALUE"""),"Unknown")</f>
        <v>Unknown</v>
      </c>
      <c r="I89" s="11">
        <f>IFERROR(__xludf.DUMMYFUNCTION("""COMPUTED_VALUE"""),1.0)</f>
        <v>1</v>
      </c>
      <c r="J89" s="11">
        <f>IFERROR(__xludf.DUMMYFUNCTION("""COMPUTED_VALUE"""),0.0)</f>
        <v>0</v>
      </c>
      <c r="K89" s="11">
        <f>IFERROR(__xludf.DUMMYFUNCTION("""COMPUTED_VALUE"""),0.0)</f>
        <v>0</v>
      </c>
    </row>
    <row r="90" ht="15.75" customHeight="1">
      <c r="A90" s="8" t="str">
        <f>IFERROR(__xludf.DUMMYFUNCTION("""COMPUTED_VALUE"""),"https://www.google.com/searchviewer/10?svid=CAwSHRIbCgNwdnESFENnMHZaeTh4TVhaNU5tMTVObTUyGAo")</f>
        <v>https://www.google.com/searchviewer/10?svid=CAwSHRIbCgNwdnESFENnMHZaeTh4TVhaNU5tMTVObTUyGAo</v>
      </c>
      <c r="B90" s="8" t="str">
        <f>IFERROR(__xludf.DUMMYFUNCTION("""COMPUTED_VALUE"""),"google.com")</f>
        <v>google.com</v>
      </c>
      <c r="C90" s="11" t="str">
        <f>IFERROR(__xludf.DUMMYFUNCTION("""COMPUTED_VALUE"""),"OTHER")</f>
        <v>OTHER</v>
      </c>
      <c r="D90" s="11" t="str">
        <f>IFERROR(__xludf.DUMMYFUNCTION("""COMPUTED_VALUE"""),"OTHER")</f>
        <v>OTHER</v>
      </c>
      <c r="E90" s="11"/>
      <c r="F90" s="11" t="str">
        <f>IFERROR(__xludf.DUMMYFUNCTION("""COMPUTED_VALUE"""),"Other")</f>
        <v>Other</v>
      </c>
      <c r="G90" s="11"/>
      <c r="H90" s="11" t="str">
        <f>IFERROR(__xludf.DUMMYFUNCTION("""COMPUTED_VALUE"""),"Unknown")</f>
        <v>Unknown</v>
      </c>
      <c r="I90" s="11">
        <f>IFERROR(__xludf.DUMMYFUNCTION("""COMPUTED_VALUE"""),1.0)</f>
        <v>1</v>
      </c>
      <c r="J90" s="11">
        <f>IFERROR(__xludf.DUMMYFUNCTION("""COMPUTED_VALUE"""),0.0)</f>
        <v>0</v>
      </c>
      <c r="K90" s="11">
        <f>IFERROR(__xludf.DUMMYFUNCTION("""COMPUTED_VALUE"""),0.0)</f>
        <v>0</v>
      </c>
    </row>
    <row r="91" ht="15.75" customHeight="1">
      <c r="A91" s="8" t="str">
        <f>IFERROR(__xludf.DUMMYFUNCTION("""COMPUTED_VALUE"""),"https://www.google.com/searchviewer/10?svid=CAwSHRIbCgNwdnESFENnMHZaeTh4TVhkak9YQm9PWGM0GAo")</f>
        <v>https://www.google.com/searchviewer/10?svid=CAwSHRIbCgNwdnESFENnMHZaeTh4TVhkak9YQm9PWGM0GAo</v>
      </c>
      <c r="B91" s="8" t="str">
        <f>IFERROR(__xludf.DUMMYFUNCTION("""COMPUTED_VALUE"""),"google.com")</f>
        <v>google.com</v>
      </c>
      <c r="C91" s="11" t="str">
        <f>IFERROR(__xludf.DUMMYFUNCTION("""COMPUTED_VALUE"""),"OTHER")</f>
        <v>OTHER</v>
      </c>
      <c r="D91" s="11" t="str">
        <f>IFERROR(__xludf.DUMMYFUNCTION("""COMPUTED_VALUE"""),"OTHER")</f>
        <v>OTHER</v>
      </c>
      <c r="E91" s="11"/>
      <c r="F91" s="11" t="str">
        <f>IFERROR(__xludf.DUMMYFUNCTION("""COMPUTED_VALUE"""),"Other")</f>
        <v>Other</v>
      </c>
      <c r="G91" s="11"/>
      <c r="H91" s="11" t="str">
        <f>IFERROR(__xludf.DUMMYFUNCTION("""COMPUTED_VALUE"""),"Unknown")</f>
        <v>Unknown</v>
      </c>
      <c r="I91" s="11">
        <f>IFERROR(__xludf.DUMMYFUNCTION("""COMPUTED_VALUE"""),1.0)</f>
        <v>1</v>
      </c>
      <c r="J91" s="11">
        <f>IFERROR(__xludf.DUMMYFUNCTION("""COMPUTED_VALUE"""),0.0)</f>
        <v>0</v>
      </c>
      <c r="K91" s="11">
        <f>IFERROR(__xludf.DUMMYFUNCTION("""COMPUTED_VALUE"""),1.0)</f>
        <v>1</v>
      </c>
    </row>
    <row r="92" ht="15.75" customHeight="1">
      <c r="A92" s="8" t="str">
        <f>IFERROR(__xludf.DUMMYFUNCTION("""COMPUTED_VALUE"""),"https://govanator.com/best-google-ads-services-in-australia/")</f>
        <v>https://govanator.com/best-google-ads-services-in-australia/</v>
      </c>
      <c r="B92" s="8" t="str">
        <f>IFERROR(__xludf.DUMMYFUNCTION("""COMPUTED_VALUE"""),"govanator.com")</f>
        <v>govanator.com</v>
      </c>
      <c r="C92" s="11" t="str">
        <f>IFERROR(__xludf.DUMMYFUNCTION("""COMPUTED_VALUE"""),"LISTICLE")</f>
        <v>LISTICLE</v>
      </c>
      <c r="D92" s="11" t="str">
        <f>IFERROR(__xludf.DUMMYFUNCTION("""COMPUTED_VALUE"""),"OTHER")</f>
        <v>OTHER</v>
      </c>
      <c r="E92" s="11" t="str">
        <f>IFERROR(__xludf.DUMMYFUNCTION("""COMPUTED_VALUE"""),"Best Google Ads Services in Australia")</f>
        <v>Best Google Ads Services in Australia</v>
      </c>
      <c r="F92" s="11" t="str">
        <f>IFERROR(__xludf.DUMMYFUNCTION("""COMPUTED_VALUE"""),"Listicle")</f>
        <v>Listicle</v>
      </c>
      <c r="G92" s="11" t="b">
        <f>IFERROR(__xludf.DUMMYFUNCTION("""COMPUTED_VALUE"""),FALSE)</f>
        <v>0</v>
      </c>
      <c r="H92" s="11" t="str">
        <f>IFERROR(__xludf.DUMMYFUNCTION("""COMPUTED_VALUE"""),"intouch, Push")</f>
        <v>intouch, Push</v>
      </c>
      <c r="I92" s="11">
        <f>IFERROR(__xludf.DUMMYFUNCTION("""COMPUTED_VALUE"""),1.0)</f>
        <v>1</v>
      </c>
      <c r="J92" s="11">
        <f>IFERROR(__xludf.DUMMYFUNCTION("""COMPUTED_VALUE"""),0.0)</f>
        <v>0</v>
      </c>
      <c r="K92" s="11">
        <f>IFERROR(__xludf.DUMMYFUNCTION("""COMPUTED_VALUE"""),1.0)</f>
        <v>1</v>
      </c>
    </row>
    <row r="93" ht="15.75" customHeight="1">
      <c r="A93" s="8" t="str">
        <f>IFERROR(__xludf.DUMMYFUNCTION("""COMPUTED_VALUE"""),"https://www.gtm8020.com/services/marketing-analytics")</f>
        <v>https://www.gtm8020.com/services/marketing-analytics</v>
      </c>
      <c r="B93" s="8" t="str">
        <f>IFERROR(__xludf.DUMMYFUNCTION("""COMPUTED_VALUE"""),"gtm8020.com")</f>
        <v>gtm8020.com</v>
      </c>
      <c r="C93" s="11" t="str">
        <f>IFERROR(__xludf.DUMMYFUNCTION("""COMPUTED_VALUE"""),"PRODUCT_PAGE")</f>
        <v>PRODUCT_PAGE</v>
      </c>
      <c r="D93" s="11" t="str">
        <f>IFERROR(__xludf.DUMMYFUNCTION("""COMPUTED_VALUE"""),"OTHER")</f>
        <v>OTHER</v>
      </c>
      <c r="E93" s="11" t="str">
        <f>IFERROR(__xludf.DUMMYFUNCTION("""COMPUTED_VALUE"""),"Marketing Analytics Consultants — GTM 8020")</f>
        <v>Marketing Analytics Consultants — GTM 8020</v>
      </c>
      <c r="F93" s="11" t="str">
        <f>IFERROR(__xludf.DUMMYFUNCTION("""COMPUTED_VALUE"""),"Product Page")</f>
        <v>Product Page</v>
      </c>
      <c r="G93" s="11" t="b">
        <f>IFERROR(__xludf.DUMMYFUNCTION("""COMPUTED_VALUE"""),FALSE)</f>
        <v>0</v>
      </c>
      <c r="H93" s="11"/>
      <c r="I93" s="11">
        <f>IFERROR(__xludf.DUMMYFUNCTION("""COMPUTED_VALUE"""),1.0)</f>
        <v>1</v>
      </c>
      <c r="J93" s="11">
        <f>IFERROR(__xludf.DUMMYFUNCTION("""COMPUTED_VALUE"""),0.0)</f>
        <v>0</v>
      </c>
      <c r="K93" s="11">
        <f>IFERROR(__xludf.DUMMYFUNCTION("""COMPUTED_VALUE"""),0.0)</f>
        <v>0</v>
      </c>
    </row>
    <row r="94" ht="15.75" customHeight="1">
      <c r="A94" s="8" t="str">
        <f>IFERROR(__xludf.DUMMYFUNCTION("""COMPUTED_VALUE"""),"https://harisand.co/ae/digital-marketing-agency-in-abudhabi")</f>
        <v>https://harisand.co/ae/digital-marketing-agency-in-abudhabi</v>
      </c>
      <c r="B94" s="8" t="str">
        <f>IFERROR(__xludf.DUMMYFUNCTION("""COMPUTED_VALUE"""),"harisand.co")</f>
        <v>harisand.co</v>
      </c>
      <c r="C94" s="11" t="str">
        <f>IFERROR(__xludf.DUMMYFUNCTION("""COMPUTED_VALUE"""),"OTHER")</f>
        <v>OTHER</v>
      </c>
      <c r="D94" s="11" t="str">
        <f>IFERROR(__xludf.DUMMYFUNCTION("""COMPUTED_VALUE"""),"OTHER")</f>
        <v>OTHER</v>
      </c>
      <c r="E94" s="11"/>
      <c r="F94" s="11" t="str">
        <f>IFERROR(__xludf.DUMMYFUNCTION("""COMPUTED_VALUE"""),"Other")</f>
        <v>Other</v>
      </c>
      <c r="G94" s="11"/>
      <c r="H94" s="11" t="str">
        <f>IFERROR(__xludf.DUMMYFUNCTION("""COMPUTED_VALUE"""),"Unknown")</f>
        <v>Unknown</v>
      </c>
      <c r="I94" s="11">
        <f>IFERROR(__xludf.DUMMYFUNCTION("""COMPUTED_VALUE"""),1.0)</f>
        <v>1</v>
      </c>
      <c r="J94" s="11">
        <f>IFERROR(__xludf.DUMMYFUNCTION("""COMPUTED_VALUE"""),0.0)</f>
        <v>0</v>
      </c>
      <c r="K94" s="11">
        <f>IFERROR(__xludf.DUMMYFUNCTION("""COMPUTED_VALUE"""),2.0)</f>
        <v>2</v>
      </c>
    </row>
    <row r="95" ht="15.75" customHeight="1">
      <c r="A95" s="8" t="str">
        <f>IFERROR(__xludf.DUMMYFUNCTION("""COMPUTED_VALUE"""),"https://imedia247.ae/")</f>
        <v>https://imedia247.ae/</v>
      </c>
      <c r="B95" s="8" t="str">
        <f>IFERROR(__xludf.DUMMYFUNCTION("""COMPUTED_VALUE"""),"imedia247.ae")</f>
        <v>imedia247.ae</v>
      </c>
      <c r="C95" s="11" t="str">
        <f>IFERROR(__xludf.DUMMYFUNCTION("""COMPUTED_VALUE"""),"OTHER")</f>
        <v>OTHER</v>
      </c>
      <c r="D95" s="11" t="str">
        <f>IFERROR(__xludf.DUMMYFUNCTION("""COMPUTED_VALUE"""),"OTHER")</f>
        <v>OTHER</v>
      </c>
      <c r="E95" s="11"/>
      <c r="F95" s="11" t="str">
        <f>IFERROR(__xludf.DUMMYFUNCTION("""COMPUTED_VALUE"""),"Other")</f>
        <v>Other</v>
      </c>
      <c r="G95" s="11"/>
      <c r="H95" s="11" t="str">
        <f>IFERROR(__xludf.DUMMYFUNCTION("""COMPUTED_VALUE"""),"Unknown")</f>
        <v>Unknown</v>
      </c>
      <c r="I95" s="11">
        <f>IFERROR(__xludf.DUMMYFUNCTION("""COMPUTED_VALUE"""),1.0)</f>
        <v>1</v>
      </c>
      <c r="J95" s="11">
        <f>IFERROR(__xludf.DUMMYFUNCTION("""COMPUTED_VALUE"""),0.0)</f>
        <v>0</v>
      </c>
      <c r="K95" s="11">
        <f>IFERROR(__xludf.DUMMYFUNCTION("""COMPUTED_VALUE"""),2.0)</f>
        <v>2</v>
      </c>
    </row>
    <row r="96" ht="15.75" customHeight="1">
      <c r="A96" s="8" t="str">
        <f>IFERROR(__xludf.DUMMYFUNCTION("""COMPUTED_VALUE"""),"https://www.instagram.com/vibemarketingtechfest/")</f>
        <v>https://www.instagram.com/vibemarketingtechfest/</v>
      </c>
      <c r="B96" s="8" t="str">
        <f>IFERROR(__xludf.DUMMYFUNCTION("""COMPUTED_VALUE"""),"instagram.com")</f>
        <v>instagram.com</v>
      </c>
      <c r="C96" s="11" t="str">
        <f>IFERROR(__xludf.DUMMYFUNCTION("""COMPUTED_VALUE"""),"OTHER")</f>
        <v>OTHER</v>
      </c>
      <c r="D96" s="11" t="str">
        <f>IFERROR(__xludf.DUMMYFUNCTION("""COMPUTED_VALUE"""),"OTHER")</f>
        <v>OTHER</v>
      </c>
      <c r="E96" s="11"/>
      <c r="F96" s="11" t="str">
        <f>IFERROR(__xludf.DUMMYFUNCTION("""COMPUTED_VALUE"""),"Other")</f>
        <v>Other</v>
      </c>
      <c r="G96" s="11"/>
      <c r="H96" s="11" t="str">
        <f>IFERROR(__xludf.DUMMYFUNCTION("""COMPUTED_VALUE"""),"Unknown")</f>
        <v>Unknown</v>
      </c>
      <c r="I96" s="11">
        <f>IFERROR(__xludf.DUMMYFUNCTION("""COMPUTED_VALUE"""),1.0)</f>
        <v>1</v>
      </c>
      <c r="J96" s="11">
        <f>IFERROR(__xludf.DUMMYFUNCTION("""COMPUTED_VALUE"""),0.0)</f>
        <v>0</v>
      </c>
      <c r="K96" s="11">
        <f>IFERROR(__xludf.DUMMYFUNCTION("""COMPUTED_VALUE"""),1.0)</f>
        <v>1</v>
      </c>
    </row>
    <row r="97" ht="15.75" customHeight="1">
      <c r="A97" s="8" t="str">
        <f>IFERROR(__xludf.DUMMYFUNCTION("""COMPUTED_VALUE"""),"https://legend1st.com/ai-companies-in-dubai/")</f>
        <v>https://legend1st.com/ai-companies-in-dubai/</v>
      </c>
      <c r="B97" s="8" t="str">
        <f>IFERROR(__xludf.DUMMYFUNCTION("""COMPUTED_VALUE"""),"legend1st.com")</f>
        <v>legend1st.com</v>
      </c>
      <c r="C97" s="11" t="str">
        <f>IFERROR(__xludf.DUMMYFUNCTION("""COMPUTED_VALUE"""),"LISTICLE")</f>
        <v>LISTICLE</v>
      </c>
      <c r="D97" s="11" t="str">
        <f>IFERROR(__xludf.DUMMYFUNCTION("""COMPUTED_VALUE"""),"OTHER")</f>
        <v>OTHER</v>
      </c>
      <c r="E97" s="11" t="str">
        <f>IFERROR(__xludf.DUMMYFUNCTION("""COMPUTED_VALUE"""),"Top AI companies in Dubai, UAE - Artificial Intelligence")</f>
        <v>Top AI companies in Dubai, UAE - Artificial Intelligence</v>
      </c>
      <c r="F97" s="11" t="str">
        <f>IFERROR(__xludf.DUMMYFUNCTION("""COMPUTED_VALUE"""),"Listicle")</f>
        <v>Listicle</v>
      </c>
      <c r="G97" s="11" t="b">
        <f>IFERROR(__xludf.DUMMYFUNCTION("""COMPUTED_VALUE"""),FALSE)</f>
        <v>0</v>
      </c>
      <c r="H97" s="11"/>
      <c r="I97" s="11">
        <f>IFERROR(__xludf.DUMMYFUNCTION("""COMPUTED_VALUE"""),1.0)</f>
        <v>1</v>
      </c>
      <c r="J97" s="11">
        <f>IFERROR(__xludf.DUMMYFUNCTION("""COMPUTED_VALUE"""),0.0)</f>
        <v>0</v>
      </c>
      <c r="K97" s="11">
        <f>IFERROR(__xludf.DUMMYFUNCTION("""COMPUTED_VALUE"""),1.0)</f>
        <v>1</v>
      </c>
    </row>
    <row r="98" ht="15.75" customHeight="1">
      <c r="A98" s="8" t="str">
        <f>IFERROR(__xludf.DUMMYFUNCTION("""COMPUTED_VALUE"""),"https://list-of-digital-marketing-companies-in-dubai.com/dubai/data-driven-marketing")</f>
        <v>https://list-of-digital-marketing-companies-in-dubai.com/dubai/data-driven-marketing</v>
      </c>
      <c r="B98" s="8" t="str">
        <f>IFERROR(__xludf.DUMMYFUNCTION("""COMPUTED_VALUE"""),"list-of-digital-marketing-companies-in-dubai.com")</f>
        <v>list-of-digital-marketing-companies-in-dubai.com</v>
      </c>
      <c r="C98" s="11" t="str">
        <f>IFERROR(__xludf.DUMMYFUNCTION("""COMPUTED_VALUE"""),"OTHER")</f>
        <v>OTHER</v>
      </c>
      <c r="D98" s="11" t="str">
        <f>IFERROR(__xludf.DUMMYFUNCTION("""COMPUTED_VALUE"""),"OTHER")</f>
        <v>OTHER</v>
      </c>
      <c r="E98" s="11"/>
      <c r="F98" s="11" t="str">
        <f>IFERROR(__xludf.DUMMYFUNCTION("""COMPUTED_VALUE"""),"Other")</f>
        <v>Other</v>
      </c>
      <c r="G98" s="11"/>
      <c r="H98" s="11" t="str">
        <f>IFERROR(__xludf.DUMMYFUNCTION("""COMPUTED_VALUE"""),"Unknown")</f>
        <v>Unknown</v>
      </c>
      <c r="I98" s="11">
        <f>IFERROR(__xludf.DUMMYFUNCTION("""COMPUTED_VALUE"""),1.0)</f>
        <v>1</v>
      </c>
      <c r="J98" s="11">
        <f>IFERROR(__xludf.DUMMYFUNCTION("""COMPUTED_VALUE"""),0.0)</f>
        <v>0</v>
      </c>
      <c r="K98" s="11">
        <f>IFERROR(__xludf.DUMMYFUNCTION("""COMPUTED_VALUE"""),1.0)</f>
        <v>1</v>
      </c>
    </row>
    <row r="99" ht="15.75" customHeight="1">
      <c r="A99" s="8" t="str">
        <f>IFERROR(__xludf.DUMMYFUNCTION("""COMPUTED_VALUE"""),"https://www.madx.digital/learn/geo-aeo-agencies")</f>
        <v>https://www.madx.digital/learn/geo-aeo-agencies</v>
      </c>
      <c r="B99" s="11" t="str">
        <f>IFERROR(__xludf.DUMMYFUNCTION("""COMPUTED_VALUE"""),"madx.digital")</f>
        <v>madx.digital</v>
      </c>
      <c r="C99" s="11" t="str">
        <f>IFERROR(__xludf.DUMMYFUNCTION("""COMPUTED_VALUE"""),"LISTICLE")</f>
        <v>LISTICLE</v>
      </c>
      <c r="D99" s="11" t="str">
        <f>IFERROR(__xludf.DUMMYFUNCTION("""COMPUTED_VALUE"""),"OTHER")</f>
        <v>OTHER</v>
      </c>
      <c r="E99" s="11" t="str">
        <f>IFERROR(__xludf.DUMMYFUNCTION("""COMPUTED_VALUE"""),"14 Great GEO &amp;amp; AEO Agencies in 2026 | MADX Digital")</f>
        <v>14 Great GEO &amp;amp; AEO Agencies in 2026 | MADX Digital</v>
      </c>
      <c r="F99" s="11" t="str">
        <f>IFERROR(__xludf.DUMMYFUNCTION("""COMPUTED_VALUE"""),"Listicle")</f>
        <v>Listicle</v>
      </c>
      <c r="G99" s="11" t="b">
        <f>IFERROR(__xludf.DUMMYFUNCTION("""COMPUTED_VALUE"""),FALSE)</f>
        <v>0</v>
      </c>
      <c r="H99" s="11" t="str">
        <f>IFERROR(__xludf.DUMMYFUNCTION("""COMPUTED_VALUE"""),"NoGood, iPullRank, Siege Media, Single Grain")</f>
        <v>NoGood, iPullRank, Siege Media, Single Grain</v>
      </c>
      <c r="I99" s="11">
        <f>IFERROR(__xludf.DUMMYFUNCTION("""COMPUTED_VALUE"""),1.0)</f>
        <v>1</v>
      </c>
      <c r="J99" s="11">
        <f>IFERROR(__xludf.DUMMYFUNCTION("""COMPUTED_VALUE"""),0.0)</f>
        <v>0</v>
      </c>
      <c r="K99" s="11">
        <f>IFERROR(__xludf.DUMMYFUNCTION("""COMPUTED_VALUE"""),2.0)</f>
        <v>2</v>
      </c>
    </row>
    <row r="100" ht="15.75" customHeight="1">
      <c r="A100" s="8" t="str">
        <f>IFERROR(__xludf.DUMMYFUNCTION("""COMPUTED_VALUE"""),"https://www.morismedia.in/abu-dhabis-top-analytics-and-data-agency-in-abu-dhabi-sharjah-united-arab-emirates")</f>
        <v>https://www.morismedia.in/abu-dhabis-top-analytics-and-data-agency-in-abu-dhabi-sharjah-united-arab-emirates</v>
      </c>
      <c r="B100" s="8" t="str">
        <f>IFERROR(__xludf.DUMMYFUNCTION("""COMPUTED_VALUE"""),"morismedia.in")</f>
        <v>morismedia.in</v>
      </c>
      <c r="C100" s="11" t="str">
        <f>IFERROR(__xludf.DUMMYFUNCTION("""COMPUTED_VALUE"""),"LISTICLE")</f>
        <v>LISTICLE</v>
      </c>
      <c r="D100" s="11" t="str">
        <f>IFERROR(__xludf.DUMMYFUNCTION("""COMPUTED_VALUE"""),"OTHER")</f>
        <v>OTHER</v>
      </c>
      <c r="E100" s="11" t="str">
        <f>IFERROR(__xludf.DUMMYFUNCTION("""COMPUTED_VALUE"""),"Best Analytics and Data Agencies in Abu Dhabi 2026")</f>
        <v>Best Analytics and Data Agencies in Abu Dhabi 2026</v>
      </c>
      <c r="F100" s="11" t="str">
        <f>IFERROR(__xludf.DUMMYFUNCTION("""COMPUTED_VALUE"""),"Listicle")</f>
        <v>Listicle</v>
      </c>
      <c r="G100" s="11" t="b">
        <f>IFERROR(__xludf.DUMMYFUNCTION("""COMPUTED_VALUE"""),FALSE)</f>
        <v>0</v>
      </c>
      <c r="H100" s="11"/>
      <c r="I100" s="11">
        <f>IFERROR(__xludf.DUMMYFUNCTION("""COMPUTED_VALUE"""),1.0)</f>
        <v>1</v>
      </c>
      <c r="J100" s="11">
        <f>IFERROR(__xludf.DUMMYFUNCTION("""COMPUTED_VALUE"""),0.0)</f>
        <v>0</v>
      </c>
      <c r="K100" s="11">
        <f>IFERROR(__xludf.DUMMYFUNCTION("""COMPUTED_VALUE"""),1.0)</f>
        <v>1</v>
      </c>
    </row>
    <row r="101" ht="15.75" customHeight="1">
      <c r="A101" s="8" t="str">
        <f>IFERROR(__xludf.DUMMYFUNCTION("""COMPUTED_VALUE"""),"https://www.morismedia.in/united-arab-emirates-top-10-ai-based-advertising-agency-for-marketing-advertising-in-2026#:~:text=Strengths%20%2D%20Algorithm%20driven%20media%20execution.%20%2D%20Structured%20performance%20analytics.%20%2D%20Established%20regio"&amp;"nal%20operations.")</f>
        <v>https://www.morismedia.in/united-arab-emirates-top-10-ai-based-advertising-agency-for-marketing-advertising-in-2026#:~:text=Strengths%20%2D%20Algorithm%20driven%20media%20execution.%20%2D%20Structured%20performance%20analytics.%20%2D%20Established%20regional%20operations.</v>
      </c>
      <c r="B101" s="8" t="str">
        <f>IFERROR(__xludf.DUMMYFUNCTION("""COMPUTED_VALUE"""),"morismedia.in")</f>
        <v>morismedia.in</v>
      </c>
      <c r="C101" s="11" t="str">
        <f>IFERROR(__xludf.DUMMYFUNCTION("""COMPUTED_VALUE"""),"OTHER")</f>
        <v>OTHER</v>
      </c>
      <c r="D101" s="11" t="str">
        <f>IFERROR(__xludf.DUMMYFUNCTION("""COMPUTED_VALUE"""),"OTHER")</f>
        <v>OTHER</v>
      </c>
      <c r="E101" s="11" t="str">
        <f>IFERROR(__xludf.DUMMYFUNCTION("""COMPUTED_VALUE"""),"Top 10 AI-Based Advertising Agencies for Marketing in United Arab Emirates 2026")</f>
        <v>Top 10 AI-Based Advertising Agencies for Marketing in United Arab Emirates 2026</v>
      </c>
      <c r="F101" s="11" t="str">
        <f>IFERROR(__xludf.DUMMYFUNCTION("""COMPUTED_VALUE"""),"Other")</f>
        <v>Other</v>
      </c>
      <c r="G101" s="11" t="b">
        <f>IFERROR(__xludf.DUMMYFUNCTION("""COMPUTED_VALUE"""),FALSE)</f>
        <v>0</v>
      </c>
      <c r="H101" s="11" t="str">
        <f>IFERROR(__xludf.DUMMYFUNCTION("""COMPUTED_VALUE"""),"Publicis Groupe, Dentsu, Mindshare, VML, OMD")</f>
        <v>Publicis Groupe, Dentsu, Mindshare, VML, OMD</v>
      </c>
      <c r="I101" s="11">
        <f>IFERROR(__xludf.DUMMYFUNCTION("""COMPUTED_VALUE"""),1.0)</f>
        <v>1</v>
      </c>
      <c r="J101" s="11">
        <f>IFERROR(__xludf.DUMMYFUNCTION("""COMPUTED_VALUE"""),0.0)</f>
        <v>0</v>
      </c>
      <c r="K101" s="11">
        <f>IFERROR(__xludf.DUMMYFUNCTION("""COMPUTED_VALUE"""),2.0)</f>
        <v>2</v>
      </c>
    </row>
    <row r="102" ht="15.75" customHeight="1">
      <c r="A102" s="8" t="str">
        <f>IFERROR(__xludf.DUMMYFUNCTION("""COMPUTED_VALUE"""),"https://partners.amazonaws.com/partners/0010L00001u53HvQAI/#:~:text=Headquarters.%20Paris.%2019%2C%20rue%20Richer.%20Paris%2C%20Paris%2C,EC2V%207HR%2C%20United%20Kingdom.%20%2D%20Los%20Angeles.")</f>
        <v>https://partners.amazonaws.com/partners/0010L00001u53HvQAI/#:~:text=Headquarters.%20Paris.%2019%2C%20rue%20Richer.%20Paris%2C%20Paris%2C,EC2V%207HR%2C%20United%20Kingdom.%20%2D%20Los%20Angeles.</v>
      </c>
      <c r="B102" s="8" t="str">
        <f>IFERROR(__xludf.DUMMYFUNCTION("""COMPUTED_VALUE"""),"amazonaws.com")</f>
        <v>amazonaws.com</v>
      </c>
      <c r="C102" s="11" t="str">
        <f>IFERROR(__xludf.DUMMYFUNCTION("""COMPUTED_VALUE"""),"OTHER")</f>
        <v>OTHER</v>
      </c>
      <c r="D102" s="11" t="str">
        <f>IFERROR(__xludf.DUMMYFUNCTION("""COMPUTED_VALUE"""),"OTHER")</f>
        <v>OTHER</v>
      </c>
      <c r="E102" s="11"/>
      <c r="F102" s="11" t="str">
        <f>IFERROR(__xludf.DUMMYFUNCTION("""COMPUTED_VALUE"""),"Other")</f>
        <v>Other</v>
      </c>
      <c r="G102" s="11"/>
      <c r="H102" s="11" t="str">
        <f>IFERROR(__xludf.DUMMYFUNCTION("""COMPUTED_VALUE"""),"Unknown")</f>
        <v>Unknown</v>
      </c>
      <c r="I102" s="11">
        <f>IFERROR(__xludf.DUMMYFUNCTION("""COMPUTED_VALUE"""),1.0)</f>
        <v>1</v>
      </c>
      <c r="J102" s="11">
        <f>IFERROR(__xludf.DUMMYFUNCTION("""COMPUTED_VALUE"""),0.0)</f>
        <v>0</v>
      </c>
      <c r="K102" s="11">
        <f>IFERROR(__xludf.DUMMYFUNCTION("""COMPUTED_VALUE"""),2.0)</f>
        <v>2</v>
      </c>
    </row>
    <row r="103" ht="15.75" customHeight="1">
      <c r="A103" s="8" t="str">
        <f>IFERROR(__xludf.DUMMYFUNCTION("""COMPUTED_VALUE"""),"https://www.prism-me.com/blog/ai-based-attribution-model-%20explained-5-questions-every-executive-is-asking-in-2026")</f>
        <v>https://www.prism-me.com/blog/ai-based-attribution-model-%20explained-5-questions-every-executive-is-asking-in-2026</v>
      </c>
      <c r="B103" s="8" t="str">
        <f>IFERROR(__xludf.DUMMYFUNCTION("""COMPUTED_VALUE"""),"prism-me.com")</f>
        <v>prism-me.com</v>
      </c>
      <c r="C103" s="11" t="str">
        <f>IFERROR(__xludf.DUMMYFUNCTION("""COMPUTED_VALUE"""),"ARTICLE")</f>
        <v>ARTICLE</v>
      </c>
      <c r="D103" s="11" t="str">
        <f>IFERROR(__xludf.DUMMYFUNCTION("""COMPUTED_VALUE"""),"OTHER")</f>
        <v>OTHER</v>
      </c>
      <c r="E103" s="11" t="str">
        <f>IFERROR(__xludf.DUMMYFUNCTION("""COMPUTED_VALUE"""),"Top Digital Marketing Blog in UAE \| Prism Digital Agency")</f>
        <v>Top Digital Marketing Blog in UAE \| Prism Digital Agency</v>
      </c>
      <c r="F103" s="11" t="str">
        <f>IFERROR(__xludf.DUMMYFUNCTION("""COMPUTED_VALUE"""),"Article")</f>
        <v>Article</v>
      </c>
      <c r="G103" s="11" t="b">
        <f>IFERROR(__xludf.DUMMYFUNCTION("""COMPUTED_VALUE"""),FALSE)</f>
        <v>0</v>
      </c>
      <c r="H103" s="11" t="str">
        <f>IFERROR(__xludf.DUMMYFUNCTION("""COMPUTED_VALUE"""),"Prism Digital, intouch")</f>
        <v>Prism Digital, intouch</v>
      </c>
      <c r="I103" s="11">
        <f>IFERROR(__xludf.DUMMYFUNCTION("""COMPUTED_VALUE"""),1.0)</f>
        <v>1</v>
      </c>
      <c r="J103" s="11">
        <f>IFERROR(__xludf.DUMMYFUNCTION("""COMPUTED_VALUE"""),0.0)</f>
        <v>0</v>
      </c>
      <c r="K103" s="11">
        <f>IFERROR(__xludf.DUMMYFUNCTION("""COMPUTED_VALUE"""),1.0)</f>
        <v>1</v>
      </c>
    </row>
    <row r="104" ht="15.75" customHeight="1">
      <c r="A104" s="8" t="str">
        <f>IFERROR(__xludf.DUMMYFUNCTION("""COMPUTED_VALUE"""),"https://www.prism-me.com/paid-media-agency/instagram-ads")</f>
        <v>https://www.prism-me.com/paid-media-agency/instagram-ads</v>
      </c>
      <c r="B104" s="8" t="str">
        <f>IFERROR(__xludf.DUMMYFUNCTION("""COMPUTED_VALUE"""),"prism-me.com")</f>
        <v>prism-me.com</v>
      </c>
      <c r="C104" s="11" t="str">
        <f>IFERROR(__xludf.DUMMYFUNCTION("""COMPUTED_VALUE"""),"PRODUCT_PAGE")</f>
        <v>PRODUCT_PAGE</v>
      </c>
      <c r="D104" s="11" t="str">
        <f>IFERROR(__xludf.DUMMYFUNCTION("""COMPUTED_VALUE"""),"OTHER")</f>
        <v>OTHER</v>
      </c>
      <c r="E104" s="11" t="str">
        <f>IFERROR(__xludf.DUMMYFUNCTION("""COMPUTED_VALUE"""),"Instagram Ads Management Services in UAE | Prism Digital")</f>
        <v>Instagram Ads Management Services in UAE | Prism Digital</v>
      </c>
      <c r="F104" s="11" t="str">
        <f>IFERROR(__xludf.DUMMYFUNCTION("""COMPUTED_VALUE"""),"Product Page")</f>
        <v>Product Page</v>
      </c>
      <c r="G104" s="11" t="b">
        <f>IFERROR(__xludf.DUMMYFUNCTION("""COMPUTED_VALUE"""),FALSE)</f>
        <v>0</v>
      </c>
      <c r="H104" s="11" t="str">
        <f>IFERROR(__xludf.DUMMYFUNCTION("""COMPUTED_VALUE"""),"intouch, Prism Digital")</f>
        <v>intouch, Prism Digital</v>
      </c>
      <c r="I104" s="11">
        <f>IFERROR(__xludf.DUMMYFUNCTION("""COMPUTED_VALUE"""),1.0)</f>
        <v>1</v>
      </c>
      <c r="J104" s="11">
        <f>IFERROR(__xludf.DUMMYFUNCTION("""COMPUTED_VALUE"""),0.0)</f>
        <v>0</v>
      </c>
      <c r="K104" s="11">
        <f>IFERROR(__xludf.DUMMYFUNCTION("""COMPUTED_VALUE"""),1.0)</f>
        <v>1</v>
      </c>
    </row>
    <row r="105" ht="15.75" customHeight="1">
      <c r="A105" s="8" t="str">
        <f>IFERROR(__xludf.DUMMYFUNCTION("""COMPUTED_VALUE"""),"https://www.rebootonline.com/paid-media/best-paid-media-agencies/")</f>
        <v>https://www.rebootonline.com/paid-media/best-paid-media-agencies/</v>
      </c>
      <c r="B105" s="8" t="str">
        <f>IFERROR(__xludf.DUMMYFUNCTION("""COMPUTED_VALUE"""),"rebootonline.com")</f>
        <v>rebootonline.com</v>
      </c>
      <c r="C105" s="11" t="str">
        <f>IFERROR(__xludf.DUMMYFUNCTION("""COMPUTED_VALUE"""),"LISTICLE")</f>
        <v>LISTICLE</v>
      </c>
      <c r="D105" s="11" t="str">
        <f>IFERROR(__xludf.DUMMYFUNCTION("""COMPUTED_VALUE"""),"OTHER")</f>
        <v>OTHER</v>
      </c>
      <c r="E105" s="11" t="str">
        <f>IFERROR(__xludf.DUMMYFUNCTION("""COMPUTED_VALUE"""),"Best Paid Media Agencies 2026 | Ultimate Top 10 List Ranked &amp;amp; Rated")</f>
        <v>Best Paid Media Agencies 2026 | Ultimate Top 10 List Ranked &amp;amp; Rated</v>
      </c>
      <c r="F105" s="11" t="str">
        <f>IFERROR(__xludf.DUMMYFUNCTION("""COMPUTED_VALUE"""),"Listicle")</f>
        <v>Listicle</v>
      </c>
      <c r="G105" s="11" t="b">
        <f>IFERROR(__xludf.DUMMYFUNCTION("""COMPUTED_VALUE"""),FALSE)</f>
        <v>0</v>
      </c>
      <c r="H105" s="11" t="str">
        <f>IFERROR(__xludf.DUMMYFUNCTION("""COMPUTED_VALUE"""),"NoGood, intouch, Tinuiti")</f>
        <v>NoGood, intouch, Tinuiti</v>
      </c>
      <c r="I105" s="11">
        <f>IFERROR(__xludf.DUMMYFUNCTION("""COMPUTED_VALUE"""),1.0)</f>
        <v>1</v>
      </c>
      <c r="J105" s="11">
        <f>IFERROR(__xludf.DUMMYFUNCTION("""COMPUTED_VALUE"""),0.0)</f>
        <v>0</v>
      </c>
      <c r="K105" s="11">
        <f>IFERROR(__xludf.DUMMYFUNCTION("""COMPUTED_VALUE"""),2.0)</f>
        <v>2</v>
      </c>
    </row>
    <row r="106" ht="15.75" customHeight="1">
      <c r="A106" s="8" t="str">
        <f>IFERROR(__xludf.DUMMYFUNCTION("""COMPUTED_VALUE"""),"https://researchprofiles.canberra.edu.au/files/84245423/Andrew_Dan.pdf#:~:text=Table%201.1%20details%20the%20major%20media%2Dbuying%20agencies,PHD.%2016.6.%20Interpublic%20Group.%20Universal%20McCann%20(")</f>
        <v>https://researchprofiles.canberra.edu.au/files/84245423/Andrew_Dan.pdf#:~:text=Table%201.1%20details%20the%20major%20media%2Dbuying%20agencies,PHD.%2016.6.%20Interpublic%20Group.%20Universal%20McCann%20(</v>
      </c>
      <c r="B106" s="8" t="str">
        <f>IFERROR(__xludf.DUMMYFUNCTION("""COMPUTED_VALUE"""),"canberra.edu.au")</f>
        <v>canberra.edu.au</v>
      </c>
      <c r="C106" s="11" t="str">
        <f>IFERROR(__xludf.DUMMYFUNCTION("""COMPUTED_VALUE"""),"OTHER")</f>
        <v>OTHER</v>
      </c>
      <c r="D106" s="11" t="str">
        <f>IFERROR(__xludf.DUMMYFUNCTION("""COMPUTED_VALUE"""),"OTHER")</f>
        <v>OTHER</v>
      </c>
      <c r="E106" s="11"/>
      <c r="F106" s="11" t="str">
        <f>IFERROR(__xludf.DUMMYFUNCTION("""COMPUTED_VALUE"""),"Other")</f>
        <v>Other</v>
      </c>
      <c r="G106" s="11"/>
      <c r="H106" s="11" t="str">
        <f>IFERROR(__xludf.DUMMYFUNCTION("""COMPUTED_VALUE"""),"Unknown")</f>
        <v>Unknown</v>
      </c>
      <c r="I106" s="11">
        <f>IFERROR(__xludf.DUMMYFUNCTION("""COMPUTED_VALUE"""),1.0)</f>
        <v>1</v>
      </c>
      <c r="J106" s="11">
        <f>IFERROR(__xludf.DUMMYFUNCTION("""COMPUTED_VALUE"""),0.0)</f>
        <v>0</v>
      </c>
      <c r="K106" s="11">
        <f>IFERROR(__xludf.DUMMYFUNCTION("""COMPUTED_VALUE"""),1.0)</f>
        <v>1</v>
      </c>
    </row>
    <row r="107" ht="15.75" customHeight="1">
      <c r="A107" s="8" t="str">
        <f>IFERROR(__xludf.DUMMYFUNCTION("""COMPUTED_VALUE"""),"https://rhillane.com/en-ae/marketing/digital-marketing-agency-dubai/")</f>
        <v>https://rhillane.com/en-ae/marketing/digital-marketing-agency-dubai/</v>
      </c>
      <c r="B107" s="8" t="str">
        <f>IFERROR(__xludf.DUMMYFUNCTION("""COMPUTED_VALUE"""),"rhillane.com")</f>
        <v>rhillane.com</v>
      </c>
      <c r="C107" s="11" t="str">
        <f>IFERROR(__xludf.DUMMYFUNCTION("""COMPUTED_VALUE"""),"PRODUCT_PAGE")</f>
        <v>PRODUCT_PAGE</v>
      </c>
      <c r="D107" s="11" t="str">
        <f>IFERROR(__xludf.DUMMYFUNCTION("""COMPUTED_VALUE"""),"OTHER")</f>
        <v>OTHER</v>
      </c>
      <c r="E107" s="11" t="str">
        <f>IFERROR(__xludf.DUMMYFUNCTION("""COMPUTED_VALUE"""),"Digital Marketing Agency In Dubai - UAE N°1 In 2026")</f>
        <v>Digital Marketing Agency In Dubai - UAE N°1 In 2026</v>
      </c>
      <c r="F107" s="11" t="str">
        <f>IFERROR(__xludf.DUMMYFUNCTION("""COMPUTED_VALUE"""),"Product Page")</f>
        <v>Product Page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8" t="str">
        <f>IFERROR(__xludf.DUMMYFUNCTION("""COMPUTED_VALUE"""),"https://seosandwitch.com/aeo-geo-marketing-agencies/")</f>
        <v>https://seosandwitch.com/aeo-geo-marketing-agencies/</v>
      </c>
      <c r="B108" s="8" t="str">
        <f>IFERROR(__xludf.DUMMYFUNCTION("""COMPUTED_VALUE"""),"seosandwitch.com")</f>
        <v>seosandwitch.com</v>
      </c>
      <c r="C108" s="11" t="str">
        <f>IFERROR(__xludf.DUMMYFUNCTION("""COMPUTED_VALUE"""),"LISTICLE")</f>
        <v>LISTICLE</v>
      </c>
      <c r="D108" s="11" t="str">
        <f>IFERROR(__xludf.DUMMYFUNCTION("""COMPUTED_VALUE"""),"OTHER")</f>
        <v>OTHER</v>
      </c>
      <c r="E108" s="11" t="str">
        <f>IFERROR(__xludf.DUMMYFUNCTION("""COMPUTED_VALUE"""),"2026’s Best AEO / GEO Marketing Agencies")</f>
        <v>2026’s Best AEO / GEO Marketing Agencies</v>
      </c>
      <c r="F108" s="11" t="str">
        <f>IFERROR(__xludf.DUMMYFUNCTION("""COMPUTED_VALUE"""),"Listicle")</f>
        <v>Listicle</v>
      </c>
      <c r="G108" s="11" t="b">
        <f>IFERROR(__xludf.DUMMYFUNCTION("""COMPUTED_VALUE"""),FALSE)</f>
        <v>0</v>
      </c>
      <c r="H108" s="11" t="str">
        <f>IFERROR(__xludf.DUMMYFUNCTION("""COMPUTED_VALUE"""),"Siege Media, Omniscient Digital")</f>
        <v>Siege Media, Omniscient Digital</v>
      </c>
      <c r="I108" s="11">
        <f>IFERROR(__xludf.DUMMYFUNCTION("""COMPUTED_VALUE"""),1.0)</f>
        <v>1</v>
      </c>
      <c r="J108" s="11">
        <f>IFERROR(__xludf.DUMMYFUNCTION("""COMPUTED_VALUE"""),0.0)</f>
        <v>0</v>
      </c>
      <c r="K108" s="11">
        <f>IFERROR(__xludf.DUMMYFUNCTION("""COMPUTED_VALUE"""),0.0)</f>
        <v>0</v>
      </c>
    </row>
    <row r="109" ht="15.75" customHeight="1">
      <c r="A109" s="8" t="str">
        <f>IFERROR(__xludf.DUMMYFUNCTION("""COMPUTED_VALUE"""),"https://sumnah.ae/")</f>
        <v>https://sumnah.ae/</v>
      </c>
      <c r="B109" s="8" t="str">
        <f>IFERROR(__xludf.DUMMYFUNCTION("""COMPUTED_VALUE"""),"sumnah.ae")</f>
        <v>sumnah.ae</v>
      </c>
      <c r="C109" s="11" t="str">
        <f>IFERROR(__xludf.DUMMYFUNCTION("""COMPUTED_VALUE"""),"OTHER")</f>
        <v>OTHER</v>
      </c>
      <c r="D109" s="11" t="str">
        <f>IFERROR(__xludf.DUMMYFUNCTION("""COMPUTED_VALUE"""),"OTHER")</f>
        <v>OTHER</v>
      </c>
      <c r="E109" s="11"/>
      <c r="F109" s="11" t="str">
        <f>IFERROR(__xludf.DUMMYFUNCTION("""COMPUTED_VALUE"""),"Other")</f>
        <v>Other</v>
      </c>
      <c r="G109" s="11"/>
      <c r="H109" s="11" t="str">
        <f>IFERROR(__xludf.DUMMYFUNCTION("""COMPUTED_VALUE"""),"Unknown")</f>
        <v>Unknown</v>
      </c>
      <c r="I109" s="11">
        <f>IFERROR(__xludf.DUMMYFUNCTION("""COMPUTED_VALUE"""),1.0)</f>
        <v>1</v>
      </c>
      <c r="J109" s="11">
        <f>IFERROR(__xludf.DUMMYFUNCTION("""COMPUTED_VALUE"""),0.0)</f>
        <v>0</v>
      </c>
      <c r="K109" s="11">
        <f>IFERROR(__xludf.DUMMYFUNCTION("""COMPUTED_VALUE"""),0.0)</f>
        <v>0</v>
      </c>
    </row>
    <row r="110" ht="15.75" customHeight="1">
      <c r="A110" s="8" t="str">
        <f>IFERROR(__xludf.DUMMYFUNCTION("""COMPUTED_VALUE"""),"https://thehovi.com/about")</f>
        <v>https://thehovi.com/about</v>
      </c>
      <c r="B110" s="8" t="str">
        <f>IFERROR(__xludf.DUMMYFUNCTION("""COMPUTED_VALUE"""),"thehovi.com")</f>
        <v>thehovi.com</v>
      </c>
      <c r="C110" s="11" t="str">
        <f>IFERROR(__xludf.DUMMYFUNCTION("""COMPUTED_VALUE"""),"PROFILE")</f>
        <v>PROFILE</v>
      </c>
      <c r="D110" s="11" t="str">
        <f>IFERROR(__xludf.DUMMYFUNCTION("""COMPUTED_VALUE"""),"OTHER")</f>
        <v>OTHER</v>
      </c>
      <c r="E110" s="11" t="str">
        <f>IFERROR(__xludf.DUMMYFUNCTION("""COMPUTED_VALUE"""),"About Us — AI Marketing Agency Team | Hovi Digital Lab")</f>
        <v>About Us — AI Marketing Agency Team | Hovi Digital Lab</v>
      </c>
      <c r="F110" s="11" t="str">
        <f>IFERROR(__xludf.DUMMYFUNCTION("""COMPUTED_VALUE"""),"Profile")</f>
        <v>Profile</v>
      </c>
      <c r="G110" s="11" t="b">
        <f>IFERROR(__xludf.DUMMYFUNCTION("""COMPUTED_VALUE"""),FALSE)</f>
        <v>0</v>
      </c>
      <c r="H110" s="11" t="str">
        <f>IFERROR(__xludf.DUMMYFUNCTION("""COMPUTED_VALUE"""),"Hovi Digital Lab")</f>
        <v>Hovi Digital Lab</v>
      </c>
      <c r="I110" s="11">
        <f>IFERROR(__xludf.DUMMYFUNCTION("""COMPUTED_VALUE"""),1.0)</f>
        <v>1</v>
      </c>
      <c r="J110" s="11">
        <f>IFERROR(__xludf.DUMMYFUNCTION("""COMPUTED_VALUE"""),0.0)</f>
        <v>0</v>
      </c>
      <c r="K110" s="11">
        <f>IFERROR(__xludf.DUMMYFUNCTION("""COMPUTED_VALUE"""),1.0)</f>
        <v>1</v>
      </c>
    </row>
    <row r="111" ht="15.75" customHeight="1">
      <c r="A111" s="8" t="str">
        <f>IFERROR(__xludf.DUMMYFUNCTION("""COMPUTED_VALUE"""),"https://thehovi.com/ai-marketing-agency-abu-dhabi")</f>
        <v>https://thehovi.com/ai-marketing-agency-abu-dhabi</v>
      </c>
      <c r="B111" s="8" t="str">
        <f>IFERROR(__xludf.DUMMYFUNCTION("""COMPUTED_VALUE"""),"thehovi.com")</f>
        <v>thehovi.com</v>
      </c>
      <c r="C111" s="11" t="str">
        <f>IFERROR(__xludf.DUMMYFUNCTION("""COMPUTED_VALUE"""),"PRODUCT_PAGE")</f>
        <v>PRODUCT_PAGE</v>
      </c>
      <c r="D111" s="11" t="str">
        <f>IFERROR(__xludf.DUMMYFUNCTION("""COMPUTED_VALUE"""),"OTHER")</f>
        <v>OTHER</v>
      </c>
      <c r="E111" s="11" t="str">
        <f>IFERROR(__xludf.DUMMYFUNCTION("""COMPUTED_VALUE"""),"AI Marketing Agency in Abu Dhabi | Hovi Digital Lab")</f>
        <v>AI Marketing Agency in Abu Dhabi | Hovi Digital Lab</v>
      </c>
      <c r="F111" s="11" t="str">
        <f>IFERROR(__xludf.DUMMYFUNCTION("""COMPUTED_VALUE"""),"Product Page")</f>
        <v>Product Page</v>
      </c>
      <c r="G111" s="11" t="b">
        <f>IFERROR(__xludf.DUMMYFUNCTION("""COMPUTED_VALUE"""),FALSE)</f>
        <v>0</v>
      </c>
      <c r="H111" s="11" t="str">
        <f>IFERROR(__xludf.DUMMYFUNCTION("""COMPUTED_VALUE"""),"Hovi Digital Lab")</f>
        <v>Hovi Digital Lab</v>
      </c>
      <c r="I111" s="11">
        <f>IFERROR(__xludf.DUMMYFUNCTION("""COMPUTED_VALUE"""),1.0)</f>
        <v>1</v>
      </c>
      <c r="J111" s="11">
        <f>IFERROR(__xludf.DUMMYFUNCTION("""COMPUTED_VALUE"""),0.0)</f>
        <v>0</v>
      </c>
      <c r="K111" s="11">
        <f>IFERROR(__xludf.DUMMYFUNCTION("""COMPUTED_VALUE"""),1.0)</f>
        <v>1</v>
      </c>
    </row>
    <row r="112" ht="15.75" customHeight="1">
      <c r="A112" s="8" t="str">
        <f>IFERROR(__xludf.DUMMYFUNCTION("""COMPUTED_VALUE"""),"https://themedialinks.com/services/social-media-marketing-services/")</f>
        <v>https://themedialinks.com/services/social-media-marketing-services/</v>
      </c>
      <c r="B112" s="8" t="str">
        <f>IFERROR(__xludf.DUMMYFUNCTION("""COMPUTED_VALUE"""),"themedialinks.com")</f>
        <v>themedialinks.com</v>
      </c>
      <c r="C112" s="11" t="str">
        <f>IFERROR(__xludf.DUMMYFUNCTION("""COMPUTED_VALUE"""),"PRODUCT_PAGE")</f>
        <v>PRODUCT_PAGE</v>
      </c>
      <c r="D112" s="11" t="str">
        <f>IFERROR(__xludf.DUMMYFUNCTION("""COMPUTED_VALUE"""),"OTHER")</f>
        <v>OTHER</v>
      </c>
      <c r="E112" s="11" t="str">
        <f>IFERROR(__xludf.DUMMYFUNCTION("""COMPUTED_VALUE"""),"#1 Social Media Marketing Agency in Dubai You Can Trust")</f>
        <v>#1 Social Media Marketing Agency in Dubai You Can Trust</v>
      </c>
      <c r="F112" s="11" t="str">
        <f>IFERROR(__xludf.DUMMYFUNCTION("""COMPUTED_VALUE"""),"Product Page")</f>
        <v>Product Page</v>
      </c>
      <c r="G112" s="11" t="b">
        <f>IFERROR(__xludf.DUMMYFUNCTION("""COMPUTED_VALUE"""),FALSE)</f>
        <v>0</v>
      </c>
      <c r="H112" s="11" t="str">
        <f>IFERROR(__xludf.DUMMYFUNCTION("""COMPUTED_VALUE"""),"intouch")</f>
        <v>intouch</v>
      </c>
      <c r="I112" s="11">
        <f>IFERROR(__xludf.DUMMYFUNCTION("""COMPUTED_VALUE"""),1.0)</f>
        <v>1</v>
      </c>
      <c r="J112" s="11">
        <f>IFERROR(__xludf.DUMMYFUNCTION("""COMPUTED_VALUE"""),0.0)</f>
        <v>0</v>
      </c>
      <c r="K112" s="11">
        <f>IFERROR(__xludf.DUMMYFUNCTION("""COMPUTED_VALUE"""),1.0)</f>
        <v>1</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A5"/>
    <hyperlink r:id="rId6" ref="B5"/>
    <hyperlink r:id="rId7" ref="A6"/>
    <hyperlink r:id="rId8" ref="B6"/>
    <hyperlink r:id="rId9" ref="A7"/>
    <hyperlink r:id="rId10" ref="B7"/>
    <hyperlink r:id="rId11" ref="A8"/>
    <hyperlink r:id="rId12" ref="B8"/>
    <hyperlink r:id="rId13" ref="A9"/>
    <hyperlink r:id="rId14" ref="B9"/>
    <hyperlink r:id="rId15" ref="A10"/>
    <hyperlink r:id="rId16" ref="B10"/>
    <hyperlink r:id="rId17" ref="A11"/>
    <hyperlink r:id="rId18" ref="B11"/>
    <hyperlink r:id="rId19" ref="A12"/>
    <hyperlink r:id="rId20" ref="A13"/>
    <hyperlink r:id="rId21" ref="B13"/>
    <hyperlink r:id="rId22" ref="A14"/>
    <hyperlink r:id="rId23" ref="B14"/>
    <hyperlink r:id="rId24" ref="A15"/>
    <hyperlink r:id="rId25" ref="B15"/>
    <hyperlink r:id="rId26" ref="A16"/>
    <hyperlink r:id="rId27" ref="B16"/>
    <hyperlink r:id="rId28" ref="A17"/>
    <hyperlink r:id="rId29" ref="B17"/>
    <hyperlink r:id="rId30" ref="A18"/>
    <hyperlink r:id="rId31" ref="B18"/>
    <hyperlink r:id="rId32" ref="A19"/>
    <hyperlink r:id="rId33" ref="B19"/>
    <hyperlink r:id="rId34" ref="A20"/>
    <hyperlink r:id="rId35" ref="B20"/>
    <hyperlink r:id="rId36" ref="A21"/>
    <hyperlink r:id="rId37" ref="B21"/>
    <hyperlink r:id="rId38" ref="A22"/>
    <hyperlink r:id="rId39" ref="B22"/>
    <hyperlink r:id="rId40" ref="A23"/>
    <hyperlink r:id="rId41" ref="B23"/>
    <hyperlink r:id="rId42" ref="A24"/>
    <hyperlink r:id="rId43" ref="B24"/>
    <hyperlink r:id="rId44" ref="A25"/>
    <hyperlink r:id="rId45" ref="B25"/>
    <hyperlink r:id="rId46" ref="A26"/>
    <hyperlink r:id="rId47" ref="B26"/>
    <hyperlink r:id="rId48" ref="A27"/>
    <hyperlink r:id="rId49" ref="B27"/>
    <hyperlink r:id="rId50" location=":~:text=In%202026%2C%20visibility%20is%20no%20longer%20limited,%2D%20Strong%20internal%20linking%20and%20topical%20authority." ref="A28"/>
    <hyperlink r:id="rId51" ref="B28"/>
    <hyperlink r:id="rId52" ref="A29"/>
    <hyperlink r:id="rId53" ref="B29"/>
    <hyperlink r:id="rId54" ref="A30"/>
    <hyperlink r:id="rId55" ref="B30"/>
    <hyperlink r:id="rId56" ref="A31"/>
    <hyperlink r:id="rId57" ref="B31"/>
    <hyperlink r:id="rId58" ref="A32"/>
    <hyperlink r:id="rId59" ref="B32"/>
    <hyperlink r:id="rId60" ref="A33"/>
    <hyperlink r:id="rId61" ref="B33"/>
    <hyperlink r:id="rId62" ref="A34"/>
    <hyperlink r:id="rId63" ref="B34"/>
    <hyperlink r:id="rId64" ref="A35"/>
    <hyperlink r:id="rId65" ref="B35"/>
    <hyperlink r:id="rId66" ref="A36"/>
    <hyperlink r:id="rId67" ref="B36"/>
    <hyperlink r:id="rId68" ref="A37"/>
    <hyperlink r:id="rId69" ref="B37"/>
    <hyperlink r:id="rId70" ref="A38"/>
    <hyperlink r:id="rId71" ref="B38"/>
    <hyperlink r:id="rId72" ref="A39"/>
    <hyperlink r:id="rId73" ref="B39"/>
    <hyperlink r:id="rId74" ref="A40"/>
    <hyperlink r:id="rId75" ref="B40"/>
    <hyperlink r:id="rId76" ref="A41"/>
    <hyperlink r:id="rId77" ref="B41"/>
    <hyperlink r:id="rId78" ref="A42"/>
    <hyperlink r:id="rId79" ref="B42"/>
    <hyperlink r:id="rId80" ref="A43"/>
    <hyperlink r:id="rId81" ref="B43"/>
    <hyperlink r:id="rId82" ref="A44"/>
    <hyperlink r:id="rId83" ref="B44"/>
    <hyperlink r:id="rId84" ref="A45"/>
    <hyperlink r:id="rId85" ref="B45"/>
    <hyperlink r:id="rId86" ref="A46"/>
    <hyperlink r:id="rId87" ref="B46"/>
    <hyperlink r:id="rId88" ref="A47"/>
    <hyperlink r:id="rId89" ref="B47"/>
    <hyperlink r:id="rId90" ref="A48"/>
    <hyperlink r:id="rId91" ref="B48"/>
    <hyperlink r:id="rId92" ref="A49"/>
    <hyperlink r:id="rId93" ref="B49"/>
    <hyperlink r:id="rId94" ref="A50"/>
    <hyperlink r:id="rId95" ref="B50"/>
    <hyperlink r:id="rId96" ref="A51"/>
    <hyperlink r:id="rId97" ref="B51"/>
    <hyperlink r:id="rId98" ref="A52"/>
    <hyperlink r:id="rId99" ref="B52"/>
    <hyperlink r:id="rId100" ref="A53"/>
    <hyperlink r:id="rId101" ref="B53"/>
    <hyperlink r:id="rId102" ref="A54"/>
    <hyperlink r:id="rId103" ref="B54"/>
    <hyperlink r:id="rId104" ref="A55"/>
    <hyperlink r:id="rId105" ref="B55"/>
    <hyperlink r:id="rId106" ref="A56"/>
    <hyperlink r:id="rId107" ref="B56"/>
    <hyperlink r:id="rId108" ref="A57"/>
    <hyperlink r:id="rId109" ref="B57"/>
    <hyperlink r:id="rId110" ref="A58"/>
    <hyperlink r:id="rId111" ref="B58"/>
    <hyperlink r:id="rId112" ref="A59"/>
    <hyperlink r:id="rId113" ref="B59"/>
    <hyperlink r:id="rId114" ref="A60"/>
    <hyperlink r:id="rId115" ref="B60"/>
    <hyperlink r:id="rId116" ref="A61"/>
    <hyperlink r:id="rId117" ref="B61"/>
    <hyperlink r:id="rId118" location=":~:text=AI%2Dpowered%20launch%20roadmaps%20with%20channel%20strategy%2C%20campaign,every%20scale%2C%20every%20challenge.%20%2D%20AI%2Dpowered%20intelligence." ref="A62"/>
    <hyperlink r:id="rId119" ref="B62"/>
    <hyperlink r:id="rId120" ref="A63"/>
    <hyperlink r:id="rId121" ref="B63"/>
    <hyperlink r:id="rId122" location=":~:text=While%20many%20agencies%20concentrate%20on%20a%20single,that%20continue%20to%20convert%20long%20after%20launch." ref="A64"/>
    <hyperlink r:id="rId123" ref="B64"/>
    <hyperlink r:id="rId124" ref="A65"/>
    <hyperlink r:id="rId125" ref="B65"/>
    <hyperlink r:id="rId126" ref="A66"/>
    <hyperlink r:id="rId127" ref="B66"/>
    <hyperlink r:id="rId128" ref="A67"/>
    <hyperlink r:id="rId129" ref="B67"/>
    <hyperlink r:id="rId130" ref="A68"/>
    <hyperlink r:id="rId131" ref="B68"/>
    <hyperlink r:id="rId132" ref="A69"/>
    <hyperlink r:id="rId133" ref="B69"/>
    <hyperlink r:id="rId134" ref="A70"/>
    <hyperlink r:id="rId135" ref="B70"/>
    <hyperlink r:id="rId136" ref="A71"/>
    <hyperlink r:id="rId137" ref="B71"/>
    <hyperlink r:id="rId138" location=":~:text=GPT%2D5%20for%20campaign%20planning%2C%20competitive%20synthesis%2C%20and,analysis.%20Best%20depth%2Dof%2Dreasoning%20in%20the%20stack.%20Gemini." ref="A72"/>
    <hyperlink r:id="rId139" ref="B72"/>
    <hyperlink r:id="rId140" ref="A73"/>
    <hyperlink r:id="rId141" ref="B73"/>
    <hyperlink r:id="rId142" ref="A74"/>
    <hyperlink r:id="rId143" ref="B74"/>
    <hyperlink r:id="rId144" ref="A75"/>
    <hyperlink r:id="rId145" ref="B75"/>
    <hyperlink r:id="rId146" ref="A76"/>
    <hyperlink r:id="rId147" ref="B76"/>
    <hyperlink r:id="rId148" ref="A77"/>
    <hyperlink r:id="rId149" ref="B77"/>
    <hyperlink r:id="rId150" ref="A78"/>
    <hyperlink r:id="rId151" ref="B78"/>
    <hyperlink r:id="rId152" ref="A79"/>
    <hyperlink r:id="rId153" ref="B79"/>
    <hyperlink r:id="rId154" ref="A80"/>
    <hyperlink r:id="rId155" ref="B80"/>
    <hyperlink r:id="rId156" ref="A81"/>
    <hyperlink r:id="rId157" ref="B81"/>
    <hyperlink r:id="rId158" ref="A82"/>
    <hyperlink r:id="rId159" ref="B82"/>
    <hyperlink r:id="rId160" ref="A83"/>
    <hyperlink r:id="rId161" ref="B83"/>
    <hyperlink r:id="rId162" ref="A84"/>
    <hyperlink r:id="rId163" ref="B84"/>
    <hyperlink r:id="rId164" ref="A85"/>
    <hyperlink r:id="rId165" ref="B85"/>
    <hyperlink r:id="rId166" ref="A86"/>
    <hyperlink r:id="rId167" ref="B86"/>
    <hyperlink r:id="rId168" ref="A87"/>
    <hyperlink r:id="rId169" ref="B87"/>
    <hyperlink r:id="rId170" ref="A88"/>
    <hyperlink r:id="rId171" ref="B88"/>
    <hyperlink r:id="rId172" ref="A89"/>
    <hyperlink r:id="rId173" ref="B89"/>
    <hyperlink r:id="rId174" ref="A90"/>
    <hyperlink r:id="rId175" ref="B90"/>
    <hyperlink r:id="rId176" ref="A91"/>
    <hyperlink r:id="rId177" ref="B91"/>
    <hyperlink r:id="rId178" ref="A92"/>
    <hyperlink r:id="rId179" ref="B92"/>
    <hyperlink r:id="rId180" ref="A93"/>
    <hyperlink r:id="rId181" ref="B93"/>
    <hyperlink r:id="rId182" ref="A94"/>
    <hyperlink r:id="rId183" ref="B94"/>
    <hyperlink r:id="rId184" ref="A95"/>
    <hyperlink r:id="rId185" ref="B95"/>
    <hyperlink r:id="rId186" ref="A96"/>
    <hyperlink r:id="rId187" ref="B96"/>
    <hyperlink r:id="rId188" ref="A97"/>
    <hyperlink r:id="rId189" ref="B97"/>
    <hyperlink r:id="rId190" ref="A98"/>
    <hyperlink r:id="rId191" ref="B98"/>
    <hyperlink r:id="rId192" ref="A99"/>
    <hyperlink r:id="rId193" ref="A100"/>
    <hyperlink r:id="rId194" ref="B100"/>
    <hyperlink r:id="rId195" location=":~:text=Strengths%20%2D%20Algorithm%20driven%20media%20execution.%20%2D%20Structured%20performance%20analytics.%20%2D%20Established%20regional%20operations." ref="A101"/>
    <hyperlink r:id="rId196" ref="B101"/>
    <hyperlink r:id="rId197" location=":~:text=Headquarters.%20Paris.%2019%2C%20rue%20Richer.%20Paris%2C%20Paris%2C,EC2V%207HR%2C%20United%20Kingdom.%20%2D%20Los%20Angeles." ref="A102"/>
    <hyperlink r:id="rId198" ref="B102"/>
    <hyperlink r:id="rId199" ref="A103"/>
    <hyperlink r:id="rId200" ref="B103"/>
    <hyperlink r:id="rId201" ref="A104"/>
    <hyperlink r:id="rId202" ref="B104"/>
    <hyperlink r:id="rId203" ref="A105"/>
    <hyperlink r:id="rId204" ref="B105"/>
    <hyperlink r:id="rId205" location=":~:text=Table%201.1%20details%20the%20major%20media%2Dbuying%20agencies,PHD.%2016.6.%20Interpublic%20Group.%20Universal%20McCann%20(" ref="A106"/>
    <hyperlink r:id="rId206" ref="B106"/>
    <hyperlink r:id="rId207" ref="A107"/>
    <hyperlink r:id="rId208" ref="B107"/>
    <hyperlink r:id="rId209" ref="A108"/>
    <hyperlink r:id="rId210" ref="B108"/>
    <hyperlink r:id="rId211" ref="A109"/>
    <hyperlink r:id="rId212" ref="B109"/>
    <hyperlink r:id="rId213" ref="A110"/>
    <hyperlink r:id="rId214" ref="B110"/>
    <hyperlink r:id="rId215" ref="A111"/>
    <hyperlink r:id="rId216" ref="B111"/>
    <hyperlink r:id="rId217" ref="A112"/>
    <hyperlink r:id="rId218" ref="B112"/>
  </hyperlinks>
  <drawing r:id="rId21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All'!D2:D1000)))=""product_page""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5</v>
      </c>
      <c r="C1" s="2" t="s">
        <v>0</v>
      </c>
      <c r="D1" s="2" t="s">
        <v>8</v>
      </c>
      <c r="E1" s="2" t="s">
        <v>10</v>
      </c>
      <c r="F1" s="2" t="s">
        <v>2</v>
      </c>
      <c r="G1" s="2" t="s">
        <v>12</v>
      </c>
      <c r="H1" s="2" t="s">
        <v>3</v>
      </c>
      <c r="I1" s="2" t="s">
        <v>4</v>
      </c>
      <c r="J1" s="2" t="s">
        <v>14</v>
      </c>
      <c r="K1" s="4" t="s">
        <v>11</v>
      </c>
      <c r="L1" s="5"/>
      <c r="M1" s="5"/>
      <c r="N1" s="6"/>
      <c r="O1" s="6"/>
      <c r="P1" s="6"/>
      <c r="Q1" s="6"/>
      <c r="R1" s="6"/>
      <c r="S1" s="6"/>
      <c r="T1" s="6"/>
      <c r="U1" s="6"/>
      <c r="V1" s="6"/>
      <c r="W1" s="6"/>
      <c r="X1" s="6"/>
      <c r="Y1" s="6"/>
      <c r="Z1" s="6"/>
    </row>
    <row r="2" ht="15.75" customHeight="1">
      <c r="A2" s="11" t="str">
        <f>IFERROR(__xludf.DUMMYFUNCTION("IFERROR(
  FILTER(
    'PEEC - URLs - All'!A2:K1000,
    LOWER(TRIM(TO_TEXT('PEEC - URLs - All'!D2:D1000)))=""profile""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